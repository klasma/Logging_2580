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45976</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45976</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45976</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45976</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45976</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45976</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45976</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45976</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45976</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45976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45976</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43961-2025</t>
        </is>
      </c>
      <c r="B20" s="1" t="n">
        <v>45915.39149305555</v>
      </c>
      <c r="C20" s="1" t="n">
        <v>45976</v>
      </c>
      <c r="D20" t="inlineStr">
        <is>
          <t>NORRBOTTENS LÄN</t>
        </is>
      </c>
      <c r="E20" t="inlineStr">
        <is>
          <t>LULEÅ</t>
        </is>
      </c>
      <c r="G20" t="n">
        <v>8</v>
      </c>
      <c r="H20" t="n">
        <v>0</v>
      </c>
      <c r="I20" t="n">
        <v>1</v>
      </c>
      <c r="J20" t="n">
        <v>1</v>
      </c>
      <c r="K20" t="n">
        <v>0</v>
      </c>
      <c r="L20" t="n">
        <v>0</v>
      </c>
      <c r="M20" t="n">
        <v>0</v>
      </c>
      <c r="N20" t="n">
        <v>0</v>
      </c>
      <c r="O20" t="n">
        <v>1</v>
      </c>
      <c r="P20" t="n">
        <v>0</v>
      </c>
      <c r="Q20" t="n">
        <v>2</v>
      </c>
      <c r="R20" s="2" t="inlineStr">
        <is>
          <t>Garnlav
Vedticka</t>
        </is>
      </c>
      <c r="S20">
        <f>HYPERLINK("https://klasma.github.io/Logging_2580/artfynd/A 43961-2025 artfynd.xlsx", "A 43961-2025")</f>
        <v/>
      </c>
      <c r="T20">
        <f>HYPERLINK("https://klasma.github.io/Logging_2580/kartor/A 43961-2025 karta.png", "A 43961-2025")</f>
        <v/>
      </c>
      <c r="V20">
        <f>HYPERLINK("https://klasma.github.io/Logging_2580/klagomål/A 43961-2025 FSC-klagomål.docx", "A 43961-2025")</f>
        <v/>
      </c>
      <c r="W20">
        <f>HYPERLINK("https://klasma.github.io/Logging_2580/klagomålsmail/A 43961-2025 FSC-klagomål mail.docx", "A 43961-2025")</f>
        <v/>
      </c>
      <c r="X20">
        <f>HYPERLINK("https://klasma.github.io/Logging_2580/tillsyn/A 43961-2025 tillsynsbegäran.docx", "A 43961-2025")</f>
        <v/>
      </c>
      <c r="Y20">
        <f>HYPERLINK("https://klasma.github.io/Logging_2580/tillsynsmail/A 43961-2025 tillsynsbegäran mail.docx", "A 43961-2025")</f>
        <v/>
      </c>
    </row>
    <row r="21" ht="15" customHeight="1">
      <c r="A21" t="inlineStr">
        <is>
          <t>A 19871-2024</t>
        </is>
      </c>
      <c r="B21" s="1" t="n">
        <v>45433</v>
      </c>
      <c r="C21" s="1" t="n">
        <v>45976</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55908-2023</t>
        </is>
      </c>
      <c r="B22" s="1" t="n">
        <v>45239</v>
      </c>
      <c r="C22" s="1" t="n">
        <v>45976</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45976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45976</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59466-2023</t>
        </is>
      </c>
      <c r="B28" s="1" t="n">
        <v>45254.4122337963</v>
      </c>
      <c r="C28" s="1" t="n">
        <v>45976</v>
      </c>
      <c r="D28" t="inlineStr">
        <is>
          <t>NORRBOTTENS LÄN</t>
        </is>
      </c>
      <c r="E28" t="inlineStr">
        <is>
          <t>LULEÅ</t>
        </is>
      </c>
      <c r="F28" t="inlineStr">
        <is>
          <t>Sveaskog</t>
        </is>
      </c>
      <c r="G28" t="n">
        <v>0.4</v>
      </c>
      <c r="H28" t="n">
        <v>0</v>
      </c>
      <c r="I28" t="n">
        <v>0</v>
      </c>
      <c r="J28" t="n">
        <v>1</v>
      </c>
      <c r="K28" t="n">
        <v>0</v>
      </c>
      <c r="L28" t="n">
        <v>0</v>
      </c>
      <c r="M28" t="n">
        <v>0</v>
      </c>
      <c r="N28" t="n">
        <v>0</v>
      </c>
      <c r="O28" t="n">
        <v>1</v>
      </c>
      <c r="P28" t="n">
        <v>0</v>
      </c>
      <c r="Q28" t="n">
        <v>1</v>
      </c>
      <c r="R28" s="2" t="inlineStr">
        <is>
          <t>Motaggsvamp</t>
        </is>
      </c>
      <c r="S28">
        <f>HYPERLINK("https://klasma.github.io/Logging_2580/artfynd/A 59466-2023 artfynd.xlsx", "A 59466-2023")</f>
        <v/>
      </c>
      <c r="T28">
        <f>HYPERLINK("https://klasma.github.io/Logging_2580/kartor/A 59466-2023 karta.png", "A 59466-2023")</f>
        <v/>
      </c>
      <c r="V28">
        <f>HYPERLINK("https://klasma.github.io/Logging_2580/klagomål/A 59466-2023 FSC-klagomål.docx", "A 59466-2023")</f>
        <v/>
      </c>
      <c r="W28">
        <f>HYPERLINK("https://klasma.github.io/Logging_2580/klagomålsmail/A 59466-2023 FSC-klagomål mail.docx", "A 59466-2023")</f>
        <v/>
      </c>
      <c r="X28">
        <f>HYPERLINK("https://klasma.github.io/Logging_2580/tillsyn/A 59466-2023 tillsynsbegäran.docx", "A 59466-2023")</f>
        <v/>
      </c>
      <c r="Y28">
        <f>HYPERLINK("https://klasma.github.io/Logging_2580/tillsynsmail/A 59466-2023 tillsynsbegäran mail.docx", "A 59466-2023")</f>
        <v/>
      </c>
    </row>
    <row r="29" ht="15" customHeight="1">
      <c r="A29" t="inlineStr">
        <is>
          <t>A 17428-2023</t>
        </is>
      </c>
      <c r="B29" s="1" t="n">
        <v>45035.9266087963</v>
      </c>
      <c r="C29" s="1" t="n">
        <v>45976</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739-2025</t>
        </is>
      </c>
      <c r="B30" s="1" t="n">
        <v>45664</v>
      </c>
      <c r="C30" s="1" t="n">
        <v>45976</v>
      </c>
      <c r="D30" t="inlineStr">
        <is>
          <t>NORRBOTTENS LÄN</t>
        </is>
      </c>
      <c r="E30" t="inlineStr">
        <is>
          <t>LULEÅ</t>
        </is>
      </c>
      <c r="G30" t="n">
        <v>1.8</v>
      </c>
      <c r="H30" t="n">
        <v>0</v>
      </c>
      <c r="I30" t="n">
        <v>0</v>
      </c>
      <c r="J30" t="n">
        <v>1</v>
      </c>
      <c r="K30" t="n">
        <v>0</v>
      </c>
      <c r="L30" t="n">
        <v>0</v>
      </c>
      <c r="M30" t="n">
        <v>0</v>
      </c>
      <c r="N30" t="n">
        <v>0</v>
      </c>
      <c r="O30" t="n">
        <v>1</v>
      </c>
      <c r="P30" t="n">
        <v>0</v>
      </c>
      <c r="Q30" t="n">
        <v>1</v>
      </c>
      <c r="R30" s="2" t="inlineStr">
        <is>
          <t>Garnlav</t>
        </is>
      </c>
      <c r="S30">
        <f>HYPERLINK("https://klasma.github.io/Logging_2580/artfynd/A 739-2025 artfynd.xlsx", "A 739-2025")</f>
        <v/>
      </c>
      <c r="T30">
        <f>HYPERLINK("https://klasma.github.io/Logging_2580/kartor/A 739-2025 karta.png", "A 739-2025")</f>
        <v/>
      </c>
      <c r="U30">
        <f>HYPERLINK("https://klasma.github.io/Logging_2580/knärot/A 739-2025 karta knärot.png", "A 739-2025")</f>
        <v/>
      </c>
      <c r="V30">
        <f>HYPERLINK("https://klasma.github.io/Logging_2580/klagomål/A 739-2025 FSC-klagomål.docx", "A 739-2025")</f>
        <v/>
      </c>
      <c r="W30">
        <f>HYPERLINK("https://klasma.github.io/Logging_2580/klagomålsmail/A 739-2025 FSC-klagomål mail.docx", "A 739-2025")</f>
        <v/>
      </c>
      <c r="X30">
        <f>HYPERLINK("https://klasma.github.io/Logging_2580/tillsyn/A 739-2025 tillsynsbegäran.docx", "A 739-2025")</f>
        <v/>
      </c>
      <c r="Y30">
        <f>HYPERLINK("https://klasma.github.io/Logging_2580/tillsynsmail/A 739-2025 tillsynsbegäran mail.docx", "A 739-2025")</f>
        <v/>
      </c>
    </row>
    <row r="31" ht="15" customHeight="1">
      <c r="A31" t="inlineStr">
        <is>
          <t>A 59395-2024</t>
        </is>
      </c>
      <c r="B31" s="1" t="n">
        <v>45638</v>
      </c>
      <c r="C31" s="1" t="n">
        <v>45976</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38889-2025</t>
        </is>
      </c>
      <c r="B32" s="1" t="n">
        <v>45887.58668981482</v>
      </c>
      <c r="C32" s="1" t="n">
        <v>45976</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25528-2024</t>
        </is>
      </c>
      <c r="B33" s="1" t="n">
        <v>45463</v>
      </c>
      <c r="C33" s="1" t="n">
        <v>45976</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60002-2024</t>
        </is>
      </c>
      <c r="B34" s="1" t="n">
        <v>45642.41423611111</v>
      </c>
      <c r="C34" s="1" t="n">
        <v>45976</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3578-2025</t>
        </is>
      </c>
      <c r="B35" s="1" t="n">
        <v>45680</v>
      </c>
      <c r="C35" s="1" t="n">
        <v>45976</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733-2025</t>
        </is>
      </c>
      <c r="B36" s="1" t="n">
        <v>45664</v>
      </c>
      <c r="C36" s="1" t="n">
        <v>45976</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55720-2024</t>
        </is>
      </c>
      <c r="B37" s="1" t="n">
        <v>45622.7453125</v>
      </c>
      <c r="C37" s="1" t="n">
        <v>45976</v>
      </c>
      <c r="D37" t="inlineStr">
        <is>
          <t>NORRBOTTENS LÄN</t>
        </is>
      </c>
      <c r="E37" t="inlineStr">
        <is>
          <t>LULEÅ</t>
        </is>
      </c>
      <c r="G37" t="n">
        <v>11.6</v>
      </c>
      <c r="H37" t="n">
        <v>0</v>
      </c>
      <c r="I37" t="n">
        <v>0</v>
      </c>
      <c r="J37" t="n">
        <v>1</v>
      </c>
      <c r="K37" t="n">
        <v>0</v>
      </c>
      <c r="L37" t="n">
        <v>0</v>
      </c>
      <c r="M37" t="n">
        <v>0</v>
      </c>
      <c r="N37" t="n">
        <v>0</v>
      </c>
      <c r="O37" t="n">
        <v>1</v>
      </c>
      <c r="P37" t="n">
        <v>0</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6527-2021</t>
        </is>
      </c>
      <c r="B38" s="1" t="n">
        <v>44236</v>
      </c>
      <c r="C38" s="1" t="n">
        <v>45976</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43978-2025</t>
        </is>
      </c>
      <c r="B39" s="1" t="n">
        <v>45915</v>
      </c>
      <c r="C39" s="1" t="n">
        <v>45976</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45976</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60585-2024</t>
        </is>
      </c>
      <c r="B41" s="1" t="n">
        <v>45644</v>
      </c>
      <c r="C41" s="1" t="n">
        <v>45976</v>
      </c>
      <c r="D41" t="inlineStr">
        <is>
          <t>NORRBOTTENS LÄN</t>
        </is>
      </c>
      <c r="E41" t="inlineStr">
        <is>
          <t>LULEÅ</t>
        </is>
      </c>
      <c r="G41" t="n">
        <v>9.699999999999999</v>
      </c>
      <c r="H41" t="n">
        <v>1</v>
      </c>
      <c r="I41" t="n">
        <v>0</v>
      </c>
      <c r="J41" t="n">
        <v>0</v>
      </c>
      <c r="K41" t="n">
        <v>0</v>
      </c>
      <c r="L41" t="n">
        <v>0</v>
      </c>
      <c r="M41" t="n">
        <v>0</v>
      </c>
      <c r="N41" t="n">
        <v>0</v>
      </c>
      <c r="O41" t="n">
        <v>0</v>
      </c>
      <c r="P41" t="n">
        <v>0</v>
      </c>
      <c r="Q41" t="n">
        <v>1</v>
      </c>
      <c r="R41" s="2" t="inlineStr">
        <is>
          <t>Skogsödla</t>
        </is>
      </c>
      <c r="S41">
        <f>HYPERLINK("https://klasma.github.io/Logging_2580/artfynd/A 60585-2024 artfynd.xlsx", "A 60585-2024")</f>
        <v/>
      </c>
      <c r="T41">
        <f>HYPERLINK("https://klasma.github.io/Logging_2580/kartor/A 60585-2024 karta.png", "A 60585-2024")</f>
        <v/>
      </c>
      <c r="V41">
        <f>HYPERLINK("https://klasma.github.io/Logging_2580/klagomål/A 60585-2024 FSC-klagomål.docx", "A 60585-2024")</f>
        <v/>
      </c>
      <c r="W41">
        <f>HYPERLINK("https://klasma.github.io/Logging_2580/klagomålsmail/A 60585-2024 FSC-klagomål mail.docx", "A 60585-2024")</f>
        <v/>
      </c>
      <c r="X41">
        <f>HYPERLINK("https://klasma.github.io/Logging_2580/tillsyn/A 60585-2024 tillsynsbegäran.docx", "A 60585-2024")</f>
        <v/>
      </c>
      <c r="Y41">
        <f>HYPERLINK("https://klasma.github.io/Logging_2580/tillsynsmail/A 60585-2024 tillsynsbegäran mail.docx", "A 60585-2024")</f>
        <v/>
      </c>
    </row>
    <row r="42" ht="15" customHeight="1">
      <c r="A42" t="inlineStr">
        <is>
          <t>A 51641-2022</t>
        </is>
      </c>
      <c r="B42" s="1" t="n">
        <v>44867</v>
      </c>
      <c r="C42" s="1" t="n">
        <v>45976</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51900-2025</t>
        </is>
      </c>
      <c r="B43" s="1" t="n">
        <v>45952</v>
      </c>
      <c r="C43" s="1" t="n">
        <v>45976</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49423-2025</t>
        </is>
      </c>
      <c r="B44" s="1" t="n">
        <v>45938</v>
      </c>
      <c r="C44" s="1" t="n">
        <v>45976</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29381-2025</t>
        </is>
      </c>
      <c r="B45" s="1" t="n">
        <v>45824.59027777778</v>
      </c>
      <c r="C45" s="1" t="n">
        <v>45976</v>
      </c>
      <c r="D45" t="inlineStr">
        <is>
          <t>NORRBOTTENS LÄN</t>
        </is>
      </c>
      <c r="E45" t="inlineStr">
        <is>
          <t>LULEÅ</t>
        </is>
      </c>
      <c r="G45" t="n">
        <v>1.5</v>
      </c>
      <c r="H45" t="n">
        <v>1</v>
      </c>
      <c r="I45" t="n">
        <v>0</v>
      </c>
      <c r="J45" t="n">
        <v>1</v>
      </c>
      <c r="K45" t="n">
        <v>0</v>
      </c>
      <c r="L45" t="n">
        <v>0</v>
      </c>
      <c r="M45" t="n">
        <v>0</v>
      </c>
      <c r="N45" t="n">
        <v>0</v>
      </c>
      <c r="O45" t="n">
        <v>1</v>
      </c>
      <c r="P45" t="n">
        <v>0</v>
      </c>
      <c r="Q45" t="n">
        <v>1</v>
      </c>
      <c r="R45" s="2" t="inlineStr">
        <is>
          <t>Havsörn</t>
        </is>
      </c>
      <c r="S45">
        <f>HYPERLINK("https://klasma.github.io/Logging_2580/artfynd/A 29381-2025 artfynd.xlsx", "A 29381-2025")</f>
        <v/>
      </c>
      <c r="T45">
        <f>HYPERLINK("https://klasma.github.io/Logging_2580/kartor/A 29381-2025 karta.png", "A 29381-2025")</f>
        <v/>
      </c>
      <c r="V45">
        <f>HYPERLINK("https://klasma.github.io/Logging_2580/klagomål/A 29381-2025 FSC-klagomål.docx", "A 29381-2025")</f>
        <v/>
      </c>
      <c r="W45">
        <f>HYPERLINK("https://klasma.github.io/Logging_2580/klagomålsmail/A 29381-2025 FSC-klagomål mail.docx", "A 29381-2025")</f>
        <v/>
      </c>
      <c r="X45">
        <f>HYPERLINK("https://klasma.github.io/Logging_2580/tillsyn/A 29381-2025 tillsynsbegäran.docx", "A 29381-2025")</f>
        <v/>
      </c>
      <c r="Y45">
        <f>HYPERLINK("https://klasma.github.io/Logging_2580/tillsynsmail/A 29381-2025 tillsynsbegäran mail.docx", "A 29381-2025")</f>
        <v/>
      </c>
      <c r="Z45">
        <f>HYPERLINK("https://klasma.github.io/Logging_2580/fåglar/A 29381-2025 prioriterade fågelarter.docx", "A 29381-2025")</f>
        <v/>
      </c>
    </row>
    <row r="46" ht="15" customHeight="1">
      <c r="A46" t="inlineStr">
        <is>
          <t>A 32148-2025</t>
        </is>
      </c>
      <c r="B46" s="1" t="n">
        <v>45835.52969907408</v>
      </c>
      <c r="C46" s="1" t="n">
        <v>45976</v>
      </c>
      <c r="D46" t="inlineStr">
        <is>
          <t>NORRBOTTENS LÄN</t>
        </is>
      </c>
      <c r="E46" t="inlineStr">
        <is>
          <t>LULEÅ</t>
        </is>
      </c>
      <c r="F46" t="inlineStr">
        <is>
          <t>Sveaskog</t>
        </is>
      </c>
      <c r="G46" t="n">
        <v>2.2</v>
      </c>
      <c r="H46" t="n">
        <v>0</v>
      </c>
      <c r="I46" t="n">
        <v>0</v>
      </c>
      <c r="J46" t="n">
        <v>1</v>
      </c>
      <c r="K46" t="n">
        <v>0</v>
      </c>
      <c r="L46" t="n">
        <v>0</v>
      </c>
      <c r="M46" t="n">
        <v>0</v>
      </c>
      <c r="N46" t="n">
        <v>0</v>
      </c>
      <c r="O46" t="n">
        <v>1</v>
      </c>
      <c r="P46" t="n">
        <v>0</v>
      </c>
      <c r="Q46" t="n">
        <v>1</v>
      </c>
      <c r="R46" s="2" t="inlineStr">
        <is>
          <t>Tallticka</t>
        </is>
      </c>
      <c r="S46">
        <f>HYPERLINK("https://klasma.github.io/Logging_2580/artfynd/A 32148-2025 artfynd.xlsx", "A 32148-2025")</f>
        <v/>
      </c>
      <c r="T46">
        <f>HYPERLINK("https://klasma.github.io/Logging_2580/kartor/A 32148-2025 karta.png", "A 32148-2025")</f>
        <v/>
      </c>
      <c r="V46">
        <f>HYPERLINK("https://klasma.github.io/Logging_2580/klagomål/A 32148-2025 FSC-klagomål.docx", "A 32148-2025")</f>
        <v/>
      </c>
      <c r="W46">
        <f>HYPERLINK("https://klasma.github.io/Logging_2580/klagomålsmail/A 32148-2025 FSC-klagomål mail.docx", "A 32148-2025")</f>
        <v/>
      </c>
      <c r="X46">
        <f>HYPERLINK("https://klasma.github.io/Logging_2580/tillsyn/A 32148-2025 tillsynsbegäran.docx", "A 32148-2025")</f>
        <v/>
      </c>
      <c r="Y46">
        <f>HYPERLINK("https://klasma.github.io/Logging_2580/tillsynsmail/A 32148-2025 tillsynsbegäran mail.docx", "A 32148-2025")</f>
        <v/>
      </c>
    </row>
    <row r="47" ht="15" customHeight="1">
      <c r="A47" t="inlineStr">
        <is>
          <t>A 31900-2025</t>
        </is>
      </c>
      <c r="B47" s="1" t="n">
        <v>45834</v>
      </c>
      <c r="C47" s="1" t="n">
        <v>45976</v>
      </c>
      <c r="D47" t="inlineStr">
        <is>
          <t>NORRBOTTENS LÄN</t>
        </is>
      </c>
      <c r="E47" t="inlineStr">
        <is>
          <t>LULEÅ</t>
        </is>
      </c>
      <c r="G47" t="n">
        <v>1.9</v>
      </c>
      <c r="H47" t="n">
        <v>0</v>
      </c>
      <c r="I47" t="n">
        <v>1</v>
      </c>
      <c r="J47" t="n">
        <v>0</v>
      </c>
      <c r="K47" t="n">
        <v>0</v>
      </c>
      <c r="L47" t="n">
        <v>0</v>
      </c>
      <c r="M47" t="n">
        <v>0</v>
      </c>
      <c r="N47" t="n">
        <v>0</v>
      </c>
      <c r="O47" t="n">
        <v>0</v>
      </c>
      <c r="P47" t="n">
        <v>0</v>
      </c>
      <c r="Q47" t="n">
        <v>1</v>
      </c>
      <c r="R47" s="2" t="inlineStr">
        <is>
          <t>Strutbräken</t>
        </is>
      </c>
      <c r="S47">
        <f>HYPERLINK("https://klasma.github.io/Logging_2580/artfynd/A 31900-2025 artfynd.xlsx", "A 31900-2025")</f>
        <v/>
      </c>
      <c r="T47">
        <f>HYPERLINK("https://klasma.github.io/Logging_2580/kartor/A 31900-2025 karta.png", "A 31900-2025")</f>
        <v/>
      </c>
      <c r="V47">
        <f>HYPERLINK("https://klasma.github.io/Logging_2580/klagomål/A 31900-2025 FSC-klagomål.docx", "A 31900-2025")</f>
        <v/>
      </c>
      <c r="W47">
        <f>HYPERLINK("https://klasma.github.io/Logging_2580/klagomålsmail/A 31900-2025 FSC-klagomål mail.docx", "A 31900-2025")</f>
        <v/>
      </c>
      <c r="X47">
        <f>HYPERLINK("https://klasma.github.io/Logging_2580/tillsyn/A 31900-2025 tillsynsbegäran.docx", "A 31900-2025")</f>
        <v/>
      </c>
      <c r="Y47">
        <f>HYPERLINK("https://klasma.github.io/Logging_2580/tillsynsmail/A 31900-2025 tillsynsbegäran mail.docx", "A 31900-2025")</f>
        <v/>
      </c>
    </row>
    <row r="48" ht="15" customHeight="1">
      <c r="A48" t="inlineStr">
        <is>
          <t>A 33514-2025</t>
        </is>
      </c>
      <c r="B48" s="1" t="n">
        <v>45841.52672453703</v>
      </c>
      <c r="C48" s="1" t="n">
        <v>45976</v>
      </c>
      <c r="D48" t="inlineStr">
        <is>
          <t>NORRBOTTENS LÄN</t>
        </is>
      </c>
      <c r="E48" t="inlineStr">
        <is>
          <t>LULEÅ</t>
        </is>
      </c>
      <c r="G48" t="n">
        <v>10</v>
      </c>
      <c r="H48" t="n">
        <v>1</v>
      </c>
      <c r="I48" t="n">
        <v>0</v>
      </c>
      <c r="J48" t="n">
        <v>0</v>
      </c>
      <c r="K48" t="n">
        <v>0</v>
      </c>
      <c r="L48" t="n">
        <v>0</v>
      </c>
      <c r="M48" t="n">
        <v>0</v>
      </c>
      <c r="N48" t="n">
        <v>0</v>
      </c>
      <c r="O48" t="n">
        <v>0</v>
      </c>
      <c r="P48" t="n">
        <v>0</v>
      </c>
      <c r="Q48" t="n">
        <v>1</v>
      </c>
      <c r="R48" s="2" t="inlineStr">
        <is>
          <t>Huggorm</t>
        </is>
      </c>
      <c r="S48">
        <f>HYPERLINK("https://klasma.github.io/Logging_2580/artfynd/A 33514-2025 artfynd.xlsx", "A 33514-2025")</f>
        <v/>
      </c>
      <c r="T48">
        <f>HYPERLINK("https://klasma.github.io/Logging_2580/kartor/A 33514-2025 karta.png", "A 33514-2025")</f>
        <v/>
      </c>
      <c r="V48">
        <f>HYPERLINK("https://klasma.github.io/Logging_2580/klagomål/A 33514-2025 FSC-klagomål.docx", "A 33514-2025")</f>
        <v/>
      </c>
      <c r="W48">
        <f>HYPERLINK("https://klasma.github.io/Logging_2580/klagomålsmail/A 33514-2025 FSC-klagomål mail.docx", "A 33514-2025")</f>
        <v/>
      </c>
      <c r="X48">
        <f>HYPERLINK("https://klasma.github.io/Logging_2580/tillsyn/A 33514-2025 tillsynsbegäran.docx", "A 33514-2025")</f>
        <v/>
      </c>
      <c r="Y48">
        <f>HYPERLINK("https://klasma.github.io/Logging_2580/tillsynsmail/A 33514-2025 tillsynsbegäran mail.docx", "A 33514-2025")</f>
        <v/>
      </c>
    </row>
    <row r="49" ht="15" customHeight="1">
      <c r="A49" t="inlineStr">
        <is>
          <t>A 4561-2023</t>
        </is>
      </c>
      <c r="B49" s="1" t="n">
        <v>44951</v>
      </c>
      <c r="C49" s="1" t="n">
        <v>45976</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38333-2024</t>
        </is>
      </c>
      <c r="B50" s="1" t="n">
        <v>45545</v>
      </c>
      <c r="C50" s="1" t="n">
        <v>45976</v>
      </c>
      <c r="D50" t="inlineStr">
        <is>
          <t>NORRBOTTENS LÄN</t>
        </is>
      </c>
      <c r="E50" t="inlineStr">
        <is>
          <t>LULEÅ</t>
        </is>
      </c>
      <c r="F50" t="inlineStr">
        <is>
          <t>Sveaskog</t>
        </is>
      </c>
      <c r="G50" t="n">
        <v>2.9</v>
      </c>
      <c r="H50" t="n">
        <v>1</v>
      </c>
      <c r="I50" t="n">
        <v>0</v>
      </c>
      <c r="J50" t="n">
        <v>0</v>
      </c>
      <c r="K50" t="n">
        <v>1</v>
      </c>
      <c r="L50" t="n">
        <v>0</v>
      </c>
      <c r="M50" t="n">
        <v>0</v>
      </c>
      <c r="N50" t="n">
        <v>0</v>
      </c>
      <c r="O50" t="n">
        <v>1</v>
      </c>
      <c r="P50" t="n">
        <v>1</v>
      </c>
      <c r="Q50" t="n">
        <v>1</v>
      </c>
      <c r="R50" s="2" t="inlineStr">
        <is>
          <t>Knärot</t>
        </is>
      </c>
      <c r="S50">
        <f>HYPERLINK("https://klasma.github.io/Logging_2580/artfynd/A 38333-2024 artfynd.xlsx", "A 38333-2024")</f>
        <v/>
      </c>
      <c r="T50">
        <f>HYPERLINK("https://klasma.github.io/Logging_2580/kartor/A 38333-2024 karta.png", "A 38333-2024")</f>
        <v/>
      </c>
      <c r="U50">
        <f>HYPERLINK("https://klasma.github.io/Logging_2580/knärot/A 38333-2024 karta knärot.png", "A 38333-2024")</f>
        <v/>
      </c>
      <c r="V50">
        <f>HYPERLINK("https://klasma.github.io/Logging_2580/klagomål/A 38333-2024 FSC-klagomål.docx", "A 38333-2024")</f>
        <v/>
      </c>
      <c r="W50">
        <f>HYPERLINK("https://klasma.github.io/Logging_2580/klagomålsmail/A 38333-2024 FSC-klagomål mail.docx", "A 38333-2024")</f>
        <v/>
      </c>
      <c r="X50">
        <f>HYPERLINK("https://klasma.github.io/Logging_2580/tillsyn/A 38333-2024 tillsynsbegäran.docx", "A 38333-2024")</f>
        <v/>
      </c>
      <c r="Y50">
        <f>HYPERLINK("https://klasma.github.io/Logging_2580/tillsynsmail/A 38333-2024 tillsynsbegäran mail.docx", "A 38333-2024")</f>
        <v/>
      </c>
    </row>
    <row r="51" ht="15" customHeight="1">
      <c r="A51" t="inlineStr">
        <is>
          <t>A 48323-2022</t>
        </is>
      </c>
      <c r="B51" s="1" t="n">
        <v>44854</v>
      </c>
      <c r="C51" s="1" t="n">
        <v>45976</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45976</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45976</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45976</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2380-2021</t>
        </is>
      </c>
      <c r="B55" s="1" t="n">
        <v>44211</v>
      </c>
      <c r="C55" s="1" t="n">
        <v>45976</v>
      </c>
      <c r="D55" t="inlineStr">
        <is>
          <t>NORRBOTTENS LÄN</t>
        </is>
      </c>
      <c r="E55" t="inlineStr">
        <is>
          <t>LULEÅ</t>
        </is>
      </c>
      <c r="G55" t="n">
        <v>1.1</v>
      </c>
      <c r="H55" t="n">
        <v>0</v>
      </c>
      <c r="I55" t="n">
        <v>0</v>
      </c>
      <c r="J55" t="n">
        <v>0</v>
      </c>
      <c r="K55" t="n">
        <v>0</v>
      </c>
      <c r="L55" t="n">
        <v>0</v>
      </c>
      <c r="M55" t="n">
        <v>0</v>
      </c>
      <c r="N55" t="n">
        <v>0</v>
      </c>
      <c r="O55" t="n">
        <v>0</v>
      </c>
      <c r="P55" t="n">
        <v>0</v>
      </c>
      <c r="Q55" t="n">
        <v>0</v>
      </c>
      <c r="R55" s="2" t="inlineStr"/>
    </row>
    <row r="56" ht="15" customHeight="1">
      <c r="A56" t="inlineStr">
        <is>
          <t>A 2397-2021</t>
        </is>
      </c>
      <c r="B56" s="1" t="n">
        <v>44211</v>
      </c>
      <c r="C56" s="1" t="n">
        <v>45976</v>
      </c>
      <c r="D56" t="inlineStr">
        <is>
          <t>NORRBOTTENS LÄN</t>
        </is>
      </c>
      <c r="E56" t="inlineStr">
        <is>
          <t>LULEÅ</t>
        </is>
      </c>
      <c r="G56" t="n">
        <v>2.3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45976</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45976</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45976</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45976</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45976</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45976</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45976</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45976</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45976</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45976</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45976</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45976</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45976</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45976</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45976</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45976</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45976</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45976</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45976</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45976</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45976</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45976</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45976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45976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45976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64527-2020</t>
        </is>
      </c>
      <c r="B83" s="1" t="n">
        <v>44166</v>
      </c>
      <c r="C83" s="1" t="n">
        <v>45976</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45976</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45976</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45976</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45976</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45976</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45976</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45976</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45976</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45976</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45976</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45976</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45976</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45976</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45976</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45976</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45976</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45976</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45976</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45976</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45976</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45976</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73539-2021</t>
        </is>
      </c>
      <c r="B105" s="1" t="n">
        <v>44550</v>
      </c>
      <c r="C105" s="1" t="n">
        <v>45976</v>
      </c>
      <c r="D105" t="inlineStr">
        <is>
          <t>NORRBOTTENS LÄN</t>
        </is>
      </c>
      <c r="E105" t="inlineStr">
        <is>
          <t>LULEÅ</t>
        </is>
      </c>
      <c r="G105" t="n">
        <v>7.1</v>
      </c>
      <c r="H105" t="n">
        <v>0</v>
      </c>
      <c r="I105" t="n">
        <v>0</v>
      </c>
      <c r="J105" t="n">
        <v>0</v>
      </c>
      <c r="K105" t="n">
        <v>0</v>
      </c>
      <c r="L105" t="n">
        <v>0</v>
      </c>
      <c r="M105" t="n">
        <v>0</v>
      </c>
      <c r="N105" t="n">
        <v>0</v>
      </c>
      <c r="O105" t="n">
        <v>0</v>
      </c>
      <c r="P105" t="n">
        <v>0</v>
      </c>
      <c r="Q105" t="n">
        <v>0</v>
      </c>
      <c r="R105" s="2" t="inlineStr"/>
    </row>
    <row r="106" ht="15" customHeight="1">
      <c r="A106" t="inlineStr">
        <is>
          <t>A 13248-2021</t>
        </is>
      </c>
      <c r="B106" s="1" t="n">
        <v>44272</v>
      </c>
      <c r="C106" s="1" t="n">
        <v>45976</v>
      </c>
      <c r="D106" t="inlineStr">
        <is>
          <t>NORRBOTTENS LÄN</t>
        </is>
      </c>
      <c r="E106" t="inlineStr">
        <is>
          <t>LULEÅ</t>
        </is>
      </c>
      <c r="G106" t="n">
        <v>9.9</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45976</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45976</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45976</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22656-2021</t>
        </is>
      </c>
      <c r="B110" s="1" t="n">
        <v>44327</v>
      </c>
      <c r="C110" s="1" t="n">
        <v>45976</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66925-2020</t>
        </is>
      </c>
      <c r="B111" s="1" t="n">
        <v>44176</v>
      </c>
      <c r="C111" s="1" t="n">
        <v>45976</v>
      </c>
      <c r="D111" t="inlineStr">
        <is>
          <t>NORRBOTTENS LÄN</t>
        </is>
      </c>
      <c r="E111" t="inlineStr">
        <is>
          <t>LULEÅ</t>
        </is>
      </c>
      <c r="G111" t="n">
        <v>1.8</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45976</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60642-2020</t>
        </is>
      </c>
      <c r="B113" s="1" t="n">
        <v>44152</v>
      </c>
      <c r="C113" s="1" t="n">
        <v>45976</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45976</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45976</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11734-2021</t>
        </is>
      </c>
      <c r="B116" s="1" t="n">
        <v>44264</v>
      </c>
      <c r="C116" s="1" t="n">
        <v>45976</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45976</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9929-2022</t>
        </is>
      </c>
      <c r="B118" s="1" t="n">
        <v>44620.92225694445</v>
      </c>
      <c r="C118" s="1" t="n">
        <v>45976</v>
      </c>
      <c r="D118" t="inlineStr">
        <is>
          <t>NORRBOTTENS LÄN</t>
        </is>
      </c>
      <c r="E118" t="inlineStr">
        <is>
          <t>LULEÅ</t>
        </is>
      </c>
      <c r="G118" t="n">
        <v>1.2</v>
      </c>
      <c r="H118" t="n">
        <v>0</v>
      </c>
      <c r="I118" t="n">
        <v>0</v>
      </c>
      <c r="J118" t="n">
        <v>0</v>
      </c>
      <c r="K118" t="n">
        <v>0</v>
      </c>
      <c r="L118" t="n">
        <v>0</v>
      </c>
      <c r="M118" t="n">
        <v>0</v>
      </c>
      <c r="N118" t="n">
        <v>0</v>
      </c>
      <c r="O118" t="n">
        <v>0</v>
      </c>
      <c r="P118" t="n">
        <v>0</v>
      </c>
      <c r="Q118" t="n">
        <v>0</v>
      </c>
      <c r="R118" s="2" t="inlineStr"/>
    </row>
    <row r="119" ht="15" customHeight="1">
      <c r="A119" t="inlineStr">
        <is>
          <t>A 9930-2022</t>
        </is>
      </c>
      <c r="B119" s="1" t="n">
        <v>44620.92230324074</v>
      </c>
      <c r="C119" s="1" t="n">
        <v>45976</v>
      </c>
      <c r="D119" t="inlineStr">
        <is>
          <t>NORRBOTTENS LÄN</t>
        </is>
      </c>
      <c r="E119" t="inlineStr">
        <is>
          <t>LULEÅ</t>
        </is>
      </c>
      <c r="G119" t="n">
        <v>0.8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45976</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47153-2022</t>
        </is>
      </c>
      <c r="B121" s="1" t="n">
        <v>44852.58707175926</v>
      </c>
      <c r="C121" s="1" t="n">
        <v>45976</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74441-2021</t>
        </is>
      </c>
      <c r="B122" s="1" t="n">
        <v>44558</v>
      </c>
      <c r="C122" s="1" t="n">
        <v>45976</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74445-2021</t>
        </is>
      </c>
      <c r="B123" s="1" t="n">
        <v>44558</v>
      </c>
      <c r="C123" s="1" t="n">
        <v>45976</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11848-2021</t>
        </is>
      </c>
      <c r="B124" s="1" t="n">
        <v>44264</v>
      </c>
      <c r="C124" s="1" t="n">
        <v>45976</v>
      </c>
      <c r="D124" t="inlineStr">
        <is>
          <t>NORRBOTTENS LÄN</t>
        </is>
      </c>
      <c r="E124" t="inlineStr">
        <is>
          <t>LULEÅ</t>
        </is>
      </c>
      <c r="G124" t="n">
        <v>1</v>
      </c>
      <c r="H124" t="n">
        <v>0</v>
      </c>
      <c r="I124" t="n">
        <v>0</v>
      </c>
      <c r="J124" t="n">
        <v>0</v>
      </c>
      <c r="K124" t="n">
        <v>0</v>
      </c>
      <c r="L124" t="n">
        <v>0</v>
      </c>
      <c r="M124" t="n">
        <v>0</v>
      </c>
      <c r="N124" t="n">
        <v>0</v>
      </c>
      <c r="O124" t="n">
        <v>0</v>
      </c>
      <c r="P124" t="n">
        <v>0</v>
      </c>
      <c r="Q124" t="n">
        <v>0</v>
      </c>
      <c r="R124" s="2" t="inlineStr"/>
    </row>
    <row r="125" ht="15" customHeight="1">
      <c r="A125" t="inlineStr">
        <is>
          <t>A 44705-2022</t>
        </is>
      </c>
      <c r="B125" s="1" t="n">
        <v>44839</v>
      </c>
      <c r="C125" s="1" t="n">
        <v>45976</v>
      </c>
      <c r="D125" t="inlineStr">
        <is>
          <t>NORRBOTTENS LÄN</t>
        </is>
      </c>
      <c r="E125" t="inlineStr">
        <is>
          <t>LULEÅ</t>
        </is>
      </c>
      <c r="G125" t="n">
        <v>2.4</v>
      </c>
      <c r="H125" t="n">
        <v>0</v>
      </c>
      <c r="I125" t="n">
        <v>0</v>
      </c>
      <c r="J125" t="n">
        <v>0</v>
      </c>
      <c r="K125" t="n">
        <v>0</v>
      </c>
      <c r="L125" t="n">
        <v>0</v>
      </c>
      <c r="M125" t="n">
        <v>0</v>
      </c>
      <c r="N125" t="n">
        <v>0</v>
      </c>
      <c r="O125" t="n">
        <v>0</v>
      </c>
      <c r="P125" t="n">
        <v>0</v>
      </c>
      <c r="Q125" t="n">
        <v>0</v>
      </c>
      <c r="R125" s="2" t="inlineStr"/>
    </row>
    <row r="126" ht="15" customHeight="1">
      <c r="A126" t="inlineStr">
        <is>
          <t>A 6718-2024</t>
        </is>
      </c>
      <c r="B126" s="1" t="n">
        <v>45342</v>
      </c>
      <c r="C126" s="1" t="n">
        <v>45976</v>
      </c>
      <c r="D126" t="inlineStr">
        <is>
          <t>NORRBOTTENS LÄN</t>
        </is>
      </c>
      <c r="E126" t="inlineStr">
        <is>
          <t>LULEÅ</t>
        </is>
      </c>
      <c r="G126" t="n">
        <v>1</v>
      </c>
      <c r="H126" t="n">
        <v>0</v>
      </c>
      <c r="I126" t="n">
        <v>0</v>
      </c>
      <c r="J126" t="n">
        <v>0</v>
      </c>
      <c r="K126" t="n">
        <v>0</v>
      </c>
      <c r="L126" t="n">
        <v>0</v>
      </c>
      <c r="M126" t="n">
        <v>0</v>
      </c>
      <c r="N126" t="n">
        <v>0</v>
      </c>
      <c r="O126" t="n">
        <v>0</v>
      </c>
      <c r="P126" t="n">
        <v>0</v>
      </c>
      <c r="Q126" t="n">
        <v>0</v>
      </c>
      <c r="R126" s="2" t="inlineStr"/>
    </row>
    <row r="127" ht="15" customHeight="1">
      <c r="A127" t="inlineStr">
        <is>
          <t>A 9282-2023</t>
        </is>
      </c>
      <c r="B127" s="1" t="n">
        <v>44977</v>
      </c>
      <c r="C127" s="1" t="n">
        <v>45976</v>
      </c>
      <c r="D127" t="inlineStr">
        <is>
          <t>NORRBOTTENS LÄN</t>
        </is>
      </c>
      <c r="E127" t="inlineStr">
        <is>
          <t>LULEÅ</t>
        </is>
      </c>
      <c r="G127" t="n">
        <v>1.1</v>
      </c>
      <c r="H127" t="n">
        <v>0</v>
      </c>
      <c r="I127" t="n">
        <v>0</v>
      </c>
      <c r="J127" t="n">
        <v>0</v>
      </c>
      <c r="K127" t="n">
        <v>0</v>
      </c>
      <c r="L127" t="n">
        <v>0</v>
      </c>
      <c r="M127" t="n">
        <v>0</v>
      </c>
      <c r="N127" t="n">
        <v>0</v>
      </c>
      <c r="O127" t="n">
        <v>0</v>
      </c>
      <c r="P127" t="n">
        <v>0</v>
      </c>
      <c r="Q127" t="n">
        <v>0</v>
      </c>
      <c r="R127" s="2" t="inlineStr"/>
    </row>
    <row r="128" ht="15" customHeight="1">
      <c r="A128" t="inlineStr">
        <is>
          <t>A 59552-2021</t>
        </is>
      </c>
      <c r="B128" s="1" t="n">
        <v>44491</v>
      </c>
      <c r="C128" s="1" t="n">
        <v>45976</v>
      </c>
      <c r="D128" t="inlineStr">
        <is>
          <t>NORRBOTTENS LÄN</t>
        </is>
      </c>
      <c r="E128" t="inlineStr">
        <is>
          <t>LULEÅ</t>
        </is>
      </c>
      <c r="G128" t="n">
        <v>0.9</v>
      </c>
      <c r="H128" t="n">
        <v>0</v>
      </c>
      <c r="I128" t="n">
        <v>0</v>
      </c>
      <c r="J128" t="n">
        <v>0</v>
      </c>
      <c r="K128" t="n">
        <v>0</v>
      </c>
      <c r="L128" t="n">
        <v>0</v>
      </c>
      <c r="M128" t="n">
        <v>0</v>
      </c>
      <c r="N128" t="n">
        <v>0</v>
      </c>
      <c r="O128" t="n">
        <v>0</v>
      </c>
      <c r="P128" t="n">
        <v>0</v>
      </c>
      <c r="Q128" t="n">
        <v>0</v>
      </c>
      <c r="R128" s="2" t="inlineStr"/>
    </row>
    <row r="129" ht="15" customHeight="1">
      <c r="A129" t="inlineStr">
        <is>
          <t>A 10815-2024</t>
        </is>
      </c>
      <c r="B129" s="1" t="n">
        <v>45369</v>
      </c>
      <c r="C129" s="1" t="n">
        <v>45976</v>
      </c>
      <c r="D129" t="inlineStr">
        <is>
          <t>NORRBOTTENS LÄN</t>
        </is>
      </c>
      <c r="E129" t="inlineStr">
        <is>
          <t>LULEÅ</t>
        </is>
      </c>
      <c r="G129" t="n">
        <v>2.5</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45976</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22007-2024</t>
        </is>
      </c>
      <c r="B131" s="1" t="n">
        <v>45443</v>
      </c>
      <c r="C131" s="1" t="n">
        <v>45976</v>
      </c>
      <c r="D131" t="inlineStr">
        <is>
          <t>NORRBOTTENS LÄN</t>
        </is>
      </c>
      <c r="E131" t="inlineStr">
        <is>
          <t>LULEÅ</t>
        </is>
      </c>
      <c r="G131" t="n">
        <v>1.4</v>
      </c>
      <c r="H131" t="n">
        <v>0</v>
      </c>
      <c r="I131" t="n">
        <v>0</v>
      </c>
      <c r="J131" t="n">
        <v>0</v>
      </c>
      <c r="K131" t="n">
        <v>0</v>
      </c>
      <c r="L131" t="n">
        <v>0</v>
      </c>
      <c r="M131" t="n">
        <v>0</v>
      </c>
      <c r="N131" t="n">
        <v>0</v>
      </c>
      <c r="O131" t="n">
        <v>0</v>
      </c>
      <c r="P131" t="n">
        <v>0</v>
      </c>
      <c r="Q131" t="n">
        <v>0</v>
      </c>
      <c r="R131" s="2" t="inlineStr"/>
    </row>
    <row r="132" ht="15" customHeight="1">
      <c r="A132" t="inlineStr">
        <is>
          <t>A 44987-2022</t>
        </is>
      </c>
      <c r="B132" s="1" t="n">
        <v>44841.59989583334</v>
      </c>
      <c r="C132" s="1" t="n">
        <v>45976</v>
      </c>
      <c r="D132" t="inlineStr">
        <is>
          <t>NORRBOTTENS LÄN</t>
        </is>
      </c>
      <c r="E132" t="inlineStr">
        <is>
          <t>LULEÅ</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61072-2020</t>
        </is>
      </c>
      <c r="B133" s="1" t="n">
        <v>44154.66923611111</v>
      </c>
      <c r="C133" s="1" t="n">
        <v>45976</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9582-2022</t>
        </is>
      </c>
      <c r="B134" s="1" t="n">
        <v>44617</v>
      </c>
      <c r="C134" s="1" t="n">
        <v>45976</v>
      </c>
      <c r="D134" t="inlineStr">
        <is>
          <t>NORRBOTTENS LÄN</t>
        </is>
      </c>
      <c r="E134" t="inlineStr">
        <is>
          <t>LULEÅ</t>
        </is>
      </c>
      <c r="G134" t="n">
        <v>2.9</v>
      </c>
      <c r="H134" t="n">
        <v>0</v>
      </c>
      <c r="I134" t="n">
        <v>0</v>
      </c>
      <c r="J134" t="n">
        <v>0</v>
      </c>
      <c r="K134" t="n">
        <v>0</v>
      </c>
      <c r="L134" t="n">
        <v>0</v>
      </c>
      <c r="M134" t="n">
        <v>0</v>
      </c>
      <c r="N134" t="n">
        <v>0</v>
      </c>
      <c r="O134" t="n">
        <v>0</v>
      </c>
      <c r="P134" t="n">
        <v>0</v>
      </c>
      <c r="Q134" t="n">
        <v>0</v>
      </c>
      <c r="R134" s="2" t="inlineStr"/>
    </row>
    <row r="135" ht="15" customHeight="1">
      <c r="A135" t="inlineStr">
        <is>
          <t>A 3128-2023</t>
        </is>
      </c>
      <c r="B135" s="1" t="n">
        <v>44946</v>
      </c>
      <c r="C135" s="1" t="n">
        <v>45976</v>
      </c>
      <c r="D135" t="inlineStr">
        <is>
          <t>NORRBOTTENS LÄN</t>
        </is>
      </c>
      <c r="E135" t="inlineStr">
        <is>
          <t>LULEÅ</t>
        </is>
      </c>
      <c r="G135" t="n">
        <v>5</v>
      </c>
      <c r="H135" t="n">
        <v>0</v>
      </c>
      <c r="I135" t="n">
        <v>0</v>
      </c>
      <c r="J135" t="n">
        <v>0</v>
      </c>
      <c r="K135" t="n">
        <v>0</v>
      </c>
      <c r="L135" t="n">
        <v>0</v>
      </c>
      <c r="M135" t="n">
        <v>0</v>
      </c>
      <c r="N135" t="n">
        <v>0</v>
      </c>
      <c r="O135" t="n">
        <v>0</v>
      </c>
      <c r="P135" t="n">
        <v>0</v>
      </c>
      <c r="Q135" t="n">
        <v>0</v>
      </c>
      <c r="R135" s="2" t="inlineStr"/>
    </row>
    <row r="136" ht="15" customHeight="1">
      <c r="A136" t="inlineStr">
        <is>
          <t>A 8834-2021</t>
        </is>
      </c>
      <c r="B136" s="1" t="n">
        <v>44245</v>
      </c>
      <c r="C136" s="1" t="n">
        <v>45976</v>
      </c>
      <c r="D136" t="inlineStr">
        <is>
          <t>NORRBOTTENS LÄN</t>
        </is>
      </c>
      <c r="E136" t="inlineStr">
        <is>
          <t>LULEÅ</t>
        </is>
      </c>
      <c r="G136" t="n">
        <v>7.7</v>
      </c>
      <c r="H136" t="n">
        <v>0</v>
      </c>
      <c r="I136" t="n">
        <v>0</v>
      </c>
      <c r="J136" t="n">
        <v>0</v>
      </c>
      <c r="K136" t="n">
        <v>0</v>
      </c>
      <c r="L136" t="n">
        <v>0</v>
      </c>
      <c r="M136" t="n">
        <v>0</v>
      </c>
      <c r="N136" t="n">
        <v>0</v>
      </c>
      <c r="O136" t="n">
        <v>0</v>
      </c>
      <c r="P136" t="n">
        <v>0</v>
      </c>
      <c r="Q136" t="n">
        <v>0</v>
      </c>
      <c r="R136" s="2" t="inlineStr"/>
    </row>
    <row r="137" ht="15" customHeight="1">
      <c r="A137" t="inlineStr">
        <is>
          <t>A 26582-2024</t>
        </is>
      </c>
      <c r="B137" s="1" t="n">
        <v>45469.66545138889</v>
      </c>
      <c r="C137" s="1" t="n">
        <v>45976</v>
      </c>
      <c r="D137" t="inlineStr">
        <is>
          <t>NORRBOTTENS LÄN</t>
        </is>
      </c>
      <c r="E137" t="inlineStr">
        <is>
          <t>LULEÅ</t>
        </is>
      </c>
      <c r="G137" t="n">
        <v>4.8</v>
      </c>
      <c r="H137" t="n">
        <v>0</v>
      </c>
      <c r="I137" t="n">
        <v>0</v>
      </c>
      <c r="J137" t="n">
        <v>0</v>
      </c>
      <c r="K137" t="n">
        <v>0</v>
      </c>
      <c r="L137" t="n">
        <v>0</v>
      </c>
      <c r="M137" t="n">
        <v>0</v>
      </c>
      <c r="N137" t="n">
        <v>0</v>
      </c>
      <c r="O137" t="n">
        <v>0</v>
      </c>
      <c r="P137" t="n">
        <v>0</v>
      </c>
      <c r="Q137" t="n">
        <v>0</v>
      </c>
      <c r="R137" s="2" t="inlineStr"/>
    </row>
    <row r="138" ht="15" customHeight="1">
      <c r="A138" t="inlineStr">
        <is>
          <t>A 57821-2022</t>
        </is>
      </c>
      <c r="B138" s="1" t="n">
        <v>44897</v>
      </c>
      <c r="C138" s="1" t="n">
        <v>45976</v>
      </c>
      <c r="D138" t="inlineStr">
        <is>
          <t>NORRBOTTENS LÄN</t>
        </is>
      </c>
      <c r="E138" t="inlineStr">
        <is>
          <t>LULEÅ</t>
        </is>
      </c>
      <c r="G138" t="n">
        <v>8.6</v>
      </c>
      <c r="H138" t="n">
        <v>0</v>
      </c>
      <c r="I138" t="n">
        <v>0</v>
      </c>
      <c r="J138" t="n">
        <v>0</v>
      </c>
      <c r="K138" t="n">
        <v>0</v>
      </c>
      <c r="L138" t="n">
        <v>0</v>
      </c>
      <c r="M138" t="n">
        <v>0</v>
      </c>
      <c r="N138" t="n">
        <v>0</v>
      </c>
      <c r="O138" t="n">
        <v>0</v>
      </c>
      <c r="P138" t="n">
        <v>0</v>
      </c>
      <c r="Q138" t="n">
        <v>0</v>
      </c>
      <c r="R138" s="2" t="inlineStr"/>
    </row>
    <row r="139" ht="15" customHeight="1">
      <c r="A139" t="inlineStr">
        <is>
          <t>A 4768-2024</t>
        </is>
      </c>
      <c r="B139" s="1" t="n">
        <v>45328</v>
      </c>
      <c r="C139" s="1" t="n">
        <v>45976</v>
      </c>
      <c r="D139" t="inlineStr">
        <is>
          <t>NORRBOTTENS LÄN</t>
        </is>
      </c>
      <c r="E139" t="inlineStr">
        <is>
          <t>LULEÅ</t>
        </is>
      </c>
      <c r="G139" t="n">
        <v>4</v>
      </c>
      <c r="H139" t="n">
        <v>0</v>
      </c>
      <c r="I139" t="n">
        <v>0</v>
      </c>
      <c r="J139" t="n">
        <v>0</v>
      </c>
      <c r="K139" t="n">
        <v>0</v>
      </c>
      <c r="L139" t="n">
        <v>0</v>
      </c>
      <c r="M139" t="n">
        <v>0</v>
      </c>
      <c r="N139" t="n">
        <v>0</v>
      </c>
      <c r="O139" t="n">
        <v>0</v>
      </c>
      <c r="P139" t="n">
        <v>0</v>
      </c>
      <c r="Q139" t="n">
        <v>0</v>
      </c>
      <c r="R139" s="2" t="inlineStr"/>
    </row>
    <row r="140" ht="15" customHeight="1">
      <c r="A140" t="inlineStr">
        <is>
          <t>A 35766-2022</t>
        </is>
      </c>
      <c r="B140" s="1" t="n">
        <v>44800</v>
      </c>
      <c r="C140" s="1" t="n">
        <v>45976</v>
      </c>
      <c r="D140" t="inlineStr">
        <is>
          <t>NORRBOTTENS LÄN</t>
        </is>
      </c>
      <c r="E140" t="inlineStr">
        <is>
          <t>LULEÅ</t>
        </is>
      </c>
      <c r="G140" t="n">
        <v>0.7</v>
      </c>
      <c r="H140" t="n">
        <v>0</v>
      </c>
      <c r="I140" t="n">
        <v>0</v>
      </c>
      <c r="J140" t="n">
        <v>0</v>
      </c>
      <c r="K140" t="n">
        <v>0</v>
      </c>
      <c r="L140" t="n">
        <v>0</v>
      </c>
      <c r="M140" t="n">
        <v>0</v>
      </c>
      <c r="N140" t="n">
        <v>0</v>
      </c>
      <c r="O140" t="n">
        <v>0</v>
      </c>
      <c r="P140" t="n">
        <v>0</v>
      </c>
      <c r="Q140" t="n">
        <v>0</v>
      </c>
      <c r="R140" s="2" t="inlineStr"/>
    </row>
    <row r="141" ht="15" customHeight="1">
      <c r="A141" t="inlineStr">
        <is>
          <t>A 73907-2021</t>
        </is>
      </c>
      <c r="B141" s="1" t="n">
        <v>44552</v>
      </c>
      <c r="C141" s="1" t="n">
        <v>45976</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14160-2024</t>
        </is>
      </c>
      <c r="B142" s="1" t="n">
        <v>45392</v>
      </c>
      <c r="C142" s="1" t="n">
        <v>45976</v>
      </c>
      <c r="D142" t="inlineStr">
        <is>
          <t>NORRBOTTENS LÄN</t>
        </is>
      </c>
      <c r="E142" t="inlineStr">
        <is>
          <t>LULEÅ</t>
        </is>
      </c>
      <c r="G142" t="n">
        <v>2.1</v>
      </c>
      <c r="H142" t="n">
        <v>0</v>
      </c>
      <c r="I142" t="n">
        <v>0</v>
      </c>
      <c r="J142" t="n">
        <v>0</v>
      </c>
      <c r="K142" t="n">
        <v>0</v>
      </c>
      <c r="L142" t="n">
        <v>0</v>
      </c>
      <c r="M142" t="n">
        <v>0</v>
      </c>
      <c r="N142" t="n">
        <v>0</v>
      </c>
      <c r="O142" t="n">
        <v>0</v>
      </c>
      <c r="P142" t="n">
        <v>0</v>
      </c>
      <c r="Q142" t="n">
        <v>0</v>
      </c>
      <c r="R142" s="2" t="inlineStr"/>
    </row>
    <row r="143" ht="15" customHeight="1">
      <c r="A143" t="inlineStr">
        <is>
          <t>A 32378-2021</t>
        </is>
      </c>
      <c r="B143" s="1" t="n">
        <v>44371.61725694445</v>
      </c>
      <c r="C143" s="1" t="n">
        <v>45976</v>
      </c>
      <c r="D143" t="inlineStr">
        <is>
          <t>NORRBOTTENS LÄN</t>
        </is>
      </c>
      <c r="E143" t="inlineStr">
        <is>
          <t>LULEÅ</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68808-2021</t>
        </is>
      </c>
      <c r="B144" s="1" t="n">
        <v>44529</v>
      </c>
      <c r="C144" s="1" t="n">
        <v>45976</v>
      </c>
      <c r="D144" t="inlineStr">
        <is>
          <t>NORRBOTTENS LÄN</t>
        </is>
      </c>
      <c r="E144" t="inlineStr">
        <is>
          <t>LULEÅ</t>
        </is>
      </c>
      <c r="G144" t="n">
        <v>1.9</v>
      </c>
      <c r="H144" t="n">
        <v>0</v>
      </c>
      <c r="I144" t="n">
        <v>0</v>
      </c>
      <c r="J144" t="n">
        <v>0</v>
      </c>
      <c r="K144" t="n">
        <v>0</v>
      </c>
      <c r="L144" t="n">
        <v>0</v>
      </c>
      <c r="M144" t="n">
        <v>0</v>
      </c>
      <c r="N144" t="n">
        <v>0</v>
      </c>
      <c r="O144" t="n">
        <v>0</v>
      </c>
      <c r="P144" t="n">
        <v>0</v>
      </c>
      <c r="Q144" t="n">
        <v>0</v>
      </c>
      <c r="R144" s="2" t="inlineStr"/>
    </row>
    <row r="145" ht="15" customHeight="1">
      <c r="A145" t="inlineStr">
        <is>
          <t>A 1144-2021</t>
        </is>
      </c>
      <c r="B145" s="1" t="n">
        <v>44207</v>
      </c>
      <c r="C145" s="1" t="n">
        <v>45976</v>
      </c>
      <c r="D145" t="inlineStr">
        <is>
          <t>NORRBOTTENS LÄN</t>
        </is>
      </c>
      <c r="E145" t="inlineStr">
        <is>
          <t>LULEÅ</t>
        </is>
      </c>
      <c r="G145" t="n">
        <v>3.2</v>
      </c>
      <c r="H145" t="n">
        <v>0</v>
      </c>
      <c r="I145" t="n">
        <v>0</v>
      </c>
      <c r="J145" t="n">
        <v>0</v>
      </c>
      <c r="K145" t="n">
        <v>0</v>
      </c>
      <c r="L145" t="n">
        <v>0</v>
      </c>
      <c r="M145" t="n">
        <v>0</v>
      </c>
      <c r="N145" t="n">
        <v>0</v>
      </c>
      <c r="O145" t="n">
        <v>0</v>
      </c>
      <c r="P145" t="n">
        <v>0</v>
      </c>
      <c r="Q145" t="n">
        <v>0</v>
      </c>
      <c r="R145" s="2" t="inlineStr"/>
    </row>
    <row r="146" ht="15" customHeight="1">
      <c r="A146" t="inlineStr">
        <is>
          <t>A 1147-2021</t>
        </is>
      </c>
      <c r="B146" s="1" t="n">
        <v>44207</v>
      </c>
      <c r="C146" s="1" t="n">
        <v>45976</v>
      </c>
      <c r="D146" t="inlineStr">
        <is>
          <t>NORRBOTTENS LÄN</t>
        </is>
      </c>
      <c r="E146" t="inlineStr">
        <is>
          <t>LULEÅ</t>
        </is>
      </c>
      <c r="G146" t="n">
        <v>6.5</v>
      </c>
      <c r="H146" t="n">
        <v>0</v>
      </c>
      <c r="I146" t="n">
        <v>0</v>
      </c>
      <c r="J146" t="n">
        <v>0</v>
      </c>
      <c r="K146" t="n">
        <v>0</v>
      </c>
      <c r="L146" t="n">
        <v>0</v>
      </c>
      <c r="M146" t="n">
        <v>0</v>
      </c>
      <c r="N146" t="n">
        <v>0</v>
      </c>
      <c r="O146" t="n">
        <v>0</v>
      </c>
      <c r="P146" t="n">
        <v>0</v>
      </c>
      <c r="Q146" t="n">
        <v>0</v>
      </c>
      <c r="R146" s="2" t="inlineStr"/>
    </row>
    <row r="147" ht="15" customHeight="1">
      <c r="A147" t="inlineStr">
        <is>
          <t>A 5559-2021</t>
        </is>
      </c>
      <c r="B147" s="1" t="n">
        <v>44229</v>
      </c>
      <c r="C147" s="1" t="n">
        <v>45976</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114-2025</t>
        </is>
      </c>
      <c r="B148" s="1" t="n">
        <v>45659.51113425926</v>
      </c>
      <c r="C148" s="1" t="n">
        <v>45976</v>
      </c>
      <c r="D148" t="inlineStr">
        <is>
          <t>NORRBOTTENS LÄN</t>
        </is>
      </c>
      <c r="E148" t="inlineStr">
        <is>
          <t>LULEÅ</t>
        </is>
      </c>
      <c r="G148" t="n">
        <v>3.5</v>
      </c>
      <c r="H148" t="n">
        <v>0</v>
      </c>
      <c r="I148" t="n">
        <v>0</v>
      </c>
      <c r="J148" t="n">
        <v>0</v>
      </c>
      <c r="K148" t="n">
        <v>0</v>
      </c>
      <c r="L148" t="n">
        <v>0</v>
      </c>
      <c r="M148" t="n">
        <v>0</v>
      </c>
      <c r="N148" t="n">
        <v>0</v>
      </c>
      <c r="O148" t="n">
        <v>0</v>
      </c>
      <c r="P148" t="n">
        <v>0</v>
      </c>
      <c r="Q148" t="n">
        <v>0</v>
      </c>
      <c r="R148" s="2" t="inlineStr"/>
    </row>
    <row r="149" ht="15" customHeight="1">
      <c r="A149" t="inlineStr">
        <is>
          <t>A 48412-2023</t>
        </is>
      </c>
      <c r="B149" s="1" t="n">
        <v>45205</v>
      </c>
      <c r="C149" s="1" t="n">
        <v>45976</v>
      </c>
      <c r="D149" t="inlineStr">
        <is>
          <t>NORRBOTTENS LÄN</t>
        </is>
      </c>
      <c r="E149" t="inlineStr">
        <is>
          <t>LULEÅ</t>
        </is>
      </c>
      <c r="G149" t="n">
        <v>45.8</v>
      </c>
      <c r="H149" t="n">
        <v>0</v>
      </c>
      <c r="I149" t="n">
        <v>0</v>
      </c>
      <c r="J149" t="n">
        <v>0</v>
      </c>
      <c r="K149" t="n">
        <v>0</v>
      </c>
      <c r="L149" t="n">
        <v>0</v>
      </c>
      <c r="M149" t="n">
        <v>0</v>
      </c>
      <c r="N149" t="n">
        <v>0</v>
      </c>
      <c r="O149" t="n">
        <v>0</v>
      </c>
      <c r="P149" t="n">
        <v>0</v>
      </c>
      <c r="Q149" t="n">
        <v>0</v>
      </c>
      <c r="R149" s="2" t="inlineStr"/>
    </row>
    <row r="150" ht="15" customHeight="1">
      <c r="A150" t="inlineStr">
        <is>
          <t>A 8228-2024</t>
        </is>
      </c>
      <c r="B150" s="1" t="n">
        <v>45351</v>
      </c>
      <c r="C150" s="1" t="n">
        <v>45976</v>
      </c>
      <c r="D150" t="inlineStr">
        <is>
          <t>NORRBOTTENS LÄN</t>
        </is>
      </c>
      <c r="E150" t="inlineStr">
        <is>
          <t>LULEÅ</t>
        </is>
      </c>
      <c r="G150" t="n">
        <v>10.1</v>
      </c>
      <c r="H150" t="n">
        <v>0</v>
      </c>
      <c r="I150" t="n">
        <v>0</v>
      </c>
      <c r="J150" t="n">
        <v>0</v>
      </c>
      <c r="K150" t="n">
        <v>0</v>
      </c>
      <c r="L150" t="n">
        <v>0</v>
      </c>
      <c r="M150" t="n">
        <v>0</v>
      </c>
      <c r="N150" t="n">
        <v>0</v>
      </c>
      <c r="O150" t="n">
        <v>0</v>
      </c>
      <c r="P150" t="n">
        <v>0</v>
      </c>
      <c r="Q150" t="n">
        <v>0</v>
      </c>
      <c r="R150" s="2" t="inlineStr"/>
    </row>
    <row r="151" ht="15" customHeight="1">
      <c r="A151" t="inlineStr">
        <is>
          <t>A 58469-2024</t>
        </is>
      </c>
      <c r="B151" s="1" t="n">
        <v>45632</v>
      </c>
      <c r="C151" s="1" t="n">
        <v>45976</v>
      </c>
      <c r="D151" t="inlineStr">
        <is>
          <t>NORRBOTTENS LÄN</t>
        </is>
      </c>
      <c r="E151" t="inlineStr">
        <is>
          <t>LULEÅ</t>
        </is>
      </c>
      <c r="G151" t="n">
        <v>9</v>
      </c>
      <c r="H151" t="n">
        <v>0</v>
      </c>
      <c r="I151" t="n">
        <v>0</v>
      </c>
      <c r="J151" t="n">
        <v>0</v>
      </c>
      <c r="K151" t="n">
        <v>0</v>
      </c>
      <c r="L151" t="n">
        <v>0</v>
      </c>
      <c r="M151" t="n">
        <v>0</v>
      </c>
      <c r="N151" t="n">
        <v>0</v>
      </c>
      <c r="O151" t="n">
        <v>0</v>
      </c>
      <c r="P151" t="n">
        <v>0</v>
      </c>
      <c r="Q151" t="n">
        <v>0</v>
      </c>
      <c r="R151" s="2" t="inlineStr"/>
    </row>
    <row r="152" ht="15" customHeight="1">
      <c r="A152" t="inlineStr">
        <is>
          <t>A 58827-2024</t>
        </is>
      </c>
      <c r="B152" s="1" t="n">
        <v>45635</v>
      </c>
      <c r="C152" s="1" t="n">
        <v>45976</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46826-2021</t>
        </is>
      </c>
      <c r="B153" s="1" t="n">
        <v>44446</v>
      </c>
      <c r="C153" s="1" t="n">
        <v>45976</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30358-2023</t>
        </is>
      </c>
      <c r="B154" s="1" t="n">
        <v>45111</v>
      </c>
      <c r="C154" s="1" t="n">
        <v>45976</v>
      </c>
      <c r="D154" t="inlineStr">
        <is>
          <t>NORRBOTTENS LÄN</t>
        </is>
      </c>
      <c r="E154" t="inlineStr">
        <is>
          <t>LULEÅ</t>
        </is>
      </c>
      <c r="G154" t="n">
        <v>3.9</v>
      </c>
      <c r="H154" t="n">
        <v>0</v>
      </c>
      <c r="I154" t="n">
        <v>0</v>
      </c>
      <c r="J154" t="n">
        <v>0</v>
      </c>
      <c r="K154" t="n">
        <v>0</v>
      </c>
      <c r="L154" t="n">
        <v>0</v>
      </c>
      <c r="M154" t="n">
        <v>0</v>
      </c>
      <c r="N154" t="n">
        <v>0</v>
      </c>
      <c r="O154" t="n">
        <v>0</v>
      </c>
      <c r="P154" t="n">
        <v>0</v>
      </c>
      <c r="Q154" t="n">
        <v>0</v>
      </c>
      <c r="R154" s="2" t="inlineStr"/>
    </row>
    <row r="155" ht="15" customHeight="1">
      <c r="A155" t="inlineStr">
        <is>
          <t>A 9932-2022</t>
        </is>
      </c>
      <c r="B155" s="1" t="n">
        <v>44620</v>
      </c>
      <c r="C155" s="1" t="n">
        <v>45976</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61891-2023</t>
        </is>
      </c>
      <c r="B156" s="1" t="n">
        <v>45264</v>
      </c>
      <c r="C156" s="1" t="n">
        <v>45976</v>
      </c>
      <c r="D156" t="inlineStr">
        <is>
          <t>NORRBOTTENS LÄN</t>
        </is>
      </c>
      <c r="E156" t="inlineStr">
        <is>
          <t>LULEÅ</t>
        </is>
      </c>
      <c r="G156" t="n">
        <v>1.7</v>
      </c>
      <c r="H156" t="n">
        <v>0</v>
      </c>
      <c r="I156" t="n">
        <v>0</v>
      </c>
      <c r="J156" t="n">
        <v>0</v>
      </c>
      <c r="K156" t="n">
        <v>0</v>
      </c>
      <c r="L156" t="n">
        <v>0</v>
      </c>
      <c r="M156" t="n">
        <v>0</v>
      </c>
      <c r="N156" t="n">
        <v>0</v>
      </c>
      <c r="O156" t="n">
        <v>0</v>
      </c>
      <c r="P156" t="n">
        <v>0</v>
      </c>
      <c r="Q156" t="n">
        <v>0</v>
      </c>
      <c r="R156" s="2" t="inlineStr"/>
    </row>
    <row r="157" ht="15" customHeight="1">
      <c r="A157" t="inlineStr">
        <is>
          <t>A 44205-2022</t>
        </is>
      </c>
      <c r="B157" s="1" t="n">
        <v>44837</v>
      </c>
      <c r="C157" s="1" t="n">
        <v>45976</v>
      </c>
      <c r="D157" t="inlineStr">
        <is>
          <t>NORRBOTTENS LÄN</t>
        </is>
      </c>
      <c r="E157" t="inlineStr">
        <is>
          <t>LULEÅ</t>
        </is>
      </c>
      <c r="G157" t="n">
        <v>4.9</v>
      </c>
      <c r="H157" t="n">
        <v>0</v>
      </c>
      <c r="I157" t="n">
        <v>0</v>
      </c>
      <c r="J157" t="n">
        <v>0</v>
      </c>
      <c r="K157" t="n">
        <v>0</v>
      </c>
      <c r="L157" t="n">
        <v>0</v>
      </c>
      <c r="M157" t="n">
        <v>0</v>
      </c>
      <c r="N157" t="n">
        <v>0</v>
      </c>
      <c r="O157" t="n">
        <v>0</v>
      </c>
      <c r="P157" t="n">
        <v>0</v>
      </c>
      <c r="Q157" t="n">
        <v>0</v>
      </c>
      <c r="R157" s="2" t="inlineStr"/>
    </row>
    <row r="158" ht="15" customHeight="1">
      <c r="A158" t="inlineStr">
        <is>
          <t>A 17438-2023</t>
        </is>
      </c>
      <c r="B158" s="1" t="n">
        <v>45035.92709490741</v>
      </c>
      <c r="C158" s="1" t="n">
        <v>45976</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4137-2024</t>
        </is>
      </c>
      <c r="B159" s="1" t="n">
        <v>45323</v>
      </c>
      <c r="C159" s="1" t="n">
        <v>45976</v>
      </c>
      <c r="D159" t="inlineStr">
        <is>
          <t>NORRBOTTENS LÄN</t>
        </is>
      </c>
      <c r="E159" t="inlineStr">
        <is>
          <t>LULEÅ</t>
        </is>
      </c>
      <c r="G159" t="n">
        <v>13.1</v>
      </c>
      <c r="H159" t="n">
        <v>0</v>
      </c>
      <c r="I159" t="n">
        <v>0</v>
      </c>
      <c r="J159" t="n">
        <v>0</v>
      </c>
      <c r="K159" t="n">
        <v>0</v>
      </c>
      <c r="L159" t="n">
        <v>0</v>
      </c>
      <c r="M159" t="n">
        <v>0</v>
      </c>
      <c r="N159" t="n">
        <v>0</v>
      </c>
      <c r="O159" t="n">
        <v>0</v>
      </c>
      <c r="P159" t="n">
        <v>0</v>
      </c>
      <c r="Q159" t="n">
        <v>0</v>
      </c>
      <c r="R159" s="2" t="inlineStr"/>
    </row>
    <row r="160" ht="15" customHeight="1">
      <c r="A160" t="inlineStr">
        <is>
          <t>A 38551-2023</t>
        </is>
      </c>
      <c r="B160" s="1" t="n">
        <v>45160</v>
      </c>
      <c r="C160" s="1" t="n">
        <v>45976</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29457-2023</t>
        </is>
      </c>
      <c r="B161" s="1" t="n">
        <v>45106</v>
      </c>
      <c r="C161" s="1" t="n">
        <v>45976</v>
      </c>
      <c r="D161" t="inlineStr">
        <is>
          <t>NORRBOTTENS LÄN</t>
        </is>
      </c>
      <c r="E161" t="inlineStr">
        <is>
          <t>LULEÅ</t>
        </is>
      </c>
      <c r="G161" t="n">
        <v>7</v>
      </c>
      <c r="H161" t="n">
        <v>0</v>
      </c>
      <c r="I161" t="n">
        <v>0</v>
      </c>
      <c r="J161" t="n">
        <v>0</v>
      </c>
      <c r="K161" t="n">
        <v>0</v>
      </c>
      <c r="L161" t="n">
        <v>0</v>
      </c>
      <c r="M161" t="n">
        <v>0</v>
      </c>
      <c r="N161" t="n">
        <v>0</v>
      </c>
      <c r="O161" t="n">
        <v>0</v>
      </c>
      <c r="P161" t="n">
        <v>0</v>
      </c>
      <c r="Q161" t="n">
        <v>0</v>
      </c>
      <c r="R161" s="2" t="inlineStr"/>
    </row>
    <row r="162" ht="15" customHeight="1">
      <c r="A162" t="inlineStr">
        <is>
          <t>A 48642-2023</t>
        </is>
      </c>
      <c r="B162" s="1" t="n">
        <v>45208</v>
      </c>
      <c r="C162" s="1" t="n">
        <v>45976</v>
      </c>
      <c r="D162" t="inlineStr">
        <is>
          <t>NORRBOTTENS LÄN</t>
        </is>
      </c>
      <c r="E162" t="inlineStr">
        <is>
          <t>LULEÅ</t>
        </is>
      </c>
      <c r="G162" t="n">
        <v>4.5</v>
      </c>
      <c r="H162" t="n">
        <v>0</v>
      </c>
      <c r="I162" t="n">
        <v>0</v>
      </c>
      <c r="J162" t="n">
        <v>0</v>
      </c>
      <c r="K162" t="n">
        <v>0</v>
      </c>
      <c r="L162" t="n">
        <v>0</v>
      </c>
      <c r="M162" t="n">
        <v>0</v>
      </c>
      <c r="N162" t="n">
        <v>0</v>
      </c>
      <c r="O162" t="n">
        <v>0</v>
      </c>
      <c r="P162" t="n">
        <v>0</v>
      </c>
      <c r="Q162" t="n">
        <v>0</v>
      </c>
      <c r="R162" s="2" t="inlineStr"/>
    </row>
    <row r="163" ht="15" customHeight="1">
      <c r="A163" t="inlineStr">
        <is>
          <t>A 26234-2023</t>
        </is>
      </c>
      <c r="B163" s="1" t="n">
        <v>45086</v>
      </c>
      <c r="C163" s="1" t="n">
        <v>45976</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44688-2022</t>
        </is>
      </c>
      <c r="B164" s="1" t="n">
        <v>44839</v>
      </c>
      <c r="C164" s="1" t="n">
        <v>45976</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1002-2025</t>
        </is>
      </c>
      <c r="B165" s="1" t="n">
        <v>45665</v>
      </c>
      <c r="C165" s="1" t="n">
        <v>45976</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6739-2024</t>
        </is>
      </c>
      <c r="B166" s="1" t="n">
        <v>45342</v>
      </c>
      <c r="C166" s="1" t="n">
        <v>45976</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7417-2021</t>
        </is>
      </c>
      <c r="B167" s="1" t="n">
        <v>44239</v>
      </c>
      <c r="C167" s="1" t="n">
        <v>45976</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74274-2021</t>
        </is>
      </c>
      <c r="B168" s="1" t="n">
        <v>44558</v>
      </c>
      <c r="C168" s="1" t="n">
        <v>45976</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15127-2023</t>
        </is>
      </c>
      <c r="B169" s="1" t="n">
        <v>45016</v>
      </c>
      <c r="C169" s="1" t="n">
        <v>45976</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60106-2024</t>
        </is>
      </c>
      <c r="B170" s="1" t="n">
        <v>45642.56950231481</v>
      </c>
      <c r="C170" s="1" t="n">
        <v>45976</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6386-2023</t>
        </is>
      </c>
      <c r="B171" s="1" t="n">
        <v>44960</v>
      </c>
      <c r="C171" s="1" t="n">
        <v>45976</v>
      </c>
      <c r="D171" t="inlineStr">
        <is>
          <t>NORRBOTTENS LÄN</t>
        </is>
      </c>
      <c r="E171" t="inlineStr">
        <is>
          <t>LULEÅ</t>
        </is>
      </c>
      <c r="G171" t="n">
        <v>3.9</v>
      </c>
      <c r="H171" t="n">
        <v>0</v>
      </c>
      <c r="I171" t="n">
        <v>0</v>
      </c>
      <c r="J171" t="n">
        <v>0</v>
      </c>
      <c r="K171" t="n">
        <v>0</v>
      </c>
      <c r="L171" t="n">
        <v>0</v>
      </c>
      <c r="M171" t="n">
        <v>0</v>
      </c>
      <c r="N171" t="n">
        <v>0</v>
      </c>
      <c r="O171" t="n">
        <v>0</v>
      </c>
      <c r="P171" t="n">
        <v>0</v>
      </c>
      <c r="Q171" t="n">
        <v>0</v>
      </c>
      <c r="R171" s="2" t="inlineStr"/>
    </row>
    <row r="172" ht="15" customHeight="1">
      <c r="A172" t="inlineStr">
        <is>
          <t>A 72752-2021</t>
        </is>
      </c>
      <c r="B172" s="1" t="n">
        <v>44546.92262731482</v>
      </c>
      <c r="C172" s="1" t="n">
        <v>45976</v>
      </c>
      <c r="D172" t="inlineStr">
        <is>
          <t>NORRBOTTENS LÄN</t>
        </is>
      </c>
      <c r="E172" t="inlineStr">
        <is>
          <t>LULEÅ</t>
        </is>
      </c>
      <c r="G172" t="n">
        <v>1.8</v>
      </c>
      <c r="H172" t="n">
        <v>0</v>
      </c>
      <c r="I172" t="n">
        <v>0</v>
      </c>
      <c r="J172" t="n">
        <v>0</v>
      </c>
      <c r="K172" t="n">
        <v>0</v>
      </c>
      <c r="L172" t="n">
        <v>0</v>
      </c>
      <c r="M172" t="n">
        <v>0</v>
      </c>
      <c r="N172" t="n">
        <v>0</v>
      </c>
      <c r="O172" t="n">
        <v>0</v>
      </c>
      <c r="P172" t="n">
        <v>0</v>
      </c>
      <c r="Q172" t="n">
        <v>0</v>
      </c>
      <c r="R172" s="2" t="inlineStr"/>
    </row>
    <row r="173" ht="15" customHeight="1">
      <c r="A173" t="inlineStr">
        <is>
          <t>A 14990-2024</t>
        </is>
      </c>
      <c r="B173" s="1" t="n">
        <v>45399.36019675926</v>
      </c>
      <c r="C173" s="1" t="n">
        <v>45976</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50642-2024</t>
        </is>
      </c>
      <c r="B174" s="1" t="n">
        <v>45601.68076388889</v>
      </c>
      <c r="C174" s="1" t="n">
        <v>45976</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50645-2024</t>
        </is>
      </c>
      <c r="B175" s="1" t="n">
        <v>45601.68283564815</v>
      </c>
      <c r="C175" s="1" t="n">
        <v>45976</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3185-2025</t>
        </is>
      </c>
      <c r="B176" s="1" t="n">
        <v>45679.40358796297</v>
      </c>
      <c r="C176" s="1" t="n">
        <v>45976</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4286-2025</t>
        </is>
      </c>
      <c r="B177" s="1" t="n">
        <v>45685</v>
      </c>
      <c r="C177" s="1" t="n">
        <v>45976</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53603-2024</t>
        </is>
      </c>
      <c r="B178" s="1" t="n">
        <v>45614.69736111111</v>
      </c>
      <c r="C178" s="1" t="n">
        <v>45976</v>
      </c>
      <c r="D178" t="inlineStr">
        <is>
          <t>NORRBOTTENS LÄN</t>
        </is>
      </c>
      <c r="E178" t="inlineStr">
        <is>
          <t>LULEÅ</t>
        </is>
      </c>
      <c r="G178" t="n">
        <v>3.2</v>
      </c>
      <c r="H178" t="n">
        <v>0</v>
      </c>
      <c r="I178" t="n">
        <v>0</v>
      </c>
      <c r="J178" t="n">
        <v>0</v>
      </c>
      <c r="K178" t="n">
        <v>0</v>
      </c>
      <c r="L178" t="n">
        <v>0</v>
      </c>
      <c r="M178" t="n">
        <v>0</v>
      </c>
      <c r="N178" t="n">
        <v>0</v>
      </c>
      <c r="O178" t="n">
        <v>0</v>
      </c>
      <c r="P178" t="n">
        <v>0</v>
      </c>
      <c r="Q178" t="n">
        <v>0</v>
      </c>
      <c r="R178" s="2" t="inlineStr"/>
    </row>
    <row r="179" ht="15" customHeight="1">
      <c r="A179" t="inlineStr">
        <is>
          <t>A 25791-2024</t>
        </is>
      </c>
      <c r="B179" s="1" t="n">
        <v>45463</v>
      </c>
      <c r="C179" s="1" t="n">
        <v>45976</v>
      </c>
      <c r="D179" t="inlineStr">
        <is>
          <t>NORRBOTTENS LÄN</t>
        </is>
      </c>
      <c r="E179" t="inlineStr">
        <is>
          <t>LULEÅ</t>
        </is>
      </c>
      <c r="G179" t="n">
        <v>3.6</v>
      </c>
      <c r="H179" t="n">
        <v>0</v>
      </c>
      <c r="I179" t="n">
        <v>0</v>
      </c>
      <c r="J179" t="n">
        <v>0</v>
      </c>
      <c r="K179" t="n">
        <v>0</v>
      </c>
      <c r="L179" t="n">
        <v>0</v>
      </c>
      <c r="M179" t="n">
        <v>0</v>
      </c>
      <c r="N179" t="n">
        <v>0</v>
      </c>
      <c r="O179" t="n">
        <v>0</v>
      </c>
      <c r="P179" t="n">
        <v>0</v>
      </c>
      <c r="Q179" t="n">
        <v>0</v>
      </c>
      <c r="R179" s="2" t="inlineStr"/>
    </row>
    <row r="180" ht="15" customHeight="1">
      <c r="A180" t="inlineStr">
        <is>
          <t>A 8862-2024</t>
        </is>
      </c>
      <c r="B180" s="1" t="n">
        <v>45356.96326388889</v>
      </c>
      <c r="C180" s="1" t="n">
        <v>45976</v>
      </c>
      <c r="D180" t="inlineStr">
        <is>
          <t>NORRBOTTENS LÄN</t>
        </is>
      </c>
      <c r="E180" t="inlineStr">
        <is>
          <t>LULEÅ</t>
        </is>
      </c>
      <c r="G180" t="n">
        <v>10.6</v>
      </c>
      <c r="H180" t="n">
        <v>0</v>
      </c>
      <c r="I180" t="n">
        <v>0</v>
      </c>
      <c r="J180" t="n">
        <v>0</v>
      </c>
      <c r="K180" t="n">
        <v>0</v>
      </c>
      <c r="L180" t="n">
        <v>0</v>
      </c>
      <c r="M180" t="n">
        <v>0</v>
      </c>
      <c r="N180" t="n">
        <v>0</v>
      </c>
      <c r="O180" t="n">
        <v>0</v>
      </c>
      <c r="P180" t="n">
        <v>0</v>
      </c>
      <c r="Q180" t="n">
        <v>0</v>
      </c>
      <c r="R180" s="2" t="inlineStr"/>
    </row>
    <row r="181" ht="15" customHeight="1">
      <c r="A181" t="inlineStr">
        <is>
          <t>A 9250-2025</t>
        </is>
      </c>
      <c r="B181" s="1" t="n">
        <v>45714</v>
      </c>
      <c r="C181" s="1" t="n">
        <v>45976</v>
      </c>
      <c r="D181" t="inlineStr">
        <is>
          <t>NORRBOTTENS LÄN</t>
        </is>
      </c>
      <c r="E181" t="inlineStr">
        <is>
          <t>LULEÅ</t>
        </is>
      </c>
      <c r="G181" t="n">
        <v>2.1</v>
      </c>
      <c r="H181" t="n">
        <v>0</v>
      </c>
      <c r="I181" t="n">
        <v>0</v>
      </c>
      <c r="J181" t="n">
        <v>0</v>
      </c>
      <c r="K181" t="n">
        <v>0</v>
      </c>
      <c r="L181" t="n">
        <v>0</v>
      </c>
      <c r="M181" t="n">
        <v>0</v>
      </c>
      <c r="N181" t="n">
        <v>0</v>
      </c>
      <c r="O181" t="n">
        <v>0</v>
      </c>
      <c r="P181" t="n">
        <v>0</v>
      </c>
      <c r="Q181" t="n">
        <v>0</v>
      </c>
      <c r="R181" s="2" t="inlineStr"/>
    </row>
    <row r="182" ht="15" customHeight="1">
      <c r="A182" t="inlineStr">
        <is>
          <t>A 37935-2024</t>
        </is>
      </c>
      <c r="B182" s="1" t="n">
        <v>45544</v>
      </c>
      <c r="C182" s="1" t="n">
        <v>45976</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55076-2024</t>
        </is>
      </c>
      <c r="B183" s="1" t="n">
        <v>45621.42574074074</v>
      </c>
      <c r="C183" s="1" t="n">
        <v>45976</v>
      </c>
      <c r="D183" t="inlineStr">
        <is>
          <t>NORRBOTTENS LÄN</t>
        </is>
      </c>
      <c r="E183" t="inlineStr">
        <is>
          <t>LULEÅ</t>
        </is>
      </c>
      <c r="G183" t="n">
        <v>6.2</v>
      </c>
      <c r="H183" t="n">
        <v>0</v>
      </c>
      <c r="I183" t="n">
        <v>0</v>
      </c>
      <c r="J183" t="n">
        <v>0</v>
      </c>
      <c r="K183" t="n">
        <v>0</v>
      </c>
      <c r="L183" t="n">
        <v>0</v>
      </c>
      <c r="M183" t="n">
        <v>0</v>
      </c>
      <c r="N183" t="n">
        <v>0</v>
      </c>
      <c r="O183" t="n">
        <v>0</v>
      </c>
      <c r="P183" t="n">
        <v>0</v>
      </c>
      <c r="Q183" t="n">
        <v>0</v>
      </c>
      <c r="R183" s="2" t="inlineStr"/>
    </row>
    <row r="184" ht="15" customHeight="1">
      <c r="A184" t="inlineStr">
        <is>
          <t>A 695-2025</t>
        </is>
      </c>
      <c r="B184" s="1" t="n">
        <v>45663</v>
      </c>
      <c r="C184" s="1" t="n">
        <v>45976</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46869-2024</t>
        </is>
      </c>
      <c r="B185" s="1" t="n">
        <v>45583</v>
      </c>
      <c r="C185" s="1" t="n">
        <v>45976</v>
      </c>
      <c r="D185" t="inlineStr">
        <is>
          <t>NORRBOTTENS LÄN</t>
        </is>
      </c>
      <c r="E185" t="inlineStr">
        <is>
          <t>LULEÅ</t>
        </is>
      </c>
      <c r="G185" t="n">
        <v>4.4</v>
      </c>
      <c r="H185" t="n">
        <v>0</v>
      </c>
      <c r="I185" t="n">
        <v>0</v>
      </c>
      <c r="J185" t="n">
        <v>0</v>
      </c>
      <c r="K185" t="n">
        <v>0</v>
      </c>
      <c r="L185" t="n">
        <v>0</v>
      </c>
      <c r="M185" t="n">
        <v>0</v>
      </c>
      <c r="N185" t="n">
        <v>0</v>
      </c>
      <c r="O185" t="n">
        <v>0</v>
      </c>
      <c r="P185" t="n">
        <v>0</v>
      </c>
      <c r="Q185" t="n">
        <v>0</v>
      </c>
      <c r="R185" s="2" t="inlineStr"/>
    </row>
    <row r="186" ht="15" customHeight="1">
      <c r="A186" t="inlineStr">
        <is>
          <t>A 58823-2024</t>
        </is>
      </c>
      <c r="B186" s="1" t="n">
        <v>45635</v>
      </c>
      <c r="C186" s="1" t="n">
        <v>45976</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26587-2024</t>
        </is>
      </c>
      <c r="B187" s="1" t="n">
        <v>45469.67459490741</v>
      </c>
      <c r="C187" s="1" t="n">
        <v>45976</v>
      </c>
      <c r="D187" t="inlineStr">
        <is>
          <t>NORRBOTTENS LÄN</t>
        </is>
      </c>
      <c r="E187" t="inlineStr">
        <is>
          <t>LULEÅ</t>
        </is>
      </c>
      <c r="G187" t="n">
        <v>3.9</v>
      </c>
      <c r="H187" t="n">
        <v>0</v>
      </c>
      <c r="I187" t="n">
        <v>0</v>
      </c>
      <c r="J187" t="n">
        <v>0</v>
      </c>
      <c r="K187" t="n">
        <v>0</v>
      </c>
      <c r="L187" t="n">
        <v>0</v>
      </c>
      <c r="M187" t="n">
        <v>0</v>
      </c>
      <c r="N187" t="n">
        <v>0</v>
      </c>
      <c r="O187" t="n">
        <v>0</v>
      </c>
      <c r="P187" t="n">
        <v>0</v>
      </c>
      <c r="Q187" t="n">
        <v>0</v>
      </c>
      <c r="R187" s="2" t="inlineStr"/>
    </row>
    <row r="188" ht="15" customHeight="1">
      <c r="A188" t="inlineStr">
        <is>
          <t>A 28275-2022</t>
        </is>
      </c>
      <c r="B188" s="1" t="n">
        <v>44746</v>
      </c>
      <c r="C188" s="1" t="n">
        <v>45976</v>
      </c>
      <c r="D188" t="inlineStr">
        <is>
          <t>NORRBOTTENS LÄN</t>
        </is>
      </c>
      <c r="E188" t="inlineStr">
        <is>
          <t>LULEÅ</t>
        </is>
      </c>
      <c r="G188" t="n">
        <v>2.7</v>
      </c>
      <c r="H188" t="n">
        <v>0</v>
      </c>
      <c r="I188" t="n">
        <v>0</v>
      </c>
      <c r="J188" t="n">
        <v>0</v>
      </c>
      <c r="K188" t="n">
        <v>0</v>
      </c>
      <c r="L188" t="n">
        <v>0</v>
      </c>
      <c r="M188" t="n">
        <v>0</v>
      </c>
      <c r="N188" t="n">
        <v>0</v>
      </c>
      <c r="O188" t="n">
        <v>0</v>
      </c>
      <c r="P188" t="n">
        <v>0</v>
      </c>
      <c r="Q188" t="n">
        <v>0</v>
      </c>
      <c r="R188" s="2" t="inlineStr"/>
    </row>
    <row r="189" ht="15" customHeight="1">
      <c r="A189" t="inlineStr">
        <is>
          <t>A 52240-2023</t>
        </is>
      </c>
      <c r="B189" s="1" t="n">
        <v>45224</v>
      </c>
      <c r="C189" s="1" t="n">
        <v>45976</v>
      </c>
      <c r="D189" t="inlineStr">
        <is>
          <t>NORRBOTTENS LÄN</t>
        </is>
      </c>
      <c r="E189" t="inlineStr">
        <is>
          <t>LULEÅ</t>
        </is>
      </c>
      <c r="G189" t="n">
        <v>4.5</v>
      </c>
      <c r="H189" t="n">
        <v>0</v>
      </c>
      <c r="I189" t="n">
        <v>0</v>
      </c>
      <c r="J189" t="n">
        <v>0</v>
      </c>
      <c r="K189" t="n">
        <v>0</v>
      </c>
      <c r="L189" t="n">
        <v>0</v>
      </c>
      <c r="M189" t="n">
        <v>0</v>
      </c>
      <c r="N189" t="n">
        <v>0</v>
      </c>
      <c r="O189" t="n">
        <v>0</v>
      </c>
      <c r="P189" t="n">
        <v>0</v>
      </c>
      <c r="Q189" t="n">
        <v>0</v>
      </c>
      <c r="R189" s="2" t="inlineStr"/>
    </row>
    <row r="190" ht="15" customHeight="1">
      <c r="A190" t="inlineStr">
        <is>
          <t>A 16296-2025</t>
        </is>
      </c>
      <c r="B190" s="1" t="n">
        <v>45751.34513888889</v>
      </c>
      <c r="C190" s="1" t="n">
        <v>45976</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6552-2024</t>
        </is>
      </c>
      <c r="B191" s="1" t="n">
        <v>45341</v>
      </c>
      <c r="C191" s="1" t="n">
        <v>45976</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42422-2024</t>
        </is>
      </c>
      <c r="B192" s="1" t="n">
        <v>45565.38912037037</v>
      </c>
      <c r="C192" s="1" t="n">
        <v>45976</v>
      </c>
      <c r="D192" t="inlineStr">
        <is>
          <t>NORRBOTTENS LÄN</t>
        </is>
      </c>
      <c r="E192" t="inlineStr">
        <is>
          <t>LULEÅ</t>
        </is>
      </c>
      <c r="G192" t="n">
        <v>0.5</v>
      </c>
      <c r="H192" t="n">
        <v>0</v>
      </c>
      <c r="I192" t="n">
        <v>0</v>
      </c>
      <c r="J192" t="n">
        <v>0</v>
      </c>
      <c r="K192" t="n">
        <v>0</v>
      </c>
      <c r="L192" t="n">
        <v>0</v>
      </c>
      <c r="M192" t="n">
        <v>0</v>
      </c>
      <c r="N192" t="n">
        <v>0</v>
      </c>
      <c r="O192" t="n">
        <v>0</v>
      </c>
      <c r="P192" t="n">
        <v>0</v>
      </c>
      <c r="Q192" t="n">
        <v>0</v>
      </c>
      <c r="R192" s="2" t="inlineStr"/>
    </row>
    <row r="193" ht="15" customHeight="1">
      <c r="A193" t="inlineStr">
        <is>
          <t>A 42426-2024</t>
        </is>
      </c>
      <c r="B193" s="1" t="n">
        <v>45565.39958333333</v>
      </c>
      <c r="C193" s="1" t="n">
        <v>45976</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10608-2025</t>
        </is>
      </c>
      <c r="B194" s="1" t="n">
        <v>45721</v>
      </c>
      <c r="C194" s="1" t="n">
        <v>45976</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18053-2024</t>
        </is>
      </c>
      <c r="B195" s="1" t="n">
        <v>45420</v>
      </c>
      <c r="C195" s="1" t="n">
        <v>45976</v>
      </c>
      <c r="D195" t="inlineStr">
        <is>
          <t>NORRBOTTENS LÄN</t>
        </is>
      </c>
      <c r="E195" t="inlineStr">
        <is>
          <t>LULEÅ</t>
        </is>
      </c>
      <c r="G195" t="n">
        <v>3.7</v>
      </c>
      <c r="H195" t="n">
        <v>0</v>
      </c>
      <c r="I195" t="n">
        <v>0</v>
      </c>
      <c r="J195" t="n">
        <v>0</v>
      </c>
      <c r="K195" t="n">
        <v>0</v>
      </c>
      <c r="L195" t="n">
        <v>0</v>
      </c>
      <c r="M195" t="n">
        <v>0</v>
      </c>
      <c r="N195" t="n">
        <v>0</v>
      </c>
      <c r="O195" t="n">
        <v>0</v>
      </c>
      <c r="P195" t="n">
        <v>0</v>
      </c>
      <c r="Q195" t="n">
        <v>0</v>
      </c>
      <c r="R195" s="2" t="inlineStr"/>
    </row>
    <row r="196" ht="15" customHeight="1">
      <c r="A196" t="inlineStr">
        <is>
          <t>A 23632-2021</t>
        </is>
      </c>
      <c r="B196" s="1" t="n">
        <v>44334</v>
      </c>
      <c r="C196" s="1" t="n">
        <v>45976</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19986-2025</t>
        </is>
      </c>
      <c r="B197" s="1" t="n">
        <v>45771.71979166667</v>
      </c>
      <c r="C197" s="1" t="n">
        <v>45976</v>
      </c>
      <c r="D197" t="inlineStr">
        <is>
          <t>NORRBOTTENS LÄN</t>
        </is>
      </c>
      <c r="E197" t="inlineStr">
        <is>
          <t>LULEÅ</t>
        </is>
      </c>
      <c r="F197" t="inlineStr">
        <is>
          <t>Naturvårdsverket</t>
        </is>
      </c>
      <c r="G197" t="n">
        <v>1.3</v>
      </c>
      <c r="H197" t="n">
        <v>0</v>
      </c>
      <c r="I197" t="n">
        <v>0</v>
      </c>
      <c r="J197" t="n">
        <v>0</v>
      </c>
      <c r="K197" t="n">
        <v>0</v>
      </c>
      <c r="L197" t="n">
        <v>0</v>
      </c>
      <c r="M197" t="n">
        <v>0</v>
      </c>
      <c r="N197" t="n">
        <v>0</v>
      </c>
      <c r="O197" t="n">
        <v>0</v>
      </c>
      <c r="P197" t="n">
        <v>0</v>
      </c>
      <c r="Q197" t="n">
        <v>0</v>
      </c>
      <c r="R197" s="2" t="inlineStr"/>
    </row>
    <row r="198" ht="15" customHeight="1">
      <c r="A198" t="inlineStr">
        <is>
          <t>A 11716-2023</t>
        </is>
      </c>
      <c r="B198" s="1" t="n">
        <v>44992</v>
      </c>
      <c r="C198" s="1" t="n">
        <v>45976</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49641-2024</t>
        </is>
      </c>
      <c r="B199" s="1" t="n">
        <v>45596</v>
      </c>
      <c r="C199" s="1" t="n">
        <v>45976</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37948-2025</t>
        </is>
      </c>
      <c r="B200" s="1" t="n">
        <v>45881.61543981481</v>
      </c>
      <c r="C200" s="1" t="n">
        <v>45976</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37304-2024</t>
        </is>
      </c>
      <c r="B201" s="1" t="n">
        <v>45540</v>
      </c>
      <c r="C201" s="1" t="n">
        <v>45976</v>
      </c>
      <c r="D201" t="inlineStr">
        <is>
          <t>NORRBOTTENS LÄN</t>
        </is>
      </c>
      <c r="E201" t="inlineStr">
        <is>
          <t>LULEÅ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5688-2023</t>
        </is>
      </c>
      <c r="B202" s="1" t="n">
        <v>44960.92371527778</v>
      </c>
      <c r="C202" s="1" t="n">
        <v>45976</v>
      </c>
      <c r="D202" t="inlineStr">
        <is>
          <t>NORRBOTTENS LÄN</t>
        </is>
      </c>
      <c r="E202" t="inlineStr">
        <is>
          <t>LULEÅ</t>
        </is>
      </c>
      <c r="G202" t="n">
        <v>5.9</v>
      </c>
      <c r="H202" t="n">
        <v>0</v>
      </c>
      <c r="I202" t="n">
        <v>0</v>
      </c>
      <c r="J202" t="n">
        <v>0</v>
      </c>
      <c r="K202" t="n">
        <v>0</v>
      </c>
      <c r="L202" t="n">
        <v>0</v>
      </c>
      <c r="M202" t="n">
        <v>0</v>
      </c>
      <c r="N202" t="n">
        <v>0</v>
      </c>
      <c r="O202" t="n">
        <v>0</v>
      </c>
      <c r="P202" t="n">
        <v>0</v>
      </c>
      <c r="Q202" t="n">
        <v>0</v>
      </c>
      <c r="R202" s="2" t="inlineStr"/>
    </row>
    <row r="203" ht="15" customHeight="1">
      <c r="A203" t="inlineStr">
        <is>
          <t>A 37784-2025</t>
        </is>
      </c>
      <c r="B203" s="1" t="n">
        <v>45880.95241898148</v>
      </c>
      <c r="C203" s="1" t="n">
        <v>45976</v>
      </c>
      <c r="D203" t="inlineStr">
        <is>
          <t>NORRBOTTENS LÄN</t>
        </is>
      </c>
      <c r="E203" t="inlineStr">
        <is>
          <t>LULEÅ</t>
        </is>
      </c>
      <c r="G203" t="n">
        <v>4.3</v>
      </c>
      <c r="H203" t="n">
        <v>0</v>
      </c>
      <c r="I203" t="n">
        <v>0</v>
      </c>
      <c r="J203" t="n">
        <v>0</v>
      </c>
      <c r="K203" t="n">
        <v>0</v>
      </c>
      <c r="L203" t="n">
        <v>0</v>
      </c>
      <c r="M203" t="n">
        <v>0</v>
      </c>
      <c r="N203" t="n">
        <v>0</v>
      </c>
      <c r="O203" t="n">
        <v>0</v>
      </c>
      <c r="P203" t="n">
        <v>0</v>
      </c>
      <c r="Q203" t="n">
        <v>0</v>
      </c>
      <c r="R203" s="2" t="inlineStr"/>
    </row>
    <row r="204" ht="15" customHeight="1">
      <c r="A204" t="inlineStr">
        <is>
          <t>A 37783-2025</t>
        </is>
      </c>
      <c r="B204" s="1" t="n">
        <v>45880.94430555555</v>
      </c>
      <c r="C204" s="1" t="n">
        <v>45976</v>
      </c>
      <c r="D204" t="inlineStr">
        <is>
          <t>NORRBOTTENS LÄN</t>
        </is>
      </c>
      <c r="E204" t="inlineStr">
        <is>
          <t>LULEÅ</t>
        </is>
      </c>
      <c r="G204" t="n">
        <v>7.2</v>
      </c>
      <c r="H204" t="n">
        <v>0</v>
      </c>
      <c r="I204" t="n">
        <v>0</v>
      </c>
      <c r="J204" t="n">
        <v>0</v>
      </c>
      <c r="K204" t="n">
        <v>0</v>
      </c>
      <c r="L204" t="n">
        <v>0</v>
      </c>
      <c r="M204" t="n">
        <v>0</v>
      </c>
      <c r="N204" t="n">
        <v>0</v>
      </c>
      <c r="O204" t="n">
        <v>0</v>
      </c>
      <c r="P204" t="n">
        <v>0</v>
      </c>
      <c r="Q204" t="n">
        <v>0</v>
      </c>
      <c r="R204" s="2" t="inlineStr"/>
    </row>
    <row r="205" ht="15" customHeight="1">
      <c r="A205" t="inlineStr">
        <is>
          <t>A 6269-2023</t>
        </is>
      </c>
      <c r="B205" s="1" t="n">
        <v>44960</v>
      </c>
      <c r="C205" s="1" t="n">
        <v>45976</v>
      </c>
      <c r="D205" t="inlineStr">
        <is>
          <t>NORRBOTTENS LÄN</t>
        </is>
      </c>
      <c r="E205" t="inlineStr">
        <is>
          <t>LULEÅ</t>
        </is>
      </c>
      <c r="G205" t="n">
        <v>2.6</v>
      </c>
      <c r="H205" t="n">
        <v>0</v>
      </c>
      <c r="I205" t="n">
        <v>0</v>
      </c>
      <c r="J205" t="n">
        <v>0</v>
      </c>
      <c r="K205" t="n">
        <v>0</v>
      </c>
      <c r="L205" t="n">
        <v>0</v>
      </c>
      <c r="M205" t="n">
        <v>0</v>
      </c>
      <c r="N205" t="n">
        <v>0</v>
      </c>
      <c r="O205" t="n">
        <v>0</v>
      </c>
      <c r="P205" t="n">
        <v>0</v>
      </c>
      <c r="Q205" t="n">
        <v>0</v>
      </c>
      <c r="R205" s="2" t="inlineStr"/>
    </row>
    <row r="206" ht="15" customHeight="1">
      <c r="A206" t="inlineStr">
        <is>
          <t>A 38434-2025</t>
        </is>
      </c>
      <c r="B206" s="1" t="n">
        <v>45883.64178240741</v>
      </c>
      <c r="C206" s="1" t="n">
        <v>45976</v>
      </c>
      <c r="D206" t="inlineStr">
        <is>
          <t>NORRBOTTENS LÄN</t>
        </is>
      </c>
      <c r="E206" t="inlineStr">
        <is>
          <t>LULEÅ</t>
        </is>
      </c>
      <c r="G206" t="n">
        <v>11.4</v>
      </c>
      <c r="H206" t="n">
        <v>0</v>
      </c>
      <c r="I206" t="n">
        <v>0</v>
      </c>
      <c r="J206" t="n">
        <v>0</v>
      </c>
      <c r="K206" t="n">
        <v>0</v>
      </c>
      <c r="L206" t="n">
        <v>0</v>
      </c>
      <c r="M206" t="n">
        <v>0</v>
      </c>
      <c r="N206" t="n">
        <v>0</v>
      </c>
      <c r="O206" t="n">
        <v>0</v>
      </c>
      <c r="P206" t="n">
        <v>0</v>
      </c>
      <c r="Q206" t="n">
        <v>0</v>
      </c>
      <c r="R206" s="2" t="inlineStr"/>
    </row>
    <row r="207" ht="15" customHeight="1">
      <c r="A207" t="inlineStr">
        <is>
          <t>A 43765-2023</t>
        </is>
      </c>
      <c r="B207" s="1" t="n">
        <v>45187</v>
      </c>
      <c r="C207" s="1" t="n">
        <v>45976</v>
      </c>
      <c r="D207" t="inlineStr">
        <is>
          <t>NORRBOTTENS LÄN</t>
        </is>
      </c>
      <c r="E207" t="inlineStr">
        <is>
          <t>LULEÅ</t>
        </is>
      </c>
      <c r="G207" t="n">
        <v>13.7</v>
      </c>
      <c r="H207" t="n">
        <v>0</v>
      </c>
      <c r="I207" t="n">
        <v>0</v>
      </c>
      <c r="J207" t="n">
        <v>0</v>
      </c>
      <c r="K207" t="n">
        <v>0</v>
      </c>
      <c r="L207" t="n">
        <v>0</v>
      </c>
      <c r="M207" t="n">
        <v>0</v>
      </c>
      <c r="N207" t="n">
        <v>0</v>
      </c>
      <c r="O207" t="n">
        <v>0</v>
      </c>
      <c r="P207" t="n">
        <v>0</v>
      </c>
      <c r="Q207" t="n">
        <v>0</v>
      </c>
      <c r="R207" s="2" t="inlineStr"/>
    </row>
    <row r="208" ht="15" customHeight="1">
      <c r="A208" t="inlineStr">
        <is>
          <t>A 56043-2021</t>
        </is>
      </c>
      <c r="B208" s="1" t="n">
        <v>44477</v>
      </c>
      <c r="C208" s="1" t="n">
        <v>45976</v>
      </c>
      <c r="D208" t="inlineStr">
        <is>
          <t>NORRBOTTENS LÄN</t>
        </is>
      </c>
      <c r="E208" t="inlineStr">
        <is>
          <t>LULEÅ</t>
        </is>
      </c>
      <c r="G208" t="n">
        <v>3.8</v>
      </c>
      <c r="H208" t="n">
        <v>0</v>
      </c>
      <c r="I208" t="n">
        <v>0</v>
      </c>
      <c r="J208" t="n">
        <v>0</v>
      </c>
      <c r="K208" t="n">
        <v>0</v>
      </c>
      <c r="L208" t="n">
        <v>0</v>
      </c>
      <c r="M208" t="n">
        <v>0</v>
      </c>
      <c r="N208" t="n">
        <v>0</v>
      </c>
      <c r="O208" t="n">
        <v>0</v>
      </c>
      <c r="P208" t="n">
        <v>0</v>
      </c>
      <c r="Q208" t="n">
        <v>0</v>
      </c>
      <c r="R208" s="2" t="inlineStr"/>
    </row>
    <row r="209" ht="15" customHeight="1">
      <c r="A209" t="inlineStr">
        <is>
          <t>A 56057-2021</t>
        </is>
      </c>
      <c r="B209" s="1" t="n">
        <v>44477</v>
      </c>
      <c r="C209" s="1" t="n">
        <v>45976</v>
      </c>
      <c r="D209" t="inlineStr">
        <is>
          <t>NORRBOTTENS LÄN</t>
        </is>
      </c>
      <c r="E209" t="inlineStr">
        <is>
          <t>LULEÅ</t>
        </is>
      </c>
      <c r="G209" t="n">
        <v>3.7</v>
      </c>
      <c r="H209" t="n">
        <v>0</v>
      </c>
      <c r="I209" t="n">
        <v>0</v>
      </c>
      <c r="J209" t="n">
        <v>0</v>
      </c>
      <c r="K209" t="n">
        <v>0</v>
      </c>
      <c r="L209" t="n">
        <v>0</v>
      </c>
      <c r="M209" t="n">
        <v>0</v>
      </c>
      <c r="N209" t="n">
        <v>0</v>
      </c>
      <c r="O209" t="n">
        <v>0</v>
      </c>
      <c r="P209" t="n">
        <v>0</v>
      </c>
      <c r="Q209" t="n">
        <v>0</v>
      </c>
      <c r="R209" s="2" t="inlineStr"/>
    </row>
    <row r="210" ht="15" customHeight="1">
      <c r="A210" t="inlineStr">
        <is>
          <t>A 55747-2023</t>
        </is>
      </c>
      <c r="B210" s="1" t="n">
        <v>45232</v>
      </c>
      <c r="C210" s="1" t="n">
        <v>45976</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row>
    <row r="211" ht="15" customHeight="1">
      <c r="A211" t="inlineStr">
        <is>
          <t>A 27305-2022</t>
        </is>
      </c>
      <c r="B211" s="1" t="n">
        <v>44741</v>
      </c>
      <c r="C211" s="1" t="n">
        <v>45976</v>
      </c>
      <c r="D211" t="inlineStr">
        <is>
          <t>NORRBOTTENS LÄN</t>
        </is>
      </c>
      <c r="E211" t="inlineStr">
        <is>
          <t>LULEÅ</t>
        </is>
      </c>
      <c r="G211" t="n">
        <v>1.4</v>
      </c>
      <c r="H211" t="n">
        <v>0</v>
      </c>
      <c r="I211" t="n">
        <v>0</v>
      </c>
      <c r="J211" t="n">
        <v>0</v>
      </c>
      <c r="K211" t="n">
        <v>0</v>
      </c>
      <c r="L211" t="n">
        <v>0</v>
      </c>
      <c r="M211" t="n">
        <v>0</v>
      </c>
      <c r="N211" t="n">
        <v>0</v>
      </c>
      <c r="O211" t="n">
        <v>0</v>
      </c>
      <c r="P211" t="n">
        <v>0</v>
      </c>
      <c r="Q211" t="n">
        <v>0</v>
      </c>
      <c r="R211" s="2" t="inlineStr"/>
    </row>
    <row r="212" ht="15" customHeight="1">
      <c r="A212" t="inlineStr">
        <is>
          <t>A 19872-2024</t>
        </is>
      </c>
      <c r="B212" s="1" t="n">
        <v>45433.45890046296</v>
      </c>
      <c r="C212" s="1" t="n">
        <v>45976</v>
      </c>
      <c r="D212" t="inlineStr">
        <is>
          <t>NORRBOTTENS LÄN</t>
        </is>
      </c>
      <c r="E212" t="inlineStr">
        <is>
          <t>LULEÅ</t>
        </is>
      </c>
      <c r="G212" t="n">
        <v>3.3</v>
      </c>
      <c r="H212" t="n">
        <v>0</v>
      </c>
      <c r="I212" t="n">
        <v>0</v>
      </c>
      <c r="J212" t="n">
        <v>0</v>
      </c>
      <c r="K212" t="n">
        <v>0</v>
      </c>
      <c r="L212" t="n">
        <v>0</v>
      </c>
      <c r="M212" t="n">
        <v>0</v>
      </c>
      <c r="N212" t="n">
        <v>0</v>
      </c>
      <c r="O212" t="n">
        <v>0</v>
      </c>
      <c r="P212" t="n">
        <v>0</v>
      </c>
      <c r="Q212" t="n">
        <v>0</v>
      </c>
      <c r="R212" s="2" t="inlineStr"/>
    </row>
    <row r="213" ht="15" customHeight="1">
      <c r="A213" t="inlineStr">
        <is>
          <t>A 61504-2024</t>
        </is>
      </c>
      <c r="B213" s="1" t="n">
        <v>45646.56238425926</v>
      </c>
      <c r="C213" s="1" t="n">
        <v>45976</v>
      </c>
      <c r="D213" t="inlineStr">
        <is>
          <t>NORRBOTTENS LÄN</t>
        </is>
      </c>
      <c r="E213" t="inlineStr">
        <is>
          <t>LULEÅ</t>
        </is>
      </c>
      <c r="G213" t="n">
        <v>3.1</v>
      </c>
      <c r="H213" t="n">
        <v>0</v>
      </c>
      <c r="I213" t="n">
        <v>0</v>
      </c>
      <c r="J213" t="n">
        <v>0</v>
      </c>
      <c r="K213" t="n">
        <v>0</v>
      </c>
      <c r="L213" t="n">
        <v>0</v>
      </c>
      <c r="M213" t="n">
        <v>0</v>
      </c>
      <c r="N213" t="n">
        <v>0</v>
      </c>
      <c r="O213" t="n">
        <v>0</v>
      </c>
      <c r="P213" t="n">
        <v>0</v>
      </c>
      <c r="Q213" t="n">
        <v>0</v>
      </c>
      <c r="R213" s="2" t="inlineStr"/>
    </row>
    <row r="214" ht="15" customHeight="1">
      <c r="A214" t="inlineStr">
        <is>
          <t>A 61510-2024</t>
        </is>
      </c>
      <c r="B214" s="1" t="n">
        <v>45646.56674768519</v>
      </c>
      <c r="C214" s="1" t="n">
        <v>45976</v>
      </c>
      <c r="D214" t="inlineStr">
        <is>
          <t>NORRBOTTENS LÄN</t>
        </is>
      </c>
      <c r="E214" t="inlineStr">
        <is>
          <t>LULEÅ</t>
        </is>
      </c>
      <c r="G214" t="n">
        <v>0.6</v>
      </c>
      <c r="H214" t="n">
        <v>0</v>
      </c>
      <c r="I214" t="n">
        <v>0</v>
      </c>
      <c r="J214" t="n">
        <v>0</v>
      </c>
      <c r="K214" t="n">
        <v>0</v>
      </c>
      <c r="L214" t="n">
        <v>0</v>
      </c>
      <c r="M214" t="n">
        <v>0</v>
      </c>
      <c r="N214" t="n">
        <v>0</v>
      </c>
      <c r="O214" t="n">
        <v>0</v>
      </c>
      <c r="P214" t="n">
        <v>0</v>
      </c>
      <c r="Q214" t="n">
        <v>0</v>
      </c>
      <c r="R214" s="2" t="inlineStr"/>
    </row>
    <row r="215" ht="15" customHeight="1">
      <c r="A215" t="inlineStr">
        <is>
          <t>A 34910-2023</t>
        </is>
      </c>
      <c r="B215" s="1" t="n">
        <v>45142.4560300926</v>
      </c>
      <c r="C215" s="1" t="n">
        <v>45976</v>
      </c>
      <c r="D215" t="inlineStr">
        <is>
          <t>NORRBOTTENS LÄN</t>
        </is>
      </c>
      <c r="E215" t="inlineStr">
        <is>
          <t>LULEÅ</t>
        </is>
      </c>
      <c r="G215" t="n">
        <v>18.9</v>
      </c>
      <c r="H215" t="n">
        <v>0</v>
      </c>
      <c r="I215" t="n">
        <v>0</v>
      </c>
      <c r="J215" t="n">
        <v>0</v>
      </c>
      <c r="K215" t="n">
        <v>0</v>
      </c>
      <c r="L215" t="n">
        <v>0</v>
      </c>
      <c r="M215" t="n">
        <v>0</v>
      </c>
      <c r="N215" t="n">
        <v>0</v>
      </c>
      <c r="O215" t="n">
        <v>0</v>
      </c>
      <c r="P215" t="n">
        <v>0</v>
      </c>
      <c r="Q215" t="n">
        <v>0</v>
      </c>
      <c r="R215" s="2" t="inlineStr"/>
    </row>
    <row r="216" ht="15" customHeight="1">
      <c r="A216" t="inlineStr">
        <is>
          <t>A 46547-2021</t>
        </is>
      </c>
      <c r="B216" s="1" t="n">
        <v>44445</v>
      </c>
      <c r="C216" s="1" t="n">
        <v>45976</v>
      </c>
      <c r="D216" t="inlineStr">
        <is>
          <t>NORRBOTTENS LÄN</t>
        </is>
      </c>
      <c r="E216" t="inlineStr">
        <is>
          <t>LULEÅ</t>
        </is>
      </c>
      <c r="G216" t="n">
        <v>1.7</v>
      </c>
      <c r="H216" t="n">
        <v>0</v>
      </c>
      <c r="I216" t="n">
        <v>0</v>
      </c>
      <c r="J216" t="n">
        <v>0</v>
      </c>
      <c r="K216" t="n">
        <v>0</v>
      </c>
      <c r="L216" t="n">
        <v>0</v>
      </c>
      <c r="M216" t="n">
        <v>0</v>
      </c>
      <c r="N216" t="n">
        <v>0</v>
      </c>
      <c r="O216" t="n">
        <v>0</v>
      </c>
      <c r="P216" t="n">
        <v>0</v>
      </c>
      <c r="Q216" t="n">
        <v>0</v>
      </c>
      <c r="R216" s="2" t="inlineStr"/>
    </row>
    <row r="217" ht="15" customHeight="1">
      <c r="A217" t="inlineStr">
        <is>
          <t>A 23884-2022</t>
        </is>
      </c>
      <c r="B217" s="1" t="n">
        <v>44722.57129629629</v>
      </c>
      <c r="C217" s="1" t="n">
        <v>45976</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53960-2023</t>
        </is>
      </c>
      <c r="B218" s="1" t="n">
        <v>45225</v>
      </c>
      <c r="C218" s="1" t="n">
        <v>45976</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63801-2023</t>
        </is>
      </c>
      <c r="B219" s="1" t="n">
        <v>45278.42126157408</v>
      </c>
      <c r="C219" s="1" t="n">
        <v>45976</v>
      </c>
      <c r="D219" t="inlineStr">
        <is>
          <t>NORRBOTTENS LÄN</t>
        </is>
      </c>
      <c r="E219" t="inlineStr">
        <is>
          <t>LULEÅ</t>
        </is>
      </c>
      <c r="G219" t="n">
        <v>1.2</v>
      </c>
      <c r="H219" t="n">
        <v>0</v>
      </c>
      <c r="I219" t="n">
        <v>0</v>
      </c>
      <c r="J219" t="n">
        <v>0</v>
      </c>
      <c r="K219" t="n">
        <v>0</v>
      </c>
      <c r="L219" t="n">
        <v>0</v>
      </c>
      <c r="M219" t="n">
        <v>0</v>
      </c>
      <c r="N219" t="n">
        <v>0</v>
      </c>
      <c r="O219" t="n">
        <v>0</v>
      </c>
      <c r="P219" t="n">
        <v>0</v>
      </c>
      <c r="Q219" t="n">
        <v>0</v>
      </c>
      <c r="R219" s="2" t="inlineStr"/>
    </row>
    <row r="220" ht="15" customHeight="1">
      <c r="A220" t="inlineStr">
        <is>
          <t>A 11178-2023</t>
        </is>
      </c>
      <c r="B220" s="1" t="n">
        <v>44987</v>
      </c>
      <c r="C220" s="1" t="n">
        <v>45976</v>
      </c>
      <c r="D220" t="inlineStr">
        <is>
          <t>NORRBOTTENS LÄN</t>
        </is>
      </c>
      <c r="E220" t="inlineStr">
        <is>
          <t>LULEÅ</t>
        </is>
      </c>
      <c r="G220" t="n">
        <v>4.7</v>
      </c>
      <c r="H220" t="n">
        <v>0</v>
      </c>
      <c r="I220" t="n">
        <v>0</v>
      </c>
      <c r="J220" t="n">
        <v>0</v>
      </c>
      <c r="K220" t="n">
        <v>0</v>
      </c>
      <c r="L220" t="n">
        <v>0</v>
      </c>
      <c r="M220" t="n">
        <v>0</v>
      </c>
      <c r="N220" t="n">
        <v>0</v>
      </c>
      <c r="O220" t="n">
        <v>0</v>
      </c>
      <c r="P220" t="n">
        <v>0</v>
      </c>
      <c r="Q220" t="n">
        <v>0</v>
      </c>
      <c r="R220" s="2" t="inlineStr"/>
    </row>
    <row r="221" ht="15" customHeight="1">
      <c r="A221" t="inlineStr">
        <is>
          <t>A 52854-2022</t>
        </is>
      </c>
      <c r="B221" s="1" t="n">
        <v>44872</v>
      </c>
      <c r="C221" s="1" t="n">
        <v>45976</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31067-2023</t>
        </is>
      </c>
      <c r="B222" s="1" t="n">
        <v>45113</v>
      </c>
      <c r="C222" s="1" t="n">
        <v>45976</v>
      </c>
      <c r="D222" t="inlineStr">
        <is>
          <t>NORRBOTTENS LÄN</t>
        </is>
      </c>
      <c r="E222" t="inlineStr">
        <is>
          <t>LULEÅ</t>
        </is>
      </c>
      <c r="G222" t="n">
        <v>0.7</v>
      </c>
      <c r="H222" t="n">
        <v>0</v>
      </c>
      <c r="I222" t="n">
        <v>0</v>
      </c>
      <c r="J222" t="n">
        <v>0</v>
      </c>
      <c r="K222" t="n">
        <v>0</v>
      </c>
      <c r="L222" t="n">
        <v>0</v>
      </c>
      <c r="M222" t="n">
        <v>0</v>
      </c>
      <c r="N222" t="n">
        <v>0</v>
      </c>
      <c r="O222" t="n">
        <v>0</v>
      </c>
      <c r="P222" t="n">
        <v>0</v>
      </c>
      <c r="Q222" t="n">
        <v>0</v>
      </c>
      <c r="R222" s="2" t="inlineStr"/>
    </row>
    <row r="223" ht="15" customHeight="1">
      <c r="A223" t="inlineStr">
        <is>
          <t>A 46374-2024</t>
        </is>
      </c>
      <c r="B223" s="1" t="n">
        <v>45582</v>
      </c>
      <c r="C223" s="1" t="n">
        <v>45976</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29237-2024</t>
        </is>
      </c>
      <c r="B224" s="1" t="n">
        <v>45482.92732638889</v>
      </c>
      <c r="C224" s="1" t="n">
        <v>45976</v>
      </c>
      <c r="D224" t="inlineStr">
        <is>
          <t>NORRBOTTENS LÄN</t>
        </is>
      </c>
      <c r="E224" t="inlineStr">
        <is>
          <t>LULEÅ</t>
        </is>
      </c>
      <c r="G224" t="n">
        <v>10.3</v>
      </c>
      <c r="H224" t="n">
        <v>0</v>
      </c>
      <c r="I224" t="n">
        <v>0</v>
      </c>
      <c r="J224" t="n">
        <v>0</v>
      </c>
      <c r="K224" t="n">
        <v>0</v>
      </c>
      <c r="L224" t="n">
        <v>0</v>
      </c>
      <c r="M224" t="n">
        <v>0</v>
      </c>
      <c r="N224" t="n">
        <v>0</v>
      </c>
      <c r="O224" t="n">
        <v>0</v>
      </c>
      <c r="P224" t="n">
        <v>0</v>
      </c>
      <c r="Q224" t="n">
        <v>0</v>
      </c>
      <c r="R224" s="2" t="inlineStr"/>
    </row>
    <row r="225" ht="15" customHeight="1">
      <c r="A225" t="inlineStr">
        <is>
          <t>A 38936-2025</t>
        </is>
      </c>
      <c r="B225" s="1" t="n">
        <v>45884</v>
      </c>
      <c r="C225" s="1" t="n">
        <v>45976</v>
      </c>
      <c r="D225" t="inlineStr">
        <is>
          <t>NORRBOTTENS LÄN</t>
        </is>
      </c>
      <c r="E225" t="inlineStr">
        <is>
          <t>LULEÅ</t>
        </is>
      </c>
      <c r="G225" t="n">
        <v>2</v>
      </c>
      <c r="H225" t="n">
        <v>0</v>
      </c>
      <c r="I225" t="n">
        <v>0</v>
      </c>
      <c r="J225" t="n">
        <v>0</v>
      </c>
      <c r="K225" t="n">
        <v>0</v>
      </c>
      <c r="L225" t="n">
        <v>0</v>
      </c>
      <c r="M225" t="n">
        <v>0</v>
      </c>
      <c r="N225" t="n">
        <v>0</v>
      </c>
      <c r="O225" t="n">
        <v>0</v>
      </c>
      <c r="P225" t="n">
        <v>0</v>
      </c>
      <c r="Q225" t="n">
        <v>0</v>
      </c>
      <c r="R225" s="2" t="inlineStr"/>
    </row>
    <row r="226" ht="15" customHeight="1">
      <c r="A226" t="inlineStr">
        <is>
          <t>A 54739-2024</t>
        </is>
      </c>
      <c r="B226" s="1" t="n">
        <v>45618.44335648148</v>
      </c>
      <c r="C226" s="1" t="n">
        <v>45976</v>
      </c>
      <c r="D226" t="inlineStr">
        <is>
          <t>NORRBOTTENS LÄN</t>
        </is>
      </c>
      <c r="E226" t="inlineStr">
        <is>
          <t>LULEÅ</t>
        </is>
      </c>
      <c r="G226" t="n">
        <v>4.8</v>
      </c>
      <c r="H226" t="n">
        <v>0</v>
      </c>
      <c r="I226" t="n">
        <v>0</v>
      </c>
      <c r="J226" t="n">
        <v>0</v>
      </c>
      <c r="K226" t="n">
        <v>0</v>
      </c>
      <c r="L226" t="n">
        <v>0</v>
      </c>
      <c r="M226" t="n">
        <v>0</v>
      </c>
      <c r="N226" t="n">
        <v>0</v>
      </c>
      <c r="O226" t="n">
        <v>0</v>
      </c>
      <c r="P226" t="n">
        <v>0</v>
      </c>
      <c r="Q226" t="n">
        <v>0</v>
      </c>
      <c r="R226" s="2" t="inlineStr"/>
    </row>
    <row r="227" ht="15" customHeight="1">
      <c r="A227" t="inlineStr">
        <is>
          <t>A 10903-2023</t>
        </is>
      </c>
      <c r="B227" s="1" t="n">
        <v>44985</v>
      </c>
      <c r="C227" s="1" t="n">
        <v>45976</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26267-2022</t>
        </is>
      </c>
      <c r="B228" s="1" t="n">
        <v>44735.5158912037</v>
      </c>
      <c r="C228" s="1" t="n">
        <v>45976</v>
      </c>
      <c r="D228" t="inlineStr">
        <is>
          <t>NORRBOTTENS LÄN</t>
        </is>
      </c>
      <c r="E228" t="inlineStr">
        <is>
          <t>LULEÅ</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17899-2025</t>
        </is>
      </c>
      <c r="B229" s="1" t="n">
        <v>45758.69832175926</v>
      </c>
      <c r="C229" s="1" t="n">
        <v>45976</v>
      </c>
      <c r="D229" t="inlineStr">
        <is>
          <t>NORRBOTTENS LÄN</t>
        </is>
      </c>
      <c r="E229" t="inlineStr">
        <is>
          <t>LULEÅ</t>
        </is>
      </c>
      <c r="G229" t="n">
        <v>3.1</v>
      </c>
      <c r="H229" t="n">
        <v>0</v>
      </c>
      <c r="I229" t="n">
        <v>0</v>
      </c>
      <c r="J229" t="n">
        <v>0</v>
      </c>
      <c r="K229" t="n">
        <v>0</v>
      </c>
      <c r="L229" t="n">
        <v>0</v>
      </c>
      <c r="M229" t="n">
        <v>0</v>
      </c>
      <c r="N229" t="n">
        <v>0</v>
      </c>
      <c r="O229" t="n">
        <v>0</v>
      </c>
      <c r="P229" t="n">
        <v>0</v>
      </c>
      <c r="Q229" t="n">
        <v>0</v>
      </c>
      <c r="R229" s="2" t="inlineStr"/>
    </row>
    <row r="230" ht="15" customHeight="1">
      <c r="A230" t="inlineStr">
        <is>
          <t>A 6018-2021</t>
        </is>
      </c>
      <c r="B230" s="1" t="n">
        <v>44231.9415625</v>
      </c>
      <c r="C230" s="1" t="n">
        <v>45976</v>
      </c>
      <c r="D230" t="inlineStr">
        <is>
          <t>NORRBOTTENS LÄN</t>
        </is>
      </c>
      <c r="E230" t="inlineStr">
        <is>
          <t>LULEÅ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1683-2025</t>
        </is>
      </c>
      <c r="B231" s="1" t="n">
        <v>45670.69847222222</v>
      </c>
      <c r="C231" s="1" t="n">
        <v>45976</v>
      </c>
      <c r="D231" t="inlineStr">
        <is>
          <t>NORRBOTTENS LÄN</t>
        </is>
      </c>
      <c r="E231" t="inlineStr">
        <is>
          <t>LULEÅ</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38714-2025</t>
        </is>
      </c>
      <c r="B232" s="1" t="n">
        <v>45886.34490740741</v>
      </c>
      <c r="C232" s="1" t="n">
        <v>45976</v>
      </c>
      <c r="D232" t="inlineStr">
        <is>
          <t>NORRBOTTENS LÄN</t>
        </is>
      </c>
      <c r="E232" t="inlineStr">
        <is>
          <t>LULEÅ</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13846-2024</t>
        </is>
      </c>
      <c r="B233" s="1" t="n">
        <v>45390</v>
      </c>
      <c r="C233" s="1" t="n">
        <v>45976</v>
      </c>
      <c r="D233" t="inlineStr">
        <is>
          <t>NORRBOTTENS LÄN</t>
        </is>
      </c>
      <c r="E233" t="inlineStr">
        <is>
          <t>LULEÅ</t>
        </is>
      </c>
      <c r="G233" t="n">
        <v>16.4</v>
      </c>
      <c r="H233" t="n">
        <v>0</v>
      </c>
      <c r="I233" t="n">
        <v>0</v>
      </c>
      <c r="J233" t="n">
        <v>0</v>
      </c>
      <c r="K233" t="n">
        <v>0</v>
      </c>
      <c r="L233" t="n">
        <v>0</v>
      </c>
      <c r="M233" t="n">
        <v>0</v>
      </c>
      <c r="N233" t="n">
        <v>0</v>
      </c>
      <c r="O233" t="n">
        <v>0</v>
      </c>
      <c r="P233" t="n">
        <v>0</v>
      </c>
      <c r="Q233" t="n">
        <v>0</v>
      </c>
      <c r="R233" s="2" t="inlineStr"/>
    </row>
    <row r="234" ht="15" customHeight="1">
      <c r="A234" t="inlineStr">
        <is>
          <t>A 8750-2025</t>
        </is>
      </c>
      <c r="B234" s="1" t="n">
        <v>45712.56173611111</v>
      </c>
      <c r="C234" s="1" t="n">
        <v>45976</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60387-2024</t>
        </is>
      </c>
      <c r="B235" s="1" t="n">
        <v>45643.48357638889</v>
      </c>
      <c r="C235" s="1" t="n">
        <v>45976</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45182-2024</t>
        </is>
      </c>
      <c r="B236" s="1" t="n">
        <v>45575.66403935185</v>
      </c>
      <c r="C236" s="1" t="n">
        <v>45976</v>
      </c>
      <c r="D236" t="inlineStr">
        <is>
          <t>NORRBOTTENS LÄN</t>
        </is>
      </c>
      <c r="E236" t="inlineStr">
        <is>
          <t>LULEÅ</t>
        </is>
      </c>
      <c r="G236" t="n">
        <v>0.9</v>
      </c>
      <c r="H236" t="n">
        <v>0</v>
      </c>
      <c r="I236" t="n">
        <v>0</v>
      </c>
      <c r="J236" t="n">
        <v>0</v>
      </c>
      <c r="K236" t="n">
        <v>0</v>
      </c>
      <c r="L236" t="n">
        <v>0</v>
      </c>
      <c r="M236" t="n">
        <v>0</v>
      </c>
      <c r="N236" t="n">
        <v>0</v>
      </c>
      <c r="O236" t="n">
        <v>0</v>
      </c>
      <c r="P236" t="n">
        <v>0</v>
      </c>
      <c r="Q236" t="n">
        <v>0</v>
      </c>
      <c r="R236" s="2" t="inlineStr"/>
    </row>
    <row r="237" ht="15" customHeight="1">
      <c r="A237" t="inlineStr">
        <is>
          <t>A 6957-2025</t>
        </is>
      </c>
      <c r="B237" s="1" t="n">
        <v>45701.49048611111</v>
      </c>
      <c r="C237" s="1" t="n">
        <v>45976</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44324-2024</t>
        </is>
      </c>
      <c r="B238" s="1" t="n">
        <v>45573.59376157408</v>
      </c>
      <c r="C238" s="1" t="n">
        <v>45976</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38712-2025</t>
        </is>
      </c>
      <c r="B239" s="1" t="n">
        <v>45886.34465277778</v>
      </c>
      <c r="C239" s="1" t="n">
        <v>45976</v>
      </c>
      <c r="D239" t="inlineStr">
        <is>
          <t>NORRBOTTENS LÄN</t>
        </is>
      </c>
      <c r="E239" t="inlineStr">
        <is>
          <t>LULEÅ</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14193-2025</t>
        </is>
      </c>
      <c r="B240" s="1" t="n">
        <v>45740.56127314815</v>
      </c>
      <c r="C240" s="1" t="n">
        <v>45976</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14195-2025</t>
        </is>
      </c>
      <c r="B241" s="1" t="n">
        <v>45740.56263888889</v>
      </c>
      <c r="C241" s="1" t="n">
        <v>45976</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14128-2023</t>
        </is>
      </c>
      <c r="B242" s="1" t="n">
        <v>45009</v>
      </c>
      <c r="C242" s="1" t="n">
        <v>45976</v>
      </c>
      <c r="D242" t="inlineStr">
        <is>
          <t>NORRBOTTENS LÄN</t>
        </is>
      </c>
      <c r="E242" t="inlineStr">
        <is>
          <t>LULEÅ</t>
        </is>
      </c>
      <c r="G242" t="n">
        <v>1.2</v>
      </c>
      <c r="H242" t="n">
        <v>0</v>
      </c>
      <c r="I242" t="n">
        <v>0</v>
      </c>
      <c r="J242" t="n">
        <v>0</v>
      </c>
      <c r="K242" t="n">
        <v>0</v>
      </c>
      <c r="L242" t="n">
        <v>0</v>
      </c>
      <c r="M242" t="n">
        <v>0</v>
      </c>
      <c r="N242" t="n">
        <v>0</v>
      </c>
      <c r="O242" t="n">
        <v>0</v>
      </c>
      <c r="P242" t="n">
        <v>0</v>
      </c>
      <c r="Q242" t="n">
        <v>0</v>
      </c>
      <c r="R242" s="2" t="inlineStr"/>
    </row>
    <row r="243" ht="15" customHeight="1">
      <c r="A243" t="inlineStr">
        <is>
          <t>A 62701-2022</t>
        </is>
      </c>
      <c r="B243" s="1" t="n">
        <v>44917</v>
      </c>
      <c r="C243" s="1" t="n">
        <v>45976</v>
      </c>
      <c r="D243" t="inlineStr">
        <is>
          <t>NORRBOTTENS LÄN</t>
        </is>
      </c>
      <c r="E243" t="inlineStr">
        <is>
          <t>LULEÅ</t>
        </is>
      </c>
      <c r="G243" t="n">
        <v>0.5</v>
      </c>
      <c r="H243" t="n">
        <v>0</v>
      </c>
      <c r="I243" t="n">
        <v>0</v>
      </c>
      <c r="J243" t="n">
        <v>0</v>
      </c>
      <c r="K243" t="n">
        <v>0</v>
      </c>
      <c r="L243" t="n">
        <v>0</v>
      </c>
      <c r="M243" t="n">
        <v>0</v>
      </c>
      <c r="N243" t="n">
        <v>0</v>
      </c>
      <c r="O243" t="n">
        <v>0</v>
      </c>
      <c r="P243" t="n">
        <v>0</v>
      </c>
      <c r="Q243" t="n">
        <v>0</v>
      </c>
      <c r="R243" s="2" t="inlineStr"/>
    </row>
    <row r="244" ht="15" customHeight="1">
      <c r="A244" t="inlineStr">
        <is>
          <t>A 454-2024</t>
        </is>
      </c>
      <c r="B244" s="1" t="n">
        <v>45296</v>
      </c>
      <c r="C244" s="1" t="n">
        <v>45976</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25340-2024</t>
        </is>
      </c>
      <c r="B245" s="1" t="n">
        <v>45462</v>
      </c>
      <c r="C245" s="1" t="n">
        <v>45976</v>
      </c>
      <c r="D245" t="inlineStr">
        <is>
          <t>NORRBOTTENS LÄN</t>
        </is>
      </c>
      <c r="E245" t="inlineStr">
        <is>
          <t>LULEÅ</t>
        </is>
      </c>
      <c r="G245" t="n">
        <v>3.6</v>
      </c>
      <c r="H245" t="n">
        <v>0</v>
      </c>
      <c r="I245" t="n">
        <v>0</v>
      </c>
      <c r="J245" t="n">
        <v>0</v>
      </c>
      <c r="K245" t="n">
        <v>0</v>
      </c>
      <c r="L245" t="n">
        <v>0</v>
      </c>
      <c r="M245" t="n">
        <v>0</v>
      </c>
      <c r="N245" t="n">
        <v>0</v>
      </c>
      <c r="O245" t="n">
        <v>0</v>
      </c>
      <c r="P245" t="n">
        <v>0</v>
      </c>
      <c r="Q245" t="n">
        <v>0</v>
      </c>
      <c r="R245" s="2" t="inlineStr"/>
    </row>
    <row r="246" ht="15" customHeight="1">
      <c r="A246" t="inlineStr">
        <is>
          <t>A 2748-2022</t>
        </is>
      </c>
      <c r="B246" s="1" t="n">
        <v>44580</v>
      </c>
      <c r="C246" s="1" t="n">
        <v>45976</v>
      </c>
      <c r="D246" t="inlineStr">
        <is>
          <t>NORRBOTTENS LÄN</t>
        </is>
      </c>
      <c r="E246" t="inlineStr">
        <is>
          <t>LULEÅ</t>
        </is>
      </c>
      <c r="G246" t="n">
        <v>4.7</v>
      </c>
      <c r="H246" t="n">
        <v>0</v>
      </c>
      <c r="I246" t="n">
        <v>0</v>
      </c>
      <c r="J246" t="n">
        <v>0</v>
      </c>
      <c r="K246" t="n">
        <v>0</v>
      </c>
      <c r="L246" t="n">
        <v>0</v>
      </c>
      <c r="M246" t="n">
        <v>0</v>
      </c>
      <c r="N246" t="n">
        <v>0</v>
      </c>
      <c r="O246" t="n">
        <v>0</v>
      </c>
      <c r="P246" t="n">
        <v>0</v>
      </c>
      <c r="Q246" t="n">
        <v>0</v>
      </c>
      <c r="R246" s="2" t="inlineStr"/>
    </row>
    <row r="247" ht="15" customHeight="1">
      <c r="A247" t="inlineStr">
        <is>
          <t>A 38685-2025</t>
        </is>
      </c>
      <c r="B247" s="1" t="n">
        <v>45884.65607638889</v>
      </c>
      <c r="C247" s="1" t="n">
        <v>45976</v>
      </c>
      <c r="D247" t="inlineStr">
        <is>
          <t>NORRBOTTENS LÄN</t>
        </is>
      </c>
      <c r="E247" t="inlineStr">
        <is>
          <t>LULEÅ</t>
        </is>
      </c>
      <c r="G247" t="n">
        <v>1.2</v>
      </c>
      <c r="H247" t="n">
        <v>0</v>
      </c>
      <c r="I247" t="n">
        <v>0</v>
      </c>
      <c r="J247" t="n">
        <v>0</v>
      </c>
      <c r="K247" t="n">
        <v>0</v>
      </c>
      <c r="L247" t="n">
        <v>0</v>
      </c>
      <c r="M247" t="n">
        <v>0</v>
      </c>
      <c r="N247" t="n">
        <v>0</v>
      </c>
      <c r="O247" t="n">
        <v>0</v>
      </c>
      <c r="P247" t="n">
        <v>0</v>
      </c>
      <c r="Q247" t="n">
        <v>0</v>
      </c>
      <c r="R247" s="2" t="inlineStr"/>
    </row>
    <row r="248" ht="15" customHeight="1">
      <c r="A248" t="inlineStr">
        <is>
          <t>A 30787-2024</t>
        </is>
      </c>
      <c r="B248" s="1" t="n">
        <v>45496.95108796296</v>
      </c>
      <c r="C248" s="1" t="n">
        <v>45976</v>
      </c>
      <c r="D248" t="inlineStr">
        <is>
          <t>NORRBOTTENS LÄN</t>
        </is>
      </c>
      <c r="E248" t="inlineStr">
        <is>
          <t>LULEÅ</t>
        </is>
      </c>
      <c r="F248" t="inlineStr">
        <is>
          <t>Naturvårdsverket</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14187-2025</t>
        </is>
      </c>
      <c r="B249" s="1" t="n">
        <v>45740.54577546296</v>
      </c>
      <c r="C249" s="1" t="n">
        <v>45976</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38841-2025</t>
        </is>
      </c>
      <c r="B250" s="1" t="n">
        <v>45887.53751157408</v>
      </c>
      <c r="C250" s="1" t="n">
        <v>45976</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705-2025</t>
        </is>
      </c>
      <c r="B251" s="1" t="n">
        <v>45663</v>
      </c>
      <c r="C251" s="1" t="n">
        <v>45976</v>
      </c>
      <c r="D251" t="inlineStr">
        <is>
          <t>NORRBOTTENS LÄN</t>
        </is>
      </c>
      <c r="E251" t="inlineStr">
        <is>
          <t>LULEÅ</t>
        </is>
      </c>
      <c r="G251" t="n">
        <v>1.6</v>
      </c>
      <c r="H251" t="n">
        <v>0</v>
      </c>
      <c r="I251" t="n">
        <v>0</v>
      </c>
      <c r="J251" t="n">
        <v>0</v>
      </c>
      <c r="K251" t="n">
        <v>0</v>
      </c>
      <c r="L251" t="n">
        <v>0</v>
      </c>
      <c r="M251" t="n">
        <v>0</v>
      </c>
      <c r="N251" t="n">
        <v>0</v>
      </c>
      <c r="O251" t="n">
        <v>0</v>
      </c>
      <c r="P251" t="n">
        <v>0</v>
      </c>
      <c r="Q251" t="n">
        <v>0</v>
      </c>
      <c r="R251" s="2" t="inlineStr"/>
    </row>
    <row r="252" ht="15" customHeight="1">
      <c r="A252" t="inlineStr">
        <is>
          <t>A 60130-2024</t>
        </is>
      </c>
      <c r="B252" s="1" t="n">
        <v>45642.59327546296</v>
      </c>
      <c r="C252" s="1" t="n">
        <v>45976</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48409-2023</t>
        </is>
      </c>
      <c r="B253" s="1" t="n">
        <v>45205</v>
      </c>
      <c r="C253" s="1" t="n">
        <v>45976</v>
      </c>
      <c r="D253" t="inlineStr">
        <is>
          <t>NORRBOTTENS LÄN</t>
        </is>
      </c>
      <c r="E253" t="inlineStr">
        <is>
          <t>LULEÅ</t>
        </is>
      </c>
      <c r="G253" t="n">
        <v>7.9</v>
      </c>
      <c r="H253" t="n">
        <v>0</v>
      </c>
      <c r="I253" t="n">
        <v>0</v>
      </c>
      <c r="J253" t="n">
        <v>0</v>
      </c>
      <c r="K253" t="n">
        <v>0</v>
      </c>
      <c r="L253" t="n">
        <v>0</v>
      </c>
      <c r="M253" t="n">
        <v>0</v>
      </c>
      <c r="N253" t="n">
        <v>0</v>
      </c>
      <c r="O253" t="n">
        <v>0</v>
      </c>
      <c r="P253" t="n">
        <v>0</v>
      </c>
      <c r="Q253" t="n">
        <v>0</v>
      </c>
      <c r="R253" s="2" t="inlineStr"/>
    </row>
    <row r="254" ht="15" customHeight="1">
      <c r="A254" t="inlineStr">
        <is>
          <t>A 48410-2023</t>
        </is>
      </c>
      <c r="B254" s="1" t="n">
        <v>45205</v>
      </c>
      <c r="C254" s="1" t="n">
        <v>45976</v>
      </c>
      <c r="D254" t="inlineStr">
        <is>
          <t>NORRBOTTENS LÄN</t>
        </is>
      </c>
      <c r="E254" t="inlineStr">
        <is>
          <t>LULEÅ</t>
        </is>
      </c>
      <c r="G254" t="n">
        <v>6.7</v>
      </c>
      <c r="H254" t="n">
        <v>0</v>
      </c>
      <c r="I254" t="n">
        <v>0</v>
      </c>
      <c r="J254" t="n">
        <v>0</v>
      </c>
      <c r="K254" t="n">
        <v>0</v>
      </c>
      <c r="L254" t="n">
        <v>0</v>
      </c>
      <c r="M254" t="n">
        <v>0</v>
      </c>
      <c r="N254" t="n">
        <v>0</v>
      </c>
      <c r="O254" t="n">
        <v>0</v>
      </c>
      <c r="P254" t="n">
        <v>0</v>
      </c>
      <c r="Q254" t="n">
        <v>0</v>
      </c>
      <c r="R254" s="2" t="inlineStr"/>
    </row>
    <row r="255" ht="15" customHeight="1">
      <c r="A255" t="inlineStr">
        <is>
          <t>A 38683-2025</t>
        </is>
      </c>
      <c r="B255" s="1" t="n">
        <v>45884.65483796296</v>
      </c>
      <c r="C255" s="1" t="n">
        <v>45976</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row>
    <row r="256" ht="15" customHeight="1">
      <c r="A256" t="inlineStr">
        <is>
          <t>A 2208-2024</t>
        </is>
      </c>
      <c r="B256" s="1" t="n">
        <v>45309</v>
      </c>
      <c r="C256" s="1" t="n">
        <v>45976</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29537-2023</t>
        </is>
      </c>
      <c r="B257" s="1" t="n">
        <v>45098</v>
      </c>
      <c r="C257" s="1" t="n">
        <v>45976</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35090-2023</t>
        </is>
      </c>
      <c r="B258" s="1" t="n">
        <v>45145</v>
      </c>
      <c r="C258" s="1" t="n">
        <v>45976</v>
      </c>
      <c r="D258" t="inlineStr">
        <is>
          <t>NORRBOTTENS LÄN</t>
        </is>
      </c>
      <c r="E258" t="inlineStr">
        <is>
          <t>LULEÅ</t>
        </is>
      </c>
      <c r="G258" t="n">
        <v>3</v>
      </c>
      <c r="H258" t="n">
        <v>0</v>
      </c>
      <c r="I258" t="n">
        <v>0</v>
      </c>
      <c r="J258" t="n">
        <v>0</v>
      </c>
      <c r="K258" t="n">
        <v>0</v>
      </c>
      <c r="L258" t="n">
        <v>0</v>
      </c>
      <c r="M258" t="n">
        <v>0</v>
      </c>
      <c r="N258" t="n">
        <v>0</v>
      </c>
      <c r="O258" t="n">
        <v>0</v>
      </c>
      <c r="P258" t="n">
        <v>0</v>
      </c>
      <c r="Q258" t="n">
        <v>0</v>
      </c>
      <c r="R258" s="2" t="inlineStr"/>
    </row>
    <row r="259" ht="15" customHeight="1">
      <c r="A259" t="inlineStr">
        <is>
          <t>A 17439-2023</t>
        </is>
      </c>
      <c r="B259" s="1" t="n">
        <v>45035.92714120371</v>
      </c>
      <c r="C259" s="1" t="n">
        <v>45976</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45857-2024</t>
        </is>
      </c>
      <c r="B260" s="1" t="n">
        <v>45580.34554398148</v>
      </c>
      <c r="C260" s="1" t="n">
        <v>45976</v>
      </c>
      <c r="D260" t="inlineStr">
        <is>
          <t>NORRBOTTENS LÄN</t>
        </is>
      </c>
      <c r="E260" t="inlineStr">
        <is>
          <t>LULEÅ</t>
        </is>
      </c>
      <c r="G260" t="n">
        <v>4.6</v>
      </c>
      <c r="H260" t="n">
        <v>0</v>
      </c>
      <c r="I260" t="n">
        <v>0</v>
      </c>
      <c r="J260" t="n">
        <v>0</v>
      </c>
      <c r="K260" t="n">
        <v>0</v>
      </c>
      <c r="L260" t="n">
        <v>0</v>
      </c>
      <c r="M260" t="n">
        <v>0</v>
      </c>
      <c r="N260" t="n">
        <v>0</v>
      </c>
      <c r="O260" t="n">
        <v>0</v>
      </c>
      <c r="P260" t="n">
        <v>0</v>
      </c>
      <c r="Q260" t="n">
        <v>0</v>
      </c>
      <c r="R260" s="2" t="inlineStr"/>
    </row>
    <row r="261" ht="15" customHeight="1">
      <c r="A261" t="inlineStr">
        <is>
          <t>A 39269-2025</t>
        </is>
      </c>
      <c r="B261" s="1" t="n">
        <v>45889.38579861111</v>
      </c>
      <c r="C261" s="1" t="n">
        <v>45976</v>
      </c>
      <c r="D261" t="inlineStr">
        <is>
          <t>NORRBOTTENS LÄN</t>
        </is>
      </c>
      <c r="E261" t="inlineStr">
        <is>
          <t>LULEÅ</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49018-2023</t>
        </is>
      </c>
      <c r="B262" s="1" t="n">
        <v>45204</v>
      </c>
      <c r="C262" s="1" t="n">
        <v>45976</v>
      </c>
      <c r="D262" t="inlineStr">
        <is>
          <t>NORRBOTTENS LÄN</t>
        </is>
      </c>
      <c r="E262" t="inlineStr">
        <is>
          <t>LULEÅ</t>
        </is>
      </c>
      <c r="G262" t="n">
        <v>2.8</v>
      </c>
      <c r="H262" t="n">
        <v>0</v>
      </c>
      <c r="I262" t="n">
        <v>0</v>
      </c>
      <c r="J262" t="n">
        <v>0</v>
      </c>
      <c r="K262" t="n">
        <v>0</v>
      </c>
      <c r="L262" t="n">
        <v>0</v>
      </c>
      <c r="M262" t="n">
        <v>0</v>
      </c>
      <c r="N262" t="n">
        <v>0</v>
      </c>
      <c r="O262" t="n">
        <v>0</v>
      </c>
      <c r="P262" t="n">
        <v>0</v>
      </c>
      <c r="Q262" t="n">
        <v>0</v>
      </c>
      <c r="R262" s="2" t="inlineStr"/>
    </row>
    <row r="263" ht="15" customHeight="1">
      <c r="A263" t="inlineStr">
        <is>
          <t>A 9449-2023</t>
        </is>
      </c>
      <c r="B263" s="1" t="n">
        <v>44981</v>
      </c>
      <c r="C263" s="1" t="n">
        <v>45976</v>
      </c>
      <c r="D263" t="inlineStr">
        <is>
          <t>NORRBOTTENS LÄN</t>
        </is>
      </c>
      <c r="E263" t="inlineStr">
        <is>
          <t>LULEÅ</t>
        </is>
      </c>
      <c r="G263" t="n">
        <v>6.1</v>
      </c>
      <c r="H263" t="n">
        <v>0</v>
      </c>
      <c r="I263" t="n">
        <v>0</v>
      </c>
      <c r="J263" t="n">
        <v>0</v>
      </c>
      <c r="K263" t="n">
        <v>0</v>
      </c>
      <c r="L263" t="n">
        <v>0</v>
      </c>
      <c r="M263" t="n">
        <v>0</v>
      </c>
      <c r="N263" t="n">
        <v>0</v>
      </c>
      <c r="O263" t="n">
        <v>0</v>
      </c>
      <c r="P263" t="n">
        <v>0</v>
      </c>
      <c r="Q263" t="n">
        <v>0</v>
      </c>
      <c r="R263" s="2" t="inlineStr"/>
    </row>
    <row r="264" ht="15" customHeight="1">
      <c r="A264" t="inlineStr">
        <is>
          <t>A 29417-2025</t>
        </is>
      </c>
      <c r="B264" s="1" t="n">
        <v>45824.63576388889</v>
      </c>
      <c r="C264" s="1" t="n">
        <v>45976</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23534-2025</t>
        </is>
      </c>
      <c r="B265" s="1" t="n">
        <v>45792</v>
      </c>
      <c r="C265" s="1" t="n">
        <v>45976</v>
      </c>
      <c r="D265" t="inlineStr">
        <is>
          <t>NORRBOTTENS LÄN</t>
        </is>
      </c>
      <c r="E265" t="inlineStr">
        <is>
          <t>LULEÅ</t>
        </is>
      </c>
      <c r="G265" t="n">
        <v>3.2</v>
      </c>
      <c r="H265" t="n">
        <v>0</v>
      </c>
      <c r="I265" t="n">
        <v>0</v>
      </c>
      <c r="J265" t="n">
        <v>0</v>
      </c>
      <c r="K265" t="n">
        <v>0</v>
      </c>
      <c r="L265" t="n">
        <v>0</v>
      </c>
      <c r="M265" t="n">
        <v>0</v>
      </c>
      <c r="N265" t="n">
        <v>0</v>
      </c>
      <c r="O265" t="n">
        <v>0</v>
      </c>
      <c r="P265" t="n">
        <v>0</v>
      </c>
      <c r="Q265" t="n">
        <v>0</v>
      </c>
      <c r="R265" s="2" t="inlineStr"/>
    </row>
    <row r="266" ht="15" customHeight="1">
      <c r="A266" t="inlineStr">
        <is>
          <t>A 59682-2023</t>
        </is>
      </c>
      <c r="B266" s="1" t="n">
        <v>45255</v>
      </c>
      <c r="C266" s="1" t="n">
        <v>45976</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35158-2024</t>
        </is>
      </c>
      <c r="B267" s="1" t="n">
        <v>45530.39005787037</v>
      </c>
      <c r="C267" s="1" t="n">
        <v>45976</v>
      </c>
      <c r="D267" t="inlineStr">
        <is>
          <t>NORRBOTTENS LÄN</t>
        </is>
      </c>
      <c r="E267" t="inlineStr">
        <is>
          <t>LULEÅ</t>
        </is>
      </c>
      <c r="G267" t="n">
        <v>2.1</v>
      </c>
      <c r="H267" t="n">
        <v>0</v>
      </c>
      <c r="I267" t="n">
        <v>0</v>
      </c>
      <c r="J267" t="n">
        <v>0</v>
      </c>
      <c r="K267" t="n">
        <v>0</v>
      </c>
      <c r="L267" t="n">
        <v>0</v>
      </c>
      <c r="M267" t="n">
        <v>0</v>
      </c>
      <c r="N267" t="n">
        <v>0</v>
      </c>
      <c r="O267" t="n">
        <v>0</v>
      </c>
      <c r="P267" t="n">
        <v>0</v>
      </c>
      <c r="Q267" t="n">
        <v>0</v>
      </c>
      <c r="R267" s="2" t="inlineStr"/>
    </row>
    <row r="268" ht="15" customHeight="1">
      <c r="A268" t="inlineStr">
        <is>
          <t>A 17020-2024</t>
        </is>
      </c>
      <c r="B268" s="1" t="n">
        <v>45411</v>
      </c>
      <c r="C268" s="1" t="n">
        <v>45976</v>
      </c>
      <c r="D268" t="inlineStr">
        <is>
          <t>NORRBOTTENS LÄN</t>
        </is>
      </c>
      <c r="E268" t="inlineStr">
        <is>
          <t>LULEÅ</t>
        </is>
      </c>
      <c r="G268" t="n">
        <v>2.2</v>
      </c>
      <c r="H268" t="n">
        <v>0</v>
      </c>
      <c r="I268" t="n">
        <v>0</v>
      </c>
      <c r="J268" t="n">
        <v>0</v>
      </c>
      <c r="K268" t="n">
        <v>0</v>
      </c>
      <c r="L268" t="n">
        <v>0</v>
      </c>
      <c r="M268" t="n">
        <v>0</v>
      </c>
      <c r="N268" t="n">
        <v>0</v>
      </c>
      <c r="O268" t="n">
        <v>0</v>
      </c>
      <c r="P268" t="n">
        <v>0</v>
      </c>
      <c r="Q268" t="n">
        <v>0</v>
      </c>
      <c r="R268" s="2" t="inlineStr"/>
    </row>
    <row r="269" ht="15" customHeight="1">
      <c r="A269" t="inlineStr">
        <is>
          <t>A 17031-2024</t>
        </is>
      </c>
      <c r="B269" s="1" t="n">
        <v>45411</v>
      </c>
      <c r="C269" s="1" t="n">
        <v>45976</v>
      </c>
      <c r="D269" t="inlineStr">
        <is>
          <t>NORRBOTTENS LÄN</t>
        </is>
      </c>
      <c r="E269" t="inlineStr">
        <is>
          <t>LULEÅ</t>
        </is>
      </c>
      <c r="G269" t="n">
        <v>4.6</v>
      </c>
      <c r="H269" t="n">
        <v>0</v>
      </c>
      <c r="I269" t="n">
        <v>0</v>
      </c>
      <c r="J269" t="n">
        <v>0</v>
      </c>
      <c r="K269" t="n">
        <v>0</v>
      </c>
      <c r="L269" t="n">
        <v>0</v>
      </c>
      <c r="M269" t="n">
        <v>0</v>
      </c>
      <c r="N269" t="n">
        <v>0</v>
      </c>
      <c r="O269" t="n">
        <v>0</v>
      </c>
      <c r="P269" t="n">
        <v>0</v>
      </c>
      <c r="Q269" t="n">
        <v>0</v>
      </c>
      <c r="R269" s="2" t="inlineStr"/>
    </row>
    <row r="270" ht="15" customHeight="1">
      <c r="A270" t="inlineStr">
        <is>
          <t>A 40899-2024</t>
        </is>
      </c>
      <c r="B270" s="1" t="n">
        <v>45558.62070601852</v>
      </c>
      <c r="C270" s="1" t="n">
        <v>45976</v>
      </c>
      <c r="D270" t="inlineStr">
        <is>
          <t>NORRBOTTENS LÄN</t>
        </is>
      </c>
      <c r="E270" t="inlineStr">
        <is>
          <t>LULEÅ</t>
        </is>
      </c>
      <c r="F270" t="inlineStr">
        <is>
          <t>Övriga Aktiebolag</t>
        </is>
      </c>
      <c r="G270" t="n">
        <v>2.6</v>
      </c>
      <c r="H270" t="n">
        <v>0</v>
      </c>
      <c r="I270" t="n">
        <v>0</v>
      </c>
      <c r="J270" t="n">
        <v>0</v>
      </c>
      <c r="K270" t="n">
        <v>0</v>
      </c>
      <c r="L270" t="n">
        <v>0</v>
      </c>
      <c r="M270" t="n">
        <v>0</v>
      </c>
      <c r="N270" t="n">
        <v>0</v>
      </c>
      <c r="O270" t="n">
        <v>0</v>
      </c>
      <c r="P270" t="n">
        <v>0</v>
      </c>
      <c r="Q270" t="n">
        <v>0</v>
      </c>
      <c r="R270" s="2" t="inlineStr"/>
    </row>
    <row r="271" ht="15" customHeight="1">
      <c r="A271" t="inlineStr">
        <is>
          <t>A 31347-2023</t>
        </is>
      </c>
      <c r="B271" s="1" t="n">
        <v>45104</v>
      </c>
      <c r="C271" s="1" t="n">
        <v>45976</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6841-2024</t>
        </is>
      </c>
      <c r="B272" s="1" t="n">
        <v>45342</v>
      </c>
      <c r="C272" s="1" t="n">
        <v>45976</v>
      </c>
      <c r="D272" t="inlineStr">
        <is>
          <t>NORRBOTTENS LÄN</t>
        </is>
      </c>
      <c r="E272" t="inlineStr">
        <is>
          <t>LULEÅ</t>
        </is>
      </c>
      <c r="G272" t="n">
        <v>2.8</v>
      </c>
      <c r="H272" t="n">
        <v>0</v>
      </c>
      <c r="I272" t="n">
        <v>0</v>
      </c>
      <c r="J272" t="n">
        <v>0</v>
      </c>
      <c r="K272" t="n">
        <v>0</v>
      </c>
      <c r="L272" t="n">
        <v>0</v>
      </c>
      <c r="M272" t="n">
        <v>0</v>
      </c>
      <c r="N272" t="n">
        <v>0</v>
      </c>
      <c r="O272" t="n">
        <v>0</v>
      </c>
      <c r="P272" t="n">
        <v>0</v>
      </c>
      <c r="Q272" t="n">
        <v>0</v>
      </c>
      <c r="R272" s="2" t="inlineStr"/>
    </row>
    <row r="273" ht="15" customHeight="1">
      <c r="A273" t="inlineStr">
        <is>
          <t>A 11242-2021</t>
        </is>
      </c>
      <c r="B273" s="1" t="n">
        <v>44263.39423611111</v>
      </c>
      <c r="C273" s="1" t="n">
        <v>45976</v>
      </c>
      <c r="D273" t="inlineStr">
        <is>
          <t>NORRBOTTENS LÄN</t>
        </is>
      </c>
      <c r="E273" t="inlineStr">
        <is>
          <t>LULEÅ</t>
        </is>
      </c>
      <c r="G273" t="n">
        <v>1</v>
      </c>
      <c r="H273" t="n">
        <v>0</v>
      </c>
      <c r="I273" t="n">
        <v>0</v>
      </c>
      <c r="J273" t="n">
        <v>0</v>
      </c>
      <c r="K273" t="n">
        <v>0</v>
      </c>
      <c r="L273" t="n">
        <v>0</v>
      </c>
      <c r="M273" t="n">
        <v>0</v>
      </c>
      <c r="N273" t="n">
        <v>0</v>
      </c>
      <c r="O273" t="n">
        <v>0</v>
      </c>
      <c r="P273" t="n">
        <v>0</v>
      </c>
      <c r="Q273" t="n">
        <v>0</v>
      </c>
      <c r="R273" s="2" t="inlineStr"/>
    </row>
    <row r="274" ht="15" customHeight="1">
      <c r="A274" t="inlineStr">
        <is>
          <t>A 39644-2025</t>
        </is>
      </c>
      <c r="B274" s="1" t="n">
        <v>45890.61241898148</v>
      </c>
      <c r="C274" s="1" t="n">
        <v>45976</v>
      </c>
      <c r="D274" t="inlineStr">
        <is>
          <t>NORRBOTTENS LÄN</t>
        </is>
      </c>
      <c r="E274" t="inlineStr">
        <is>
          <t>LULEÅ</t>
        </is>
      </c>
      <c r="G274" t="n">
        <v>4.6</v>
      </c>
      <c r="H274" t="n">
        <v>0</v>
      </c>
      <c r="I274" t="n">
        <v>0</v>
      </c>
      <c r="J274" t="n">
        <v>0</v>
      </c>
      <c r="K274" t="n">
        <v>0</v>
      </c>
      <c r="L274" t="n">
        <v>0</v>
      </c>
      <c r="M274" t="n">
        <v>0</v>
      </c>
      <c r="N274" t="n">
        <v>0</v>
      </c>
      <c r="O274" t="n">
        <v>0</v>
      </c>
      <c r="P274" t="n">
        <v>0</v>
      </c>
      <c r="Q274" t="n">
        <v>0</v>
      </c>
      <c r="R274" s="2" t="inlineStr"/>
    </row>
    <row r="275" ht="15" customHeight="1">
      <c r="A275" t="inlineStr">
        <is>
          <t>A 4123-2024</t>
        </is>
      </c>
      <c r="B275" s="1" t="n">
        <v>45323</v>
      </c>
      <c r="C275" s="1" t="n">
        <v>45976</v>
      </c>
      <c r="D275" t="inlineStr">
        <is>
          <t>NORRBOTTENS LÄN</t>
        </is>
      </c>
      <c r="E275" t="inlineStr">
        <is>
          <t>LULEÅ</t>
        </is>
      </c>
      <c r="G275" t="n">
        <v>5.3</v>
      </c>
      <c r="H275" t="n">
        <v>0</v>
      </c>
      <c r="I275" t="n">
        <v>0</v>
      </c>
      <c r="J275" t="n">
        <v>0</v>
      </c>
      <c r="K275" t="n">
        <v>0</v>
      </c>
      <c r="L275" t="n">
        <v>0</v>
      </c>
      <c r="M275" t="n">
        <v>0</v>
      </c>
      <c r="N275" t="n">
        <v>0</v>
      </c>
      <c r="O275" t="n">
        <v>0</v>
      </c>
      <c r="P275" t="n">
        <v>0</v>
      </c>
      <c r="Q275" t="n">
        <v>0</v>
      </c>
      <c r="R275" s="2" t="inlineStr"/>
    </row>
    <row r="276" ht="15" customHeight="1">
      <c r="A276" t="inlineStr">
        <is>
          <t>A 57815-2022</t>
        </is>
      </c>
      <c r="B276" s="1" t="n">
        <v>44897.92459490741</v>
      </c>
      <c r="C276" s="1" t="n">
        <v>45976</v>
      </c>
      <c r="D276" t="inlineStr">
        <is>
          <t>NORRBOTTENS LÄN</t>
        </is>
      </c>
      <c r="E276" t="inlineStr">
        <is>
          <t>LULEÅ</t>
        </is>
      </c>
      <c r="G276" t="n">
        <v>2.4</v>
      </c>
      <c r="H276" t="n">
        <v>0</v>
      </c>
      <c r="I276" t="n">
        <v>0</v>
      </c>
      <c r="J276" t="n">
        <v>0</v>
      </c>
      <c r="K276" t="n">
        <v>0</v>
      </c>
      <c r="L276" t="n">
        <v>0</v>
      </c>
      <c r="M276" t="n">
        <v>0</v>
      </c>
      <c r="N276" t="n">
        <v>0</v>
      </c>
      <c r="O276" t="n">
        <v>0</v>
      </c>
      <c r="P276" t="n">
        <v>0</v>
      </c>
      <c r="Q276" t="n">
        <v>0</v>
      </c>
      <c r="R276" s="2" t="inlineStr"/>
    </row>
    <row r="277" ht="15" customHeight="1">
      <c r="A277" t="inlineStr">
        <is>
          <t>A 39550-2025</t>
        </is>
      </c>
      <c r="B277" s="1" t="n">
        <v>45890</v>
      </c>
      <c r="C277" s="1" t="n">
        <v>45976</v>
      </c>
      <c r="D277" t="inlineStr">
        <is>
          <t>NORRBOTTENS LÄN</t>
        </is>
      </c>
      <c r="E277" t="inlineStr">
        <is>
          <t>LULEÅ</t>
        </is>
      </c>
      <c r="G277" t="n">
        <v>7.4</v>
      </c>
      <c r="H277" t="n">
        <v>0</v>
      </c>
      <c r="I277" t="n">
        <v>0</v>
      </c>
      <c r="J277" t="n">
        <v>0</v>
      </c>
      <c r="K277" t="n">
        <v>0</v>
      </c>
      <c r="L277" t="n">
        <v>0</v>
      </c>
      <c r="M277" t="n">
        <v>0</v>
      </c>
      <c r="N277" t="n">
        <v>0</v>
      </c>
      <c r="O277" t="n">
        <v>0</v>
      </c>
      <c r="P277" t="n">
        <v>0</v>
      </c>
      <c r="Q277" t="n">
        <v>0</v>
      </c>
      <c r="R277" s="2" t="inlineStr"/>
    </row>
    <row r="278" ht="15" customHeight="1">
      <c r="A278" t="inlineStr">
        <is>
          <t>A 57823-2022</t>
        </is>
      </c>
      <c r="B278" s="1" t="n">
        <v>44897</v>
      </c>
      <c r="C278" s="1" t="n">
        <v>45976</v>
      </c>
      <c r="D278" t="inlineStr">
        <is>
          <t>NORRBOTTENS LÄN</t>
        </is>
      </c>
      <c r="E278" t="inlineStr">
        <is>
          <t>LULEÅ</t>
        </is>
      </c>
      <c r="G278" t="n">
        <v>6.7</v>
      </c>
      <c r="H278" t="n">
        <v>0</v>
      </c>
      <c r="I278" t="n">
        <v>0</v>
      </c>
      <c r="J278" t="n">
        <v>0</v>
      </c>
      <c r="K278" t="n">
        <v>0</v>
      </c>
      <c r="L278" t="n">
        <v>0</v>
      </c>
      <c r="M278" t="n">
        <v>0</v>
      </c>
      <c r="N278" t="n">
        <v>0</v>
      </c>
      <c r="O278" t="n">
        <v>0</v>
      </c>
      <c r="P278" t="n">
        <v>0</v>
      </c>
      <c r="Q278" t="n">
        <v>0</v>
      </c>
      <c r="R278" s="2" t="inlineStr"/>
    </row>
    <row r="279" ht="15" customHeight="1">
      <c r="A279" t="inlineStr">
        <is>
          <t>A 57825-2022</t>
        </is>
      </c>
      <c r="B279" s="1" t="n">
        <v>44897</v>
      </c>
      <c r="C279" s="1" t="n">
        <v>45976</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17425-2023</t>
        </is>
      </c>
      <c r="B280" s="1" t="n">
        <v>45035</v>
      </c>
      <c r="C280" s="1" t="n">
        <v>45976</v>
      </c>
      <c r="D280" t="inlineStr">
        <is>
          <t>NORRBOTTENS LÄN</t>
        </is>
      </c>
      <c r="E280" t="inlineStr">
        <is>
          <t>LULEÅ</t>
        </is>
      </c>
      <c r="G280" t="n">
        <v>2.7</v>
      </c>
      <c r="H280" t="n">
        <v>0</v>
      </c>
      <c r="I280" t="n">
        <v>0</v>
      </c>
      <c r="J280" t="n">
        <v>0</v>
      </c>
      <c r="K280" t="n">
        <v>0</v>
      </c>
      <c r="L280" t="n">
        <v>0</v>
      </c>
      <c r="M280" t="n">
        <v>0</v>
      </c>
      <c r="N280" t="n">
        <v>0</v>
      </c>
      <c r="O280" t="n">
        <v>0</v>
      </c>
      <c r="P280" t="n">
        <v>0</v>
      </c>
      <c r="Q280" t="n">
        <v>0</v>
      </c>
      <c r="R280" s="2" t="inlineStr"/>
    </row>
    <row r="281" ht="15" customHeight="1">
      <c r="A281" t="inlineStr">
        <is>
          <t>A 27303-2022</t>
        </is>
      </c>
      <c r="B281" s="1" t="n">
        <v>44741</v>
      </c>
      <c r="C281" s="1" t="n">
        <v>45976</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17421-2023</t>
        </is>
      </c>
      <c r="B282" s="1" t="n">
        <v>45035.92607638889</v>
      </c>
      <c r="C282" s="1" t="n">
        <v>45976</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10885-2023</t>
        </is>
      </c>
      <c r="B283" s="1" t="n">
        <v>44985</v>
      </c>
      <c r="C283" s="1" t="n">
        <v>45976</v>
      </c>
      <c r="D283" t="inlineStr">
        <is>
          <t>NORRBOTTENS LÄN</t>
        </is>
      </c>
      <c r="E283" t="inlineStr">
        <is>
          <t>LULEÅ</t>
        </is>
      </c>
      <c r="G283" t="n">
        <v>3.1</v>
      </c>
      <c r="H283" t="n">
        <v>0</v>
      </c>
      <c r="I283" t="n">
        <v>0</v>
      </c>
      <c r="J283" t="n">
        <v>0</v>
      </c>
      <c r="K283" t="n">
        <v>0</v>
      </c>
      <c r="L283" t="n">
        <v>0</v>
      </c>
      <c r="M283" t="n">
        <v>0</v>
      </c>
      <c r="N283" t="n">
        <v>0</v>
      </c>
      <c r="O283" t="n">
        <v>0</v>
      </c>
      <c r="P283" t="n">
        <v>0</v>
      </c>
      <c r="Q283" t="n">
        <v>0</v>
      </c>
      <c r="R283" s="2" t="inlineStr"/>
    </row>
    <row r="284" ht="15" customHeight="1">
      <c r="A284" t="inlineStr">
        <is>
          <t>A 20723-2021</t>
        </is>
      </c>
      <c r="B284" s="1" t="n">
        <v>44316.52800925926</v>
      </c>
      <c r="C284" s="1" t="n">
        <v>45976</v>
      </c>
      <c r="D284" t="inlineStr">
        <is>
          <t>NORRBOTTENS LÄN</t>
        </is>
      </c>
      <c r="E284" t="inlineStr">
        <is>
          <t>LULEÅ</t>
        </is>
      </c>
      <c r="G284" t="n">
        <v>7</v>
      </c>
      <c r="H284" t="n">
        <v>0</v>
      </c>
      <c r="I284" t="n">
        <v>0</v>
      </c>
      <c r="J284" t="n">
        <v>0</v>
      </c>
      <c r="K284" t="n">
        <v>0</v>
      </c>
      <c r="L284" t="n">
        <v>0</v>
      </c>
      <c r="M284" t="n">
        <v>0</v>
      </c>
      <c r="N284" t="n">
        <v>0</v>
      </c>
      <c r="O284" t="n">
        <v>0</v>
      </c>
      <c r="P284" t="n">
        <v>0</v>
      </c>
      <c r="Q284" t="n">
        <v>0</v>
      </c>
      <c r="R284" s="2" t="inlineStr"/>
    </row>
    <row r="285" ht="15" customHeight="1">
      <c r="A285" t="inlineStr">
        <is>
          <t>A 49742-2022</t>
        </is>
      </c>
      <c r="B285" s="1" t="n">
        <v>44859</v>
      </c>
      <c r="C285" s="1" t="n">
        <v>45976</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39531-2025</t>
        </is>
      </c>
      <c r="B286" s="1" t="n">
        <v>45890.44831018519</v>
      </c>
      <c r="C286" s="1" t="n">
        <v>45976</v>
      </c>
      <c r="D286" t="inlineStr">
        <is>
          <t>NORRBOTTENS LÄN</t>
        </is>
      </c>
      <c r="E286" t="inlineStr">
        <is>
          <t>LULEÅ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19983-2025</t>
        </is>
      </c>
      <c r="B287" s="1" t="n">
        <v>45771.71908564815</v>
      </c>
      <c r="C287" s="1" t="n">
        <v>45976</v>
      </c>
      <c r="D287" t="inlineStr">
        <is>
          <t>NORRBOTTENS LÄN</t>
        </is>
      </c>
      <c r="E287" t="inlineStr">
        <is>
          <t>LULEÅ</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736-2025</t>
        </is>
      </c>
      <c r="B288" s="1" t="n">
        <v>45664</v>
      </c>
      <c r="C288" s="1" t="n">
        <v>45976</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806-2025</t>
        </is>
      </c>
      <c r="B289" s="1" t="n">
        <v>45664</v>
      </c>
      <c r="C289" s="1" t="n">
        <v>45976</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817-2025</t>
        </is>
      </c>
      <c r="B290" s="1" t="n">
        <v>45664</v>
      </c>
      <c r="C290" s="1" t="n">
        <v>45976</v>
      </c>
      <c r="D290" t="inlineStr">
        <is>
          <t>NORRBOTTENS LÄN</t>
        </is>
      </c>
      <c r="E290" t="inlineStr">
        <is>
          <t>LULEÅ</t>
        </is>
      </c>
      <c r="G290" t="n">
        <v>2.6</v>
      </c>
      <c r="H290" t="n">
        <v>0</v>
      </c>
      <c r="I290" t="n">
        <v>0</v>
      </c>
      <c r="J290" t="n">
        <v>0</v>
      </c>
      <c r="K290" t="n">
        <v>0</v>
      </c>
      <c r="L290" t="n">
        <v>0</v>
      </c>
      <c r="M290" t="n">
        <v>0</v>
      </c>
      <c r="N290" t="n">
        <v>0</v>
      </c>
      <c r="O290" t="n">
        <v>0</v>
      </c>
      <c r="P290" t="n">
        <v>0</v>
      </c>
      <c r="Q290" t="n">
        <v>0</v>
      </c>
      <c r="R290" s="2" t="inlineStr"/>
    </row>
    <row r="291" ht="15" customHeight="1">
      <c r="A291" t="inlineStr">
        <is>
          <t>A 6986-2025</t>
        </is>
      </c>
      <c r="B291" s="1" t="n">
        <v>45701</v>
      </c>
      <c r="C291" s="1" t="n">
        <v>45976</v>
      </c>
      <c r="D291" t="inlineStr">
        <is>
          <t>NORRBOTTENS LÄN</t>
        </is>
      </c>
      <c r="E291" t="inlineStr">
        <is>
          <t>LULEÅ</t>
        </is>
      </c>
      <c r="G291" t="n">
        <v>2</v>
      </c>
      <c r="H291" t="n">
        <v>0</v>
      </c>
      <c r="I291" t="n">
        <v>0</v>
      </c>
      <c r="J291" t="n">
        <v>0</v>
      </c>
      <c r="K291" t="n">
        <v>0</v>
      </c>
      <c r="L291" t="n">
        <v>0</v>
      </c>
      <c r="M291" t="n">
        <v>0</v>
      </c>
      <c r="N291" t="n">
        <v>0</v>
      </c>
      <c r="O291" t="n">
        <v>0</v>
      </c>
      <c r="P291" t="n">
        <v>0</v>
      </c>
      <c r="Q291" t="n">
        <v>0</v>
      </c>
      <c r="R291" s="2" t="inlineStr"/>
    </row>
    <row r="292" ht="15" customHeight="1">
      <c r="A292" t="inlineStr">
        <is>
          <t>A 48547-2025</t>
        </is>
      </c>
      <c r="B292" s="1" t="n">
        <v>45936.42197916667</v>
      </c>
      <c r="C292" s="1" t="n">
        <v>45976</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54769-2024</t>
        </is>
      </c>
      <c r="B293" s="1" t="n">
        <v>45618.47244212963</v>
      </c>
      <c r="C293" s="1" t="n">
        <v>45976</v>
      </c>
      <c r="D293" t="inlineStr">
        <is>
          <t>NORRBOTTENS LÄN</t>
        </is>
      </c>
      <c r="E293" t="inlineStr">
        <is>
          <t>LULEÅ</t>
        </is>
      </c>
      <c r="G293" t="n">
        <v>8.4</v>
      </c>
      <c r="H293" t="n">
        <v>0</v>
      </c>
      <c r="I293" t="n">
        <v>0</v>
      </c>
      <c r="J293" t="n">
        <v>0</v>
      </c>
      <c r="K293" t="n">
        <v>0</v>
      </c>
      <c r="L293" t="n">
        <v>0</v>
      </c>
      <c r="M293" t="n">
        <v>0</v>
      </c>
      <c r="N293" t="n">
        <v>0</v>
      </c>
      <c r="O293" t="n">
        <v>0</v>
      </c>
      <c r="P293" t="n">
        <v>0</v>
      </c>
      <c r="Q293" t="n">
        <v>0</v>
      </c>
      <c r="R293" s="2" t="inlineStr"/>
    </row>
    <row r="294" ht="15" customHeight="1">
      <c r="A294" t="inlineStr">
        <is>
          <t>A 40464-2025</t>
        </is>
      </c>
      <c r="B294" s="1" t="n">
        <v>45895.65347222222</v>
      </c>
      <c r="C294" s="1" t="n">
        <v>45976</v>
      </c>
      <c r="D294" t="inlineStr">
        <is>
          <t>NORRBOTTENS LÄN</t>
        </is>
      </c>
      <c r="E294" t="inlineStr">
        <is>
          <t>LULEÅ</t>
        </is>
      </c>
      <c r="G294" t="n">
        <v>6.9</v>
      </c>
      <c r="H294" t="n">
        <v>0</v>
      </c>
      <c r="I294" t="n">
        <v>0</v>
      </c>
      <c r="J294" t="n">
        <v>0</v>
      </c>
      <c r="K294" t="n">
        <v>0</v>
      </c>
      <c r="L294" t="n">
        <v>0</v>
      </c>
      <c r="M294" t="n">
        <v>0</v>
      </c>
      <c r="N294" t="n">
        <v>0</v>
      </c>
      <c r="O294" t="n">
        <v>0</v>
      </c>
      <c r="P294" t="n">
        <v>0</v>
      </c>
      <c r="Q294" t="n">
        <v>0</v>
      </c>
      <c r="R294" s="2" t="inlineStr"/>
    </row>
    <row r="295" ht="15" customHeight="1">
      <c r="A295" t="inlineStr">
        <is>
          <t>A 48379-2022</t>
        </is>
      </c>
      <c r="B295" s="1" t="n">
        <v>44854</v>
      </c>
      <c r="C295" s="1" t="n">
        <v>45976</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61557-2024</t>
        </is>
      </c>
      <c r="B296" s="1" t="n">
        <v>45646.61081018519</v>
      </c>
      <c r="C296" s="1" t="n">
        <v>45976</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19238-2025</t>
        </is>
      </c>
      <c r="B297" s="1" t="n">
        <v>45769.47217592593</v>
      </c>
      <c r="C297" s="1" t="n">
        <v>45976</v>
      </c>
      <c r="D297" t="inlineStr">
        <is>
          <t>NORRBOTTENS LÄN</t>
        </is>
      </c>
      <c r="E297" t="inlineStr">
        <is>
          <t>LULEÅ</t>
        </is>
      </c>
      <c r="G297" t="n">
        <v>4.9</v>
      </c>
      <c r="H297" t="n">
        <v>0</v>
      </c>
      <c r="I297" t="n">
        <v>0</v>
      </c>
      <c r="J297" t="n">
        <v>0</v>
      </c>
      <c r="K297" t="n">
        <v>0</v>
      </c>
      <c r="L297" t="n">
        <v>0</v>
      </c>
      <c r="M297" t="n">
        <v>0</v>
      </c>
      <c r="N297" t="n">
        <v>0</v>
      </c>
      <c r="O297" t="n">
        <v>0</v>
      </c>
      <c r="P297" t="n">
        <v>0</v>
      </c>
      <c r="Q297" t="n">
        <v>0</v>
      </c>
      <c r="R297" s="2" t="inlineStr"/>
    </row>
    <row r="298" ht="15" customHeight="1">
      <c r="A298" t="inlineStr">
        <is>
          <t>A 25798-2024</t>
        </is>
      </c>
      <c r="B298" s="1" t="n">
        <v>45463</v>
      </c>
      <c r="C298" s="1" t="n">
        <v>45976</v>
      </c>
      <c r="D298" t="inlineStr">
        <is>
          <t>NORRBOTTENS LÄN</t>
        </is>
      </c>
      <c r="E298" t="inlineStr">
        <is>
          <t>LULEÅ</t>
        </is>
      </c>
      <c r="G298" t="n">
        <v>4.9</v>
      </c>
      <c r="H298" t="n">
        <v>0</v>
      </c>
      <c r="I298" t="n">
        <v>0</v>
      </c>
      <c r="J298" t="n">
        <v>0</v>
      </c>
      <c r="K298" t="n">
        <v>0</v>
      </c>
      <c r="L298" t="n">
        <v>0</v>
      </c>
      <c r="M298" t="n">
        <v>0</v>
      </c>
      <c r="N298" t="n">
        <v>0</v>
      </c>
      <c r="O298" t="n">
        <v>0</v>
      </c>
      <c r="P298" t="n">
        <v>0</v>
      </c>
      <c r="Q298" t="n">
        <v>0</v>
      </c>
      <c r="R298" s="2" t="inlineStr"/>
    </row>
    <row r="299" ht="15" customHeight="1">
      <c r="A299" t="inlineStr">
        <is>
          <t>A 43861-2023</t>
        </is>
      </c>
      <c r="B299" s="1" t="n">
        <v>45187</v>
      </c>
      <c r="C299" s="1" t="n">
        <v>45976</v>
      </c>
      <c r="D299" t="inlineStr">
        <is>
          <t>NORRBOTTENS LÄN</t>
        </is>
      </c>
      <c r="E299" t="inlineStr">
        <is>
          <t>LULEÅ</t>
        </is>
      </c>
      <c r="G299" t="n">
        <v>5.1</v>
      </c>
      <c r="H299" t="n">
        <v>0</v>
      </c>
      <c r="I299" t="n">
        <v>0</v>
      </c>
      <c r="J299" t="n">
        <v>0</v>
      </c>
      <c r="K299" t="n">
        <v>0</v>
      </c>
      <c r="L299" t="n">
        <v>0</v>
      </c>
      <c r="M299" t="n">
        <v>0</v>
      </c>
      <c r="N299" t="n">
        <v>0</v>
      </c>
      <c r="O299" t="n">
        <v>0</v>
      </c>
      <c r="P299" t="n">
        <v>0</v>
      </c>
      <c r="Q299" t="n">
        <v>0</v>
      </c>
      <c r="R299" s="2" t="inlineStr"/>
    </row>
    <row r="300" ht="15" customHeight="1">
      <c r="A300" t="inlineStr">
        <is>
          <t>A 4558-2024</t>
        </is>
      </c>
      <c r="B300" s="1" t="n">
        <v>45327</v>
      </c>
      <c r="C300" s="1" t="n">
        <v>45976</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9286-2023</t>
        </is>
      </c>
      <c r="B301" s="1" t="n">
        <v>44977</v>
      </c>
      <c r="C301" s="1" t="n">
        <v>45976</v>
      </c>
      <c r="D301" t="inlineStr">
        <is>
          <t>NORRBOTTENS LÄN</t>
        </is>
      </c>
      <c r="E301" t="inlineStr">
        <is>
          <t>LULEÅ</t>
        </is>
      </c>
      <c r="G301" t="n">
        <v>1.7</v>
      </c>
      <c r="H301" t="n">
        <v>0</v>
      </c>
      <c r="I301" t="n">
        <v>0</v>
      </c>
      <c r="J301" t="n">
        <v>0</v>
      </c>
      <c r="K301" t="n">
        <v>0</v>
      </c>
      <c r="L301" t="n">
        <v>0</v>
      </c>
      <c r="M301" t="n">
        <v>0</v>
      </c>
      <c r="N301" t="n">
        <v>0</v>
      </c>
      <c r="O301" t="n">
        <v>0</v>
      </c>
      <c r="P301" t="n">
        <v>0</v>
      </c>
      <c r="Q301" t="n">
        <v>0</v>
      </c>
      <c r="R301" s="2" t="inlineStr"/>
    </row>
    <row r="302" ht="15" customHeight="1">
      <c r="A302" t="inlineStr">
        <is>
          <t>A 9289-2023</t>
        </is>
      </c>
      <c r="B302" s="1" t="n">
        <v>44977</v>
      </c>
      <c r="C302" s="1" t="n">
        <v>45976</v>
      </c>
      <c r="D302" t="inlineStr">
        <is>
          <t>NORRBOTTENS LÄN</t>
        </is>
      </c>
      <c r="E302" t="inlineStr">
        <is>
          <t>LULEÅ</t>
        </is>
      </c>
      <c r="G302" t="n">
        <v>1.6</v>
      </c>
      <c r="H302" t="n">
        <v>0</v>
      </c>
      <c r="I302" t="n">
        <v>0</v>
      </c>
      <c r="J302" t="n">
        <v>0</v>
      </c>
      <c r="K302" t="n">
        <v>0</v>
      </c>
      <c r="L302" t="n">
        <v>0</v>
      </c>
      <c r="M302" t="n">
        <v>0</v>
      </c>
      <c r="N302" t="n">
        <v>0</v>
      </c>
      <c r="O302" t="n">
        <v>0</v>
      </c>
      <c r="P302" t="n">
        <v>0</v>
      </c>
      <c r="Q302" t="n">
        <v>0</v>
      </c>
      <c r="R302" s="2" t="inlineStr"/>
    </row>
    <row r="303" ht="15" customHeight="1">
      <c r="A303" t="inlineStr">
        <is>
          <t>A 14216-2025</t>
        </is>
      </c>
      <c r="B303" s="1" t="n">
        <v>45740.58505787037</v>
      </c>
      <c r="C303" s="1" t="n">
        <v>45976</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804-2025</t>
        </is>
      </c>
      <c r="B304" s="1" t="n">
        <v>45664</v>
      </c>
      <c r="C304" s="1" t="n">
        <v>45976</v>
      </c>
      <c r="D304" t="inlineStr">
        <is>
          <t>NORRBOTTENS LÄN</t>
        </is>
      </c>
      <c r="E304" t="inlineStr">
        <is>
          <t>LULEÅ</t>
        </is>
      </c>
      <c r="G304" t="n">
        <v>2.1</v>
      </c>
      <c r="H304" t="n">
        <v>0</v>
      </c>
      <c r="I304" t="n">
        <v>0</v>
      </c>
      <c r="J304" t="n">
        <v>0</v>
      </c>
      <c r="K304" t="n">
        <v>0</v>
      </c>
      <c r="L304" t="n">
        <v>0</v>
      </c>
      <c r="M304" t="n">
        <v>0</v>
      </c>
      <c r="N304" t="n">
        <v>0</v>
      </c>
      <c r="O304" t="n">
        <v>0</v>
      </c>
      <c r="P304" t="n">
        <v>0</v>
      </c>
      <c r="Q304" t="n">
        <v>0</v>
      </c>
      <c r="R304" s="2" t="inlineStr"/>
    </row>
    <row r="305" ht="15" customHeight="1">
      <c r="A305" t="inlineStr">
        <is>
          <t>A 814-2025</t>
        </is>
      </c>
      <c r="B305" s="1" t="n">
        <v>45664</v>
      </c>
      <c r="C305" s="1" t="n">
        <v>45976</v>
      </c>
      <c r="D305" t="inlineStr">
        <is>
          <t>NORRBOTTENS LÄN</t>
        </is>
      </c>
      <c r="E305" t="inlineStr">
        <is>
          <t>LULEÅ</t>
        </is>
      </c>
      <c r="G305" t="n">
        <v>3.4</v>
      </c>
      <c r="H305" t="n">
        <v>0</v>
      </c>
      <c r="I305" t="n">
        <v>0</v>
      </c>
      <c r="J305" t="n">
        <v>0</v>
      </c>
      <c r="K305" t="n">
        <v>0</v>
      </c>
      <c r="L305" t="n">
        <v>0</v>
      </c>
      <c r="M305" t="n">
        <v>0</v>
      </c>
      <c r="N305" t="n">
        <v>0</v>
      </c>
      <c r="O305" t="n">
        <v>0</v>
      </c>
      <c r="P305" t="n">
        <v>0</v>
      </c>
      <c r="Q305" t="n">
        <v>0</v>
      </c>
      <c r="R305" s="2" t="inlineStr"/>
    </row>
    <row r="306" ht="15" customHeight="1">
      <c r="A306" t="inlineStr">
        <is>
          <t>A 44680-2021</t>
        </is>
      </c>
      <c r="B306" s="1" t="n">
        <v>44435</v>
      </c>
      <c r="C306" s="1" t="n">
        <v>45976</v>
      </c>
      <c r="D306" t="inlineStr">
        <is>
          <t>NORRBOTTENS LÄN</t>
        </is>
      </c>
      <c r="E306" t="inlineStr">
        <is>
          <t>LULEÅ</t>
        </is>
      </c>
      <c r="G306" t="n">
        <v>6.1</v>
      </c>
      <c r="H306" t="n">
        <v>0</v>
      </c>
      <c r="I306" t="n">
        <v>0</v>
      </c>
      <c r="J306" t="n">
        <v>0</v>
      </c>
      <c r="K306" t="n">
        <v>0</v>
      </c>
      <c r="L306" t="n">
        <v>0</v>
      </c>
      <c r="M306" t="n">
        <v>0</v>
      </c>
      <c r="N306" t="n">
        <v>0</v>
      </c>
      <c r="O306" t="n">
        <v>0</v>
      </c>
      <c r="P306" t="n">
        <v>0</v>
      </c>
      <c r="Q306" t="n">
        <v>0</v>
      </c>
      <c r="R306" s="2" t="inlineStr"/>
    </row>
    <row r="307" ht="15" customHeight="1">
      <c r="A307" t="inlineStr">
        <is>
          <t>A 9706-2022</t>
        </is>
      </c>
      <c r="B307" s="1" t="n">
        <v>44617</v>
      </c>
      <c r="C307" s="1" t="n">
        <v>45976</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42854-2024</t>
        </is>
      </c>
      <c r="B308" s="1" t="n">
        <v>45566.64958333333</v>
      </c>
      <c r="C308" s="1" t="n">
        <v>45976</v>
      </c>
      <c r="D308" t="inlineStr">
        <is>
          <t>NORRBOTTENS LÄN</t>
        </is>
      </c>
      <c r="E308" t="inlineStr">
        <is>
          <t>LULEÅ</t>
        </is>
      </c>
      <c r="G308" t="n">
        <v>1.6</v>
      </c>
      <c r="H308" t="n">
        <v>0</v>
      </c>
      <c r="I308" t="n">
        <v>0</v>
      </c>
      <c r="J308" t="n">
        <v>0</v>
      </c>
      <c r="K308" t="n">
        <v>0</v>
      </c>
      <c r="L308" t="n">
        <v>0</v>
      </c>
      <c r="M308" t="n">
        <v>0</v>
      </c>
      <c r="N308" t="n">
        <v>0</v>
      </c>
      <c r="O308" t="n">
        <v>0</v>
      </c>
      <c r="P308" t="n">
        <v>0</v>
      </c>
      <c r="Q308" t="n">
        <v>0</v>
      </c>
      <c r="R308" s="2" t="inlineStr"/>
    </row>
    <row r="309" ht="15" customHeight="1">
      <c r="A309" t="inlineStr">
        <is>
          <t>A 40697-2024</t>
        </is>
      </c>
      <c r="B309" s="1" t="n">
        <v>45558.41288194444</v>
      </c>
      <c r="C309" s="1" t="n">
        <v>45976</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9274-2023</t>
        </is>
      </c>
      <c r="B310" s="1" t="n">
        <v>44977</v>
      </c>
      <c r="C310" s="1" t="n">
        <v>45976</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9278-2023</t>
        </is>
      </c>
      <c r="B311" s="1" t="n">
        <v>44977</v>
      </c>
      <c r="C311" s="1" t="n">
        <v>45976</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49401-2022</t>
        </is>
      </c>
      <c r="B312" s="1" t="n">
        <v>44861</v>
      </c>
      <c r="C312" s="1" t="n">
        <v>45976</v>
      </c>
      <c r="D312" t="inlineStr">
        <is>
          <t>NORRBOTTENS LÄN</t>
        </is>
      </c>
      <c r="E312" t="inlineStr">
        <is>
          <t>LULEÅ</t>
        </is>
      </c>
      <c r="G312" t="n">
        <v>8.4</v>
      </c>
      <c r="H312" t="n">
        <v>0</v>
      </c>
      <c r="I312" t="n">
        <v>0</v>
      </c>
      <c r="J312" t="n">
        <v>0</v>
      </c>
      <c r="K312" t="n">
        <v>0</v>
      </c>
      <c r="L312" t="n">
        <v>0</v>
      </c>
      <c r="M312" t="n">
        <v>0</v>
      </c>
      <c r="N312" t="n">
        <v>0</v>
      </c>
      <c r="O312" t="n">
        <v>0</v>
      </c>
      <c r="P312" t="n">
        <v>0</v>
      </c>
      <c r="Q312" t="n">
        <v>0</v>
      </c>
      <c r="R312" s="2" t="inlineStr"/>
    </row>
    <row r="313" ht="15" customHeight="1">
      <c r="A313" t="inlineStr">
        <is>
          <t>A 49727-2022</t>
        </is>
      </c>
      <c r="B313" s="1" t="n">
        <v>44859</v>
      </c>
      <c r="C313" s="1" t="n">
        <v>45976</v>
      </c>
      <c r="D313" t="inlineStr">
        <is>
          <t>NORRBOTTENS LÄN</t>
        </is>
      </c>
      <c r="E313" t="inlineStr">
        <is>
          <t>LULEÅ</t>
        </is>
      </c>
      <c r="G313" t="n">
        <v>3.5</v>
      </c>
      <c r="H313" t="n">
        <v>0</v>
      </c>
      <c r="I313" t="n">
        <v>0</v>
      </c>
      <c r="J313" t="n">
        <v>0</v>
      </c>
      <c r="K313" t="n">
        <v>0</v>
      </c>
      <c r="L313" t="n">
        <v>0</v>
      </c>
      <c r="M313" t="n">
        <v>0</v>
      </c>
      <c r="N313" t="n">
        <v>0</v>
      </c>
      <c r="O313" t="n">
        <v>0</v>
      </c>
      <c r="P313" t="n">
        <v>0</v>
      </c>
      <c r="Q313" t="n">
        <v>0</v>
      </c>
      <c r="R313" s="2" t="inlineStr"/>
    </row>
    <row r="314" ht="15" customHeight="1">
      <c r="A314" t="inlineStr">
        <is>
          <t>A 42822-2024</t>
        </is>
      </c>
      <c r="B314" s="1" t="n">
        <v>45566.59611111111</v>
      </c>
      <c r="C314" s="1" t="n">
        <v>45976</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15848-2022</t>
        </is>
      </c>
      <c r="B315" s="1" t="n">
        <v>44664</v>
      </c>
      <c r="C315" s="1" t="n">
        <v>45976</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41707-2024</t>
        </is>
      </c>
      <c r="B316" s="1" t="n">
        <v>45560.69846064815</v>
      </c>
      <c r="C316" s="1" t="n">
        <v>45976</v>
      </c>
      <c r="D316" t="inlineStr">
        <is>
          <t>NORRBOTTENS LÄN</t>
        </is>
      </c>
      <c r="E316" t="inlineStr">
        <is>
          <t>LULEÅ</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41708-2024</t>
        </is>
      </c>
      <c r="B317" s="1" t="n">
        <v>45560.6984837963</v>
      </c>
      <c r="C317" s="1" t="n">
        <v>45976</v>
      </c>
      <c r="D317" t="inlineStr">
        <is>
          <t>NORRBOTTENS LÄN</t>
        </is>
      </c>
      <c r="E317" t="inlineStr">
        <is>
          <t>LULEÅ</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28498-2024</t>
        </is>
      </c>
      <c r="B318" s="1" t="n">
        <v>45477.92725694444</v>
      </c>
      <c r="C318" s="1" t="n">
        <v>45976</v>
      </c>
      <c r="D318" t="inlineStr">
        <is>
          <t>NORRBOTTENS LÄN</t>
        </is>
      </c>
      <c r="E318" t="inlineStr">
        <is>
          <t>LULEÅ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7037-2025</t>
        </is>
      </c>
      <c r="B319" s="1" t="n">
        <v>45701.63607638889</v>
      </c>
      <c r="C319" s="1" t="n">
        <v>45976</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31039-2024</t>
        </is>
      </c>
      <c r="B320" s="1" t="n">
        <v>45501.91951388889</v>
      </c>
      <c r="C320" s="1" t="n">
        <v>45976</v>
      </c>
      <c r="D320" t="inlineStr">
        <is>
          <t>NORRBOTTENS LÄN</t>
        </is>
      </c>
      <c r="E320" t="inlineStr">
        <is>
          <t>LULEÅ</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700-2025</t>
        </is>
      </c>
      <c r="B321" s="1" t="n">
        <v>45663</v>
      </c>
      <c r="C321" s="1" t="n">
        <v>45976</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49421-2025</t>
        </is>
      </c>
      <c r="B322" s="1" t="n">
        <v>45938.72043981482</v>
      </c>
      <c r="C322" s="1" t="n">
        <v>45976</v>
      </c>
      <c r="D322" t="inlineStr">
        <is>
          <t>NORRBOTTENS LÄN</t>
        </is>
      </c>
      <c r="E322" t="inlineStr">
        <is>
          <t>LULEÅ</t>
        </is>
      </c>
      <c r="G322" t="n">
        <v>2.8</v>
      </c>
      <c r="H322" t="n">
        <v>0</v>
      </c>
      <c r="I322" t="n">
        <v>0</v>
      </c>
      <c r="J322" t="n">
        <v>0</v>
      </c>
      <c r="K322" t="n">
        <v>0</v>
      </c>
      <c r="L322" t="n">
        <v>0</v>
      </c>
      <c r="M322" t="n">
        <v>0</v>
      </c>
      <c r="N322" t="n">
        <v>0</v>
      </c>
      <c r="O322" t="n">
        <v>0</v>
      </c>
      <c r="P322" t="n">
        <v>0</v>
      </c>
      <c r="Q322" t="n">
        <v>0</v>
      </c>
      <c r="R322" s="2" t="inlineStr"/>
    </row>
    <row r="323" ht="15" customHeight="1">
      <c r="A323" t="inlineStr">
        <is>
          <t>A 40695-2025</t>
        </is>
      </c>
      <c r="B323" s="1" t="n">
        <v>45897.28637731481</v>
      </c>
      <c r="C323" s="1" t="n">
        <v>45976</v>
      </c>
      <c r="D323" t="inlineStr">
        <is>
          <t>NORRBOTTENS LÄN</t>
        </is>
      </c>
      <c r="E323" t="inlineStr">
        <is>
          <t>LULEÅ</t>
        </is>
      </c>
      <c r="G323" t="n">
        <v>2.4</v>
      </c>
      <c r="H323" t="n">
        <v>0</v>
      </c>
      <c r="I323" t="n">
        <v>0</v>
      </c>
      <c r="J323" t="n">
        <v>0</v>
      </c>
      <c r="K323" t="n">
        <v>0</v>
      </c>
      <c r="L323" t="n">
        <v>0</v>
      </c>
      <c r="M323" t="n">
        <v>0</v>
      </c>
      <c r="N323" t="n">
        <v>0</v>
      </c>
      <c r="O323" t="n">
        <v>0</v>
      </c>
      <c r="P323" t="n">
        <v>0</v>
      </c>
      <c r="Q323" t="n">
        <v>0</v>
      </c>
      <c r="R323" s="2" t="inlineStr"/>
    </row>
    <row r="324" ht="15" customHeight="1">
      <c r="A324" t="inlineStr">
        <is>
          <t>A 52698-2024</t>
        </is>
      </c>
      <c r="B324" s="1" t="n">
        <v>45610</v>
      </c>
      <c r="C324" s="1" t="n">
        <v>45976</v>
      </c>
      <c r="D324" t="inlineStr">
        <is>
          <t>NORRBOTTENS LÄN</t>
        </is>
      </c>
      <c r="E324" t="inlineStr">
        <is>
          <t>LULEÅ</t>
        </is>
      </c>
      <c r="G324" t="n">
        <v>8.9</v>
      </c>
      <c r="H324" t="n">
        <v>0</v>
      </c>
      <c r="I324" t="n">
        <v>0</v>
      </c>
      <c r="J324" t="n">
        <v>0</v>
      </c>
      <c r="K324" t="n">
        <v>0</v>
      </c>
      <c r="L324" t="n">
        <v>0</v>
      </c>
      <c r="M324" t="n">
        <v>0</v>
      </c>
      <c r="N324" t="n">
        <v>0</v>
      </c>
      <c r="O324" t="n">
        <v>0</v>
      </c>
      <c r="P324" t="n">
        <v>0</v>
      </c>
      <c r="Q324" t="n">
        <v>0</v>
      </c>
      <c r="R324" s="2" t="inlineStr"/>
    </row>
    <row r="325" ht="15" customHeight="1">
      <c r="A325" t="inlineStr">
        <is>
          <t>A 4920-2025</t>
        </is>
      </c>
      <c r="B325" s="1" t="n">
        <v>45688.68412037037</v>
      </c>
      <c r="C325" s="1" t="n">
        <v>45976</v>
      </c>
      <c r="D325" t="inlineStr">
        <is>
          <t>NORRBOTTENS LÄN</t>
        </is>
      </c>
      <c r="E325" t="inlineStr">
        <is>
          <t>LULEÅ</t>
        </is>
      </c>
      <c r="G325" t="n">
        <v>6.4</v>
      </c>
      <c r="H325" t="n">
        <v>0</v>
      </c>
      <c r="I325" t="n">
        <v>0</v>
      </c>
      <c r="J325" t="n">
        <v>0</v>
      </c>
      <c r="K325" t="n">
        <v>0</v>
      </c>
      <c r="L325" t="n">
        <v>0</v>
      </c>
      <c r="M325" t="n">
        <v>0</v>
      </c>
      <c r="N325" t="n">
        <v>0</v>
      </c>
      <c r="O325" t="n">
        <v>0</v>
      </c>
      <c r="P325" t="n">
        <v>0</v>
      </c>
      <c r="Q325" t="n">
        <v>0</v>
      </c>
      <c r="R325" s="2" t="inlineStr"/>
    </row>
    <row r="326" ht="15" customHeight="1">
      <c r="A326" t="inlineStr">
        <is>
          <t>A 49490-2025</t>
        </is>
      </c>
      <c r="B326" s="1" t="n">
        <v>45939.36579861111</v>
      </c>
      <c r="C326" s="1" t="n">
        <v>45976</v>
      </c>
      <c r="D326" t="inlineStr">
        <is>
          <t>NORRBOTTENS LÄN</t>
        </is>
      </c>
      <c r="E326" t="inlineStr">
        <is>
          <t>LULEÅ</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8229-2024</t>
        </is>
      </c>
      <c r="B327" s="1" t="n">
        <v>45351</v>
      </c>
      <c r="C327" s="1" t="n">
        <v>45976</v>
      </c>
      <c r="D327" t="inlineStr">
        <is>
          <t>NORRBOTTENS LÄN</t>
        </is>
      </c>
      <c r="E327" t="inlineStr">
        <is>
          <t>LULEÅ</t>
        </is>
      </c>
      <c r="G327" t="n">
        <v>14.8</v>
      </c>
      <c r="H327" t="n">
        <v>0</v>
      </c>
      <c r="I327" t="n">
        <v>0</v>
      </c>
      <c r="J327" t="n">
        <v>0</v>
      </c>
      <c r="K327" t="n">
        <v>0</v>
      </c>
      <c r="L327" t="n">
        <v>0</v>
      </c>
      <c r="M327" t="n">
        <v>0</v>
      </c>
      <c r="N327" t="n">
        <v>0</v>
      </c>
      <c r="O327" t="n">
        <v>0</v>
      </c>
      <c r="P327" t="n">
        <v>0</v>
      </c>
      <c r="Q327" t="n">
        <v>0</v>
      </c>
      <c r="R327" s="2" t="inlineStr"/>
    </row>
    <row r="328" ht="15" customHeight="1">
      <c r="A328" t="inlineStr">
        <is>
          <t>A 51668-2022</t>
        </is>
      </c>
      <c r="B328" s="1" t="n">
        <v>44867</v>
      </c>
      <c r="C328" s="1" t="n">
        <v>45976</v>
      </c>
      <c r="D328" t="inlineStr">
        <is>
          <t>NORRBOTTENS LÄN</t>
        </is>
      </c>
      <c r="E328" t="inlineStr">
        <is>
          <t>LULEÅ</t>
        </is>
      </c>
      <c r="G328" t="n">
        <v>2.6</v>
      </c>
      <c r="H328" t="n">
        <v>0</v>
      </c>
      <c r="I328" t="n">
        <v>0</v>
      </c>
      <c r="J328" t="n">
        <v>0</v>
      </c>
      <c r="K328" t="n">
        <v>0</v>
      </c>
      <c r="L328" t="n">
        <v>0</v>
      </c>
      <c r="M328" t="n">
        <v>0</v>
      </c>
      <c r="N328" t="n">
        <v>0</v>
      </c>
      <c r="O328" t="n">
        <v>0</v>
      </c>
      <c r="P328" t="n">
        <v>0</v>
      </c>
      <c r="Q328" t="n">
        <v>0</v>
      </c>
      <c r="R328" s="2" t="inlineStr"/>
    </row>
    <row r="329" ht="15" customHeight="1">
      <c r="A329" t="inlineStr">
        <is>
          <t>A 40643-2025</t>
        </is>
      </c>
      <c r="B329" s="1" t="n">
        <v>45896.61263888889</v>
      </c>
      <c r="C329" s="1" t="n">
        <v>45976</v>
      </c>
      <c r="D329" t="inlineStr">
        <is>
          <t>NORRBOTTENS LÄN</t>
        </is>
      </c>
      <c r="E329" t="inlineStr">
        <is>
          <t>LULEÅ</t>
        </is>
      </c>
      <c r="G329" t="n">
        <v>4.1</v>
      </c>
      <c r="H329" t="n">
        <v>0</v>
      </c>
      <c r="I329" t="n">
        <v>0</v>
      </c>
      <c r="J329" t="n">
        <v>0</v>
      </c>
      <c r="K329" t="n">
        <v>0</v>
      </c>
      <c r="L329" t="n">
        <v>0</v>
      </c>
      <c r="M329" t="n">
        <v>0</v>
      </c>
      <c r="N329" t="n">
        <v>0</v>
      </c>
      <c r="O329" t="n">
        <v>0</v>
      </c>
      <c r="P329" t="n">
        <v>0</v>
      </c>
      <c r="Q329" t="n">
        <v>0</v>
      </c>
      <c r="R329" s="2" t="inlineStr"/>
    </row>
    <row r="330" ht="15" customHeight="1">
      <c r="A330" t="inlineStr">
        <is>
          <t>A 60727-2024</t>
        </is>
      </c>
      <c r="B330" s="1" t="n">
        <v>45644.54008101852</v>
      </c>
      <c r="C330" s="1" t="n">
        <v>45976</v>
      </c>
      <c r="D330" t="inlineStr">
        <is>
          <t>NORRBOTTENS LÄN</t>
        </is>
      </c>
      <c r="E330" t="inlineStr">
        <is>
          <t>LULEÅ</t>
        </is>
      </c>
      <c r="G330" t="n">
        <v>18.7</v>
      </c>
      <c r="H330" t="n">
        <v>0</v>
      </c>
      <c r="I330" t="n">
        <v>0</v>
      </c>
      <c r="J330" t="n">
        <v>0</v>
      </c>
      <c r="K330" t="n">
        <v>0</v>
      </c>
      <c r="L330" t="n">
        <v>0</v>
      </c>
      <c r="M330" t="n">
        <v>0</v>
      </c>
      <c r="N330" t="n">
        <v>0</v>
      </c>
      <c r="O330" t="n">
        <v>0</v>
      </c>
      <c r="P330" t="n">
        <v>0</v>
      </c>
      <c r="Q330" t="n">
        <v>0</v>
      </c>
      <c r="R330" s="2" t="inlineStr"/>
    </row>
    <row r="331" ht="15" customHeight="1">
      <c r="A331" t="inlineStr">
        <is>
          <t>A 11294-2024</t>
        </is>
      </c>
      <c r="B331" s="1" t="n">
        <v>45371</v>
      </c>
      <c r="C331" s="1" t="n">
        <v>45976</v>
      </c>
      <c r="D331" t="inlineStr">
        <is>
          <t>NORRBOTTENS LÄN</t>
        </is>
      </c>
      <c r="E331" t="inlineStr">
        <is>
          <t>LULEÅ</t>
        </is>
      </c>
      <c r="G331" t="n">
        <v>0.4</v>
      </c>
      <c r="H331" t="n">
        <v>0</v>
      </c>
      <c r="I331" t="n">
        <v>0</v>
      </c>
      <c r="J331" t="n">
        <v>0</v>
      </c>
      <c r="K331" t="n">
        <v>0</v>
      </c>
      <c r="L331" t="n">
        <v>0</v>
      </c>
      <c r="M331" t="n">
        <v>0</v>
      </c>
      <c r="N331" t="n">
        <v>0</v>
      </c>
      <c r="O331" t="n">
        <v>0</v>
      </c>
      <c r="P331" t="n">
        <v>0</v>
      </c>
      <c r="Q331" t="n">
        <v>0</v>
      </c>
      <c r="R331" s="2" t="inlineStr"/>
    </row>
    <row r="332" ht="15" customHeight="1">
      <c r="A332" t="inlineStr">
        <is>
          <t>A 40641-2025</t>
        </is>
      </c>
      <c r="B332" s="1" t="n">
        <v>45896</v>
      </c>
      <c r="C332" s="1" t="n">
        <v>45976</v>
      </c>
      <c r="D332" t="inlineStr">
        <is>
          <t>NORRBOTTENS LÄN</t>
        </is>
      </c>
      <c r="E332" t="inlineStr">
        <is>
          <t>LULEÅ</t>
        </is>
      </c>
      <c r="G332" t="n">
        <v>4.2</v>
      </c>
      <c r="H332" t="n">
        <v>0</v>
      </c>
      <c r="I332" t="n">
        <v>0</v>
      </c>
      <c r="J332" t="n">
        <v>0</v>
      </c>
      <c r="K332" t="n">
        <v>0</v>
      </c>
      <c r="L332" t="n">
        <v>0</v>
      </c>
      <c r="M332" t="n">
        <v>0</v>
      </c>
      <c r="N332" t="n">
        <v>0</v>
      </c>
      <c r="O332" t="n">
        <v>0</v>
      </c>
      <c r="P332" t="n">
        <v>0</v>
      </c>
      <c r="Q332" t="n">
        <v>0</v>
      </c>
      <c r="R332" s="2" t="inlineStr"/>
    </row>
    <row r="333" ht="15" customHeight="1">
      <c r="A333" t="inlineStr">
        <is>
          <t>A 59609-2024</t>
        </is>
      </c>
      <c r="B333" s="1" t="n">
        <v>45638.75081018519</v>
      </c>
      <c r="C333" s="1" t="n">
        <v>45976</v>
      </c>
      <c r="D333" t="inlineStr">
        <is>
          <t>NORRBOTTENS LÄN</t>
        </is>
      </c>
      <c r="E333" t="inlineStr">
        <is>
          <t>LULEÅ</t>
        </is>
      </c>
      <c r="G333" t="n">
        <v>1.5</v>
      </c>
      <c r="H333" t="n">
        <v>0</v>
      </c>
      <c r="I333" t="n">
        <v>0</v>
      </c>
      <c r="J333" t="n">
        <v>0</v>
      </c>
      <c r="K333" t="n">
        <v>0</v>
      </c>
      <c r="L333" t="n">
        <v>0</v>
      </c>
      <c r="M333" t="n">
        <v>0</v>
      </c>
      <c r="N333" t="n">
        <v>0</v>
      </c>
      <c r="O333" t="n">
        <v>0</v>
      </c>
      <c r="P333" t="n">
        <v>0</v>
      </c>
      <c r="Q333" t="n">
        <v>0</v>
      </c>
      <c r="R333" s="2" t="inlineStr"/>
    </row>
    <row r="334" ht="15" customHeight="1">
      <c r="A334" t="inlineStr">
        <is>
          <t>A 49194-2025</t>
        </is>
      </c>
      <c r="B334" s="1" t="n">
        <v>45938.40929398148</v>
      </c>
      <c r="C334" s="1" t="n">
        <v>45976</v>
      </c>
      <c r="D334" t="inlineStr">
        <is>
          <t>NORRBOTTENS LÄN</t>
        </is>
      </c>
      <c r="E334" t="inlineStr">
        <is>
          <t>LULEÅ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10377-2025</t>
        </is>
      </c>
      <c r="B335" s="1" t="n">
        <v>45720.5630787037</v>
      </c>
      <c r="C335" s="1" t="n">
        <v>45976</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16052-2025</t>
        </is>
      </c>
      <c r="B336" s="1" t="n">
        <v>45749.64261574074</v>
      </c>
      <c r="C336" s="1" t="n">
        <v>45976</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4941-2025</t>
        </is>
      </c>
      <c r="B337" s="1" t="n">
        <v>45688.6995949074</v>
      </c>
      <c r="C337" s="1" t="n">
        <v>45976</v>
      </c>
      <c r="D337" t="inlineStr">
        <is>
          <t>NORRBOTTENS LÄN</t>
        </is>
      </c>
      <c r="E337" t="inlineStr">
        <is>
          <t>LULEÅ</t>
        </is>
      </c>
      <c r="G337" t="n">
        <v>0.6</v>
      </c>
      <c r="H337" t="n">
        <v>0</v>
      </c>
      <c r="I337" t="n">
        <v>0</v>
      </c>
      <c r="J337" t="n">
        <v>0</v>
      </c>
      <c r="K337" t="n">
        <v>0</v>
      </c>
      <c r="L337" t="n">
        <v>0</v>
      </c>
      <c r="M337" t="n">
        <v>0</v>
      </c>
      <c r="N337" t="n">
        <v>0</v>
      </c>
      <c r="O337" t="n">
        <v>0</v>
      </c>
      <c r="P337" t="n">
        <v>0</v>
      </c>
      <c r="Q337" t="n">
        <v>0</v>
      </c>
      <c r="R337" s="2" t="inlineStr"/>
    </row>
    <row r="338" ht="15" customHeight="1">
      <c r="A338" t="inlineStr">
        <is>
          <t>A 24752-2025</t>
        </is>
      </c>
      <c r="B338" s="1" t="n">
        <v>45799.3653587963</v>
      </c>
      <c r="C338" s="1" t="n">
        <v>45976</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51277-2024</t>
        </is>
      </c>
      <c r="B339" s="1" t="n">
        <v>45603.74953703704</v>
      </c>
      <c r="C339" s="1" t="n">
        <v>45976</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40644-2025</t>
        </is>
      </c>
      <c r="B340" s="1" t="n">
        <v>45896.6166087963</v>
      </c>
      <c r="C340" s="1" t="n">
        <v>45976</v>
      </c>
      <c r="D340" t="inlineStr">
        <is>
          <t>NORRBOTTENS LÄN</t>
        </is>
      </c>
      <c r="E340" t="inlineStr">
        <is>
          <t>LULEÅ</t>
        </is>
      </c>
      <c r="G340" t="n">
        <v>4.1</v>
      </c>
      <c r="H340" t="n">
        <v>0</v>
      </c>
      <c r="I340" t="n">
        <v>0</v>
      </c>
      <c r="J340" t="n">
        <v>0</v>
      </c>
      <c r="K340" t="n">
        <v>0</v>
      </c>
      <c r="L340" t="n">
        <v>0</v>
      </c>
      <c r="M340" t="n">
        <v>0</v>
      </c>
      <c r="N340" t="n">
        <v>0</v>
      </c>
      <c r="O340" t="n">
        <v>0</v>
      </c>
      <c r="P340" t="n">
        <v>0</v>
      </c>
      <c r="Q340" t="n">
        <v>0</v>
      </c>
      <c r="R340" s="2" t="inlineStr"/>
    </row>
    <row r="341" ht="15" customHeight="1">
      <c r="A341" t="inlineStr">
        <is>
          <t>A 26513-2025</t>
        </is>
      </c>
      <c r="B341" s="1" t="n">
        <v>45807</v>
      </c>
      <c r="C341" s="1" t="n">
        <v>45976</v>
      </c>
      <c r="D341" t="inlineStr">
        <is>
          <t>NORRBOTTENS LÄN</t>
        </is>
      </c>
      <c r="E341" t="inlineStr">
        <is>
          <t>LULEÅ</t>
        </is>
      </c>
      <c r="G341" t="n">
        <v>5</v>
      </c>
      <c r="H341" t="n">
        <v>0</v>
      </c>
      <c r="I341" t="n">
        <v>0</v>
      </c>
      <c r="J341" t="n">
        <v>0</v>
      </c>
      <c r="K341" t="n">
        <v>0</v>
      </c>
      <c r="L341" t="n">
        <v>0</v>
      </c>
      <c r="M341" t="n">
        <v>0</v>
      </c>
      <c r="N341" t="n">
        <v>0</v>
      </c>
      <c r="O341" t="n">
        <v>0</v>
      </c>
      <c r="P341" t="n">
        <v>0</v>
      </c>
      <c r="Q341" t="n">
        <v>0</v>
      </c>
      <c r="R341" s="2" t="inlineStr"/>
    </row>
    <row r="342" ht="15" customHeight="1">
      <c r="A342" t="inlineStr">
        <is>
          <t>A 4547-2025</t>
        </is>
      </c>
      <c r="B342" s="1" t="n">
        <v>45687.40212962963</v>
      </c>
      <c r="C342" s="1" t="n">
        <v>45976</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60584-2024</t>
        </is>
      </c>
      <c r="B343" s="1" t="n">
        <v>45644.34611111111</v>
      </c>
      <c r="C343" s="1" t="n">
        <v>45976</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49746-2022</t>
        </is>
      </c>
      <c r="B344" s="1" t="n">
        <v>44859</v>
      </c>
      <c r="C344" s="1" t="n">
        <v>45976</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11901-2025</t>
        </is>
      </c>
      <c r="B345" s="1" t="n">
        <v>45727</v>
      </c>
      <c r="C345" s="1" t="n">
        <v>45976</v>
      </c>
      <c r="D345" t="inlineStr">
        <is>
          <t>NORRBOTTENS LÄN</t>
        </is>
      </c>
      <c r="E345" t="inlineStr">
        <is>
          <t>LULEÅ</t>
        </is>
      </c>
      <c r="G345" t="n">
        <v>1.6</v>
      </c>
      <c r="H345" t="n">
        <v>0</v>
      </c>
      <c r="I345" t="n">
        <v>0</v>
      </c>
      <c r="J345" t="n">
        <v>0</v>
      </c>
      <c r="K345" t="n">
        <v>0</v>
      </c>
      <c r="L345" t="n">
        <v>0</v>
      </c>
      <c r="M345" t="n">
        <v>0</v>
      </c>
      <c r="N345" t="n">
        <v>0</v>
      </c>
      <c r="O345" t="n">
        <v>0</v>
      </c>
      <c r="P345" t="n">
        <v>0</v>
      </c>
      <c r="Q345" t="n">
        <v>0</v>
      </c>
      <c r="R345" s="2" t="inlineStr"/>
    </row>
    <row r="346" ht="15" customHeight="1">
      <c r="A346" t="inlineStr">
        <is>
          <t>A 12782-2023</t>
        </is>
      </c>
      <c r="B346" s="1" t="n">
        <v>45000</v>
      </c>
      <c r="C346" s="1" t="n">
        <v>45976</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7393-2023</t>
        </is>
      </c>
      <c r="B347" s="1" t="n">
        <v>44966</v>
      </c>
      <c r="C347" s="1" t="n">
        <v>45976</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57518-2024</t>
        </is>
      </c>
      <c r="B348" s="1" t="n">
        <v>45629</v>
      </c>
      <c r="C348" s="1" t="n">
        <v>45976</v>
      </c>
      <c r="D348" t="inlineStr">
        <is>
          <t>NORRBOTTENS LÄN</t>
        </is>
      </c>
      <c r="E348" t="inlineStr">
        <is>
          <t>LULEÅ</t>
        </is>
      </c>
      <c r="G348" t="n">
        <v>3.4</v>
      </c>
      <c r="H348" t="n">
        <v>0</v>
      </c>
      <c r="I348" t="n">
        <v>0</v>
      </c>
      <c r="J348" t="n">
        <v>0</v>
      </c>
      <c r="K348" t="n">
        <v>0</v>
      </c>
      <c r="L348" t="n">
        <v>0</v>
      </c>
      <c r="M348" t="n">
        <v>0</v>
      </c>
      <c r="N348" t="n">
        <v>0</v>
      </c>
      <c r="O348" t="n">
        <v>0</v>
      </c>
      <c r="P348" t="n">
        <v>0</v>
      </c>
      <c r="Q348" t="n">
        <v>0</v>
      </c>
      <c r="R348" s="2" t="inlineStr"/>
    </row>
    <row r="349" ht="15" customHeight="1">
      <c r="A349" t="inlineStr">
        <is>
          <t>A 13068-2024</t>
        </is>
      </c>
      <c r="B349" s="1" t="n">
        <v>45385</v>
      </c>
      <c r="C349" s="1" t="n">
        <v>45976</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35902-2025</t>
        </is>
      </c>
      <c r="B350" s="1" t="n">
        <v>45862.48990740741</v>
      </c>
      <c r="C350" s="1" t="n">
        <v>45976</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35912-2025</t>
        </is>
      </c>
      <c r="B351" s="1" t="n">
        <v>45862.53150462963</v>
      </c>
      <c r="C351" s="1" t="n">
        <v>45976</v>
      </c>
      <c r="D351" t="inlineStr">
        <is>
          <t>NORRBOTTENS LÄN</t>
        </is>
      </c>
      <c r="E351" t="inlineStr">
        <is>
          <t>LULEÅ</t>
        </is>
      </c>
      <c r="G351" t="n">
        <v>5.5</v>
      </c>
      <c r="H351" t="n">
        <v>0</v>
      </c>
      <c r="I351" t="n">
        <v>0</v>
      </c>
      <c r="J351" t="n">
        <v>0</v>
      </c>
      <c r="K351" t="n">
        <v>0</v>
      </c>
      <c r="L351" t="n">
        <v>0</v>
      </c>
      <c r="M351" t="n">
        <v>0</v>
      </c>
      <c r="N351" t="n">
        <v>0</v>
      </c>
      <c r="O351" t="n">
        <v>0</v>
      </c>
      <c r="P351" t="n">
        <v>0</v>
      </c>
      <c r="Q351" t="n">
        <v>0</v>
      </c>
      <c r="R351" s="2" t="inlineStr"/>
    </row>
    <row r="352" ht="15" customHeight="1">
      <c r="A352" t="inlineStr">
        <is>
          <t>A 22017-2024</t>
        </is>
      </c>
      <c r="B352" s="1" t="n">
        <v>45443</v>
      </c>
      <c r="C352" s="1" t="n">
        <v>45976</v>
      </c>
      <c r="D352" t="inlineStr">
        <is>
          <t>NORRBOTTENS LÄN</t>
        </is>
      </c>
      <c r="E352" t="inlineStr">
        <is>
          <t>LULEÅ</t>
        </is>
      </c>
      <c r="G352" t="n">
        <v>0.2</v>
      </c>
      <c r="H352" t="n">
        <v>0</v>
      </c>
      <c r="I352" t="n">
        <v>0</v>
      </c>
      <c r="J352" t="n">
        <v>0</v>
      </c>
      <c r="K352" t="n">
        <v>0</v>
      </c>
      <c r="L352" t="n">
        <v>0</v>
      </c>
      <c r="M352" t="n">
        <v>0</v>
      </c>
      <c r="N352" t="n">
        <v>0</v>
      </c>
      <c r="O352" t="n">
        <v>0</v>
      </c>
      <c r="P352" t="n">
        <v>0</v>
      </c>
      <c r="Q352" t="n">
        <v>0</v>
      </c>
      <c r="R352" s="2" t="inlineStr"/>
    </row>
    <row r="353" ht="15" customHeight="1">
      <c r="A353" t="inlineStr">
        <is>
          <t>A 42496-2024</t>
        </is>
      </c>
      <c r="B353" s="1" t="n">
        <v>45565.49769675926</v>
      </c>
      <c r="C353" s="1" t="n">
        <v>45976</v>
      </c>
      <c r="D353" t="inlineStr">
        <is>
          <t>NORRBOTTENS LÄN</t>
        </is>
      </c>
      <c r="E353" t="inlineStr">
        <is>
          <t>LULEÅ</t>
        </is>
      </c>
      <c r="G353" t="n">
        <v>13</v>
      </c>
      <c r="H353" t="n">
        <v>0</v>
      </c>
      <c r="I353" t="n">
        <v>0</v>
      </c>
      <c r="J353" t="n">
        <v>0</v>
      </c>
      <c r="K353" t="n">
        <v>0</v>
      </c>
      <c r="L353" t="n">
        <v>0</v>
      </c>
      <c r="M353" t="n">
        <v>0</v>
      </c>
      <c r="N353" t="n">
        <v>0</v>
      </c>
      <c r="O353" t="n">
        <v>0</v>
      </c>
      <c r="P353" t="n">
        <v>0</v>
      </c>
      <c r="Q353" t="n">
        <v>0</v>
      </c>
      <c r="R353" s="2" t="inlineStr"/>
    </row>
    <row r="354" ht="15" customHeight="1">
      <c r="A354" t="inlineStr">
        <is>
          <t>A 47918-2024</t>
        </is>
      </c>
      <c r="B354" s="1" t="n">
        <v>45589.34434027778</v>
      </c>
      <c r="C354" s="1" t="n">
        <v>45976</v>
      </c>
      <c r="D354" t="inlineStr">
        <is>
          <t>NORRBOTTENS LÄN</t>
        </is>
      </c>
      <c r="E354" t="inlineStr">
        <is>
          <t>LULEÅ</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11855-2025</t>
        </is>
      </c>
      <c r="B355" s="1" t="n">
        <v>45727</v>
      </c>
      <c r="C355" s="1" t="n">
        <v>45976</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25676-2024</t>
        </is>
      </c>
      <c r="B356" s="1" t="n">
        <v>45463</v>
      </c>
      <c r="C356" s="1" t="n">
        <v>45976</v>
      </c>
      <c r="D356" t="inlineStr">
        <is>
          <t>NORRBOTTENS LÄN</t>
        </is>
      </c>
      <c r="E356" t="inlineStr">
        <is>
          <t>LULEÅ</t>
        </is>
      </c>
      <c r="G356" t="n">
        <v>0.5</v>
      </c>
      <c r="H356" t="n">
        <v>0</v>
      </c>
      <c r="I356" t="n">
        <v>0</v>
      </c>
      <c r="J356" t="n">
        <v>0</v>
      </c>
      <c r="K356" t="n">
        <v>0</v>
      </c>
      <c r="L356" t="n">
        <v>0</v>
      </c>
      <c r="M356" t="n">
        <v>0</v>
      </c>
      <c r="N356" t="n">
        <v>0</v>
      </c>
      <c r="O356" t="n">
        <v>0</v>
      </c>
      <c r="P356" t="n">
        <v>0</v>
      </c>
      <c r="Q356" t="n">
        <v>0</v>
      </c>
      <c r="R356" s="2" t="inlineStr"/>
    </row>
    <row r="357" ht="15" customHeight="1">
      <c r="A357" t="inlineStr">
        <is>
          <t>A 26594-2024</t>
        </is>
      </c>
      <c r="B357" s="1" t="n">
        <v>45469.68552083334</v>
      </c>
      <c r="C357" s="1" t="n">
        <v>45976</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58547-2024</t>
        </is>
      </c>
      <c r="B358" s="1" t="n">
        <v>45635.45822916667</v>
      </c>
      <c r="C358" s="1" t="n">
        <v>45976</v>
      </c>
      <c r="D358" t="inlineStr">
        <is>
          <t>NORRBOTTENS LÄN</t>
        </is>
      </c>
      <c r="E358" t="inlineStr">
        <is>
          <t>LULEÅ</t>
        </is>
      </c>
      <c r="G358" t="n">
        <v>8</v>
      </c>
      <c r="H358" t="n">
        <v>0</v>
      </c>
      <c r="I358" t="n">
        <v>0</v>
      </c>
      <c r="J358" t="n">
        <v>0</v>
      </c>
      <c r="K358" t="n">
        <v>0</v>
      </c>
      <c r="L358" t="n">
        <v>0</v>
      </c>
      <c r="M358" t="n">
        <v>0</v>
      </c>
      <c r="N358" t="n">
        <v>0</v>
      </c>
      <c r="O358" t="n">
        <v>0</v>
      </c>
      <c r="P358" t="n">
        <v>0</v>
      </c>
      <c r="Q358" t="n">
        <v>0</v>
      </c>
      <c r="R358" s="2" t="inlineStr"/>
    </row>
    <row r="359" ht="15" customHeight="1">
      <c r="A359" t="inlineStr">
        <is>
          <t>A 19594-2025</t>
        </is>
      </c>
      <c r="B359" s="1" t="n">
        <v>45770.57881944445</v>
      </c>
      <c r="C359" s="1" t="n">
        <v>45976</v>
      </c>
      <c r="D359" t="inlineStr">
        <is>
          <t>NORRBOTTENS LÄN</t>
        </is>
      </c>
      <c r="E359" t="inlineStr">
        <is>
          <t>LULEÅ</t>
        </is>
      </c>
      <c r="G359" t="n">
        <v>2.8</v>
      </c>
      <c r="H359" t="n">
        <v>0</v>
      </c>
      <c r="I359" t="n">
        <v>0</v>
      </c>
      <c r="J359" t="n">
        <v>0</v>
      </c>
      <c r="K359" t="n">
        <v>0</v>
      </c>
      <c r="L359" t="n">
        <v>0</v>
      </c>
      <c r="M359" t="n">
        <v>0</v>
      </c>
      <c r="N359" t="n">
        <v>0</v>
      </c>
      <c r="O359" t="n">
        <v>0</v>
      </c>
      <c r="P359" t="n">
        <v>0</v>
      </c>
      <c r="Q359" t="n">
        <v>0</v>
      </c>
      <c r="R359" s="2" t="inlineStr"/>
    </row>
    <row r="360" ht="15" customHeight="1">
      <c r="A360" t="inlineStr">
        <is>
          <t>A 433-2022</t>
        </is>
      </c>
      <c r="B360" s="1" t="n">
        <v>44565.92903935185</v>
      </c>
      <c r="C360" s="1" t="n">
        <v>45976</v>
      </c>
      <c r="D360" t="inlineStr">
        <is>
          <t>NORRBOTTENS LÄN</t>
        </is>
      </c>
      <c r="E360" t="inlineStr">
        <is>
          <t>LULEÅ</t>
        </is>
      </c>
      <c r="G360" t="n">
        <v>1.3</v>
      </c>
      <c r="H360" t="n">
        <v>0</v>
      </c>
      <c r="I360" t="n">
        <v>0</v>
      </c>
      <c r="J360" t="n">
        <v>0</v>
      </c>
      <c r="K360" t="n">
        <v>0</v>
      </c>
      <c r="L360" t="n">
        <v>0</v>
      </c>
      <c r="M360" t="n">
        <v>0</v>
      </c>
      <c r="N360" t="n">
        <v>0</v>
      </c>
      <c r="O360" t="n">
        <v>0</v>
      </c>
      <c r="P360" t="n">
        <v>0</v>
      </c>
      <c r="Q360" t="n">
        <v>0</v>
      </c>
      <c r="R360" s="2" t="inlineStr"/>
    </row>
    <row r="361" ht="15" customHeight="1">
      <c r="A361" t="inlineStr">
        <is>
          <t>A 61488-2024</t>
        </is>
      </c>
      <c r="B361" s="1" t="n">
        <v>45646.54873842592</v>
      </c>
      <c r="C361" s="1" t="n">
        <v>45976</v>
      </c>
      <c r="D361" t="inlineStr">
        <is>
          <t>NORRBOTTENS LÄN</t>
        </is>
      </c>
      <c r="E361" t="inlineStr">
        <is>
          <t>LULEÅ</t>
        </is>
      </c>
      <c r="G361" t="n">
        <v>3.4</v>
      </c>
      <c r="H361" t="n">
        <v>0</v>
      </c>
      <c r="I361" t="n">
        <v>0</v>
      </c>
      <c r="J361" t="n">
        <v>0</v>
      </c>
      <c r="K361" t="n">
        <v>0</v>
      </c>
      <c r="L361" t="n">
        <v>0</v>
      </c>
      <c r="M361" t="n">
        <v>0</v>
      </c>
      <c r="N361" t="n">
        <v>0</v>
      </c>
      <c r="O361" t="n">
        <v>0</v>
      </c>
      <c r="P361" t="n">
        <v>0</v>
      </c>
      <c r="Q361" t="n">
        <v>0</v>
      </c>
      <c r="R361" s="2" t="inlineStr"/>
    </row>
    <row r="362" ht="15" customHeight="1">
      <c r="A362" t="inlineStr">
        <is>
          <t>A 42024-2024</t>
        </is>
      </c>
      <c r="B362" s="1" t="n">
        <v>45561.72005787037</v>
      </c>
      <c r="C362" s="1" t="n">
        <v>45976</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50221-2025</t>
        </is>
      </c>
      <c r="B363" s="1" t="n">
        <v>45943.68516203704</v>
      </c>
      <c r="C363" s="1" t="n">
        <v>45976</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50223-2025</t>
        </is>
      </c>
      <c r="B364" s="1" t="n">
        <v>45943.68868055556</v>
      </c>
      <c r="C364" s="1" t="n">
        <v>45976</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18166-2023</t>
        </is>
      </c>
      <c r="B365" s="1" t="n">
        <v>45040.94335648148</v>
      </c>
      <c r="C365" s="1" t="n">
        <v>45976</v>
      </c>
      <c r="D365" t="inlineStr">
        <is>
          <t>NORRBOTTENS LÄN</t>
        </is>
      </c>
      <c r="E365" t="inlineStr">
        <is>
          <t>LULEÅ</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8764-2025</t>
        </is>
      </c>
      <c r="B366" s="1" t="n">
        <v>45712.58021990741</v>
      </c>
      <c r="C366" s="1" t="n">
        <v>45976</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8521-2022</t>
        </is>
      </c>
      <c r="B367" s="1" t="n">
        <v>44610</v>
      </c>
      <c r="C367" s="1" t="n">
        <v>45976</v>
      </c>
      <c r="D367" t="inlineStr">
        <is>
          <t>NORRBOTTENS LÄN</t>
        </is>
      </c>
      <c r="E367" t="inlineStr">
        <is>
          <t>LULEÅ</t>
        </is>
      </c>
      <c r="G367" t="n">
        <v>2.2</v>
      </c>
      <c r="H367" t="n">
        <v>0</v>
      </c>
      <c r="I367" t="n">
        <v>0</v>
      </c>
      <c r="J367" t="n">
        <v>0</v>
      </c>
      <c r="K367" t="n">
        <v>0</v>
      </c>
      <c r="L367" t="n">
        <v>0</v>
      </c>
      <c r="M367" t="n">
        <v>0</v>
      </c>
      <c r="N367" t="n">
        <v>0</v>
      </c>
      <c r="O367" t="n">
        <v>0</v>
      </c>
      <c r="P367" t="n">
        <v>0</v>
      </c>
      <c r="Q367" t="n">
        <v>0</v>
      </c>
      <c r="R367" s="2" t="inlineStr"/>
    </row>
    <row r="368" ht="15" customHeight="1">
      <c r="A368" t="inlineStr">
        <is>
          <t>A 14159-2024</t>
        </is>
      </c>
      <c r="B368" s="1" t="n">
        <v>45392.92930555555</v>
      </c>
      <c r="C368" s="1" t="n">
        <v>45976</v>
      </c>
      <c r="D368" t="inlineStr">
        <is>
          <t>NORRBOTTENS LÄN</t>
        </is>
      </c>
      <c r="E368" t="inlineStr">
        <is>
          <t>LULEÅ</t>
        </is>
      </c>
      <c r="G368" t="n">
        <v>33.9</v>
      </c>
      <c r="H368" t="n">
        <v>0</v>
      </c>
      <c r="I368" t="n">
        <v>0</v>
      </c>
      <c r="J368" t="n">
        <v>0</v>
      </c>
      <c r="K368" t="n">
        <v>0</v>
      </c>
      <c r="L368" t="n">
        <v>0</v>
      </c>
      <c r="M368" t="n">
        <v>0</v>
      </c>
      <c r="N368" t="n">
        <v>0</v>
      </c>
      <c r="O368" t="n">
        <v>0</v>
      </c>
      <c r="P368" t="n">
        <v>0</v>
      </c>
      <c r="Q368" t="n">
        <v>0</v>
      </c>
      <c r="R368" s="2" t="inlineStr"/>
    </row>
    <row r="369" ht="15" customHeight="1">
      <c r="A369" t="inlineStr">
        <is>
          <t>A 54879-2021</t>
        </is>
      </c>
      <c r="B369" s="1" t="n">
        <v>44473</v>
      </c>
      <c r="C369" s="1" t="n">
        <v>45976</v>
      </c>
      <c r="D369" t="inlineStr">
        <is>
          <t>NORRBOTTENS LÄN</t>
        </is>
      </c>
      <c r="E369" t="inlineStr">
        <is>
          <t>LULEÅ</t>
        </is>
      </c>
      <c r="G369" t="n">
        <v>1.2</v>
      </c>
      <c r="H369" t="n">
        <v>0</v>
      </c>
      <c r="I369" t="n">
        <v>0</v>
      </c>
      <c r="J369" t="n">
        <v>0</v>
      </c>
      <c r="K369" t="n">
        <v>0</v>
      </c>
      <c r="L369" t="n">
        <v>0</v>
      </c>
      <c r="M369" t="n">
        <v>0</v>
      </c>
      <c r="N369" t="n">
        <v>0</v>
      </c>
      <c r="O369" t="n">
        <v>0</v>
      </c>
      <c r="P369" t="n">
        <v>0</v>
      </c>
      <c r="Q369" t="n">
        <v>0</v>
      </c>
      <c r="R369" s="2" t="inlineStr"/>
    </row>
    <row r="370" ht="15" customHeight="1">
      <c r="A370" t="inlineStr">
        <is>
          <t>A 40977-2025</t>
        </is>
      </c>
      <c r="B370" s="1" t="n">
        <v>45897.93575231481</v>
      </c>
      <c r="C370" s="1" t="n">
        <v>45976</v>
      </c>
      <c r="D370" t="inlineStr">
        <is>
          <t>NORRBOTTENS LÄN</t>
        </is>
      </c>
      <c r="E370" t="inlineStr">
        <is>
          <t>LULEÅ</t>
        </is>
      </c>
      <c r="G370" t="n">
        <v>11.2</v>
      </c>
      <c r="H370" t="n">
        <v>0</v>
      </c>
      <c r="I370" t="n">
        <v>0</v>
      </c>
      <c r="J370" t="n">
        <v>0</v>
      </c>
      <c r="K370" t="n">
        <v>0</v>
      </c>
      <c r="L370" t="n">
        <v>0</v>
      </c>
      <c r="M370" t="n">
        <v>0</v>
      </c>
      <c r="N370" t="n">
        <v>0</v>
      </c>
      <c r="O370" t="n">
        <v>0</v>
      </c>
      <c r="P370" t="n">
        <v>0</v>
      </c>
      <c r="Q370" t="n">
        <v>0</v>
      </c>
      <c r="R370" s="2" t="inlineStr"/>
    </row>
    <row r="371" ht="15" customHeight="1">
      <c r="A371" t="inlineStr">
        <is>
          <t>A 57816-2022</t>
        </is>
      </c>
      <c r="B371" s="1" t="n">
        <v>44897.92487268519</v>
      </c>
      <c r="C371" s="1" t="n">
        <v>45976</v>
      </c>
      <c r="D371" t="inlineStr">
        <is>
          <t>NORRBOTTENS LÄN</t>
        </is>
      </c>
      <c r="E371" t="inlineStr">
        <is>
          <t>LULEÅ</t>
        </is>
      </c>
      <c r="G371" t="n">
        <v>3.4</v>
      </c>
      <c r="H371" t="n">
        <v>0</v>
      </c>
      <c r="I371" t="n">
        <v>0</v>
      </c>
      <c r="J371" t="n">
        <v>0</v>
      </c>
      <c r="K371" t="n">
        <v>0</v>
      </c>
      <c r="L371" t="n">
        <v>0</v>
      </c>
      <c r="M371" t="n">
        <v>0</v>
      </c>
      <c r="N371" t="n">
        <v>0</v>
      </c>
      <c r="O371" t="n">
        <v>0</v>
      </c>
      <c r="P371" t="n">
        <v>0</v>
      </c>
      <c r="Q371" t="n">
        <v>0</v>
      </c>
      <c r="R371" s="2" t="inlineStr"/>
    </row>
    <row r="372" ht="15" customHeight="1">
      <c r="A372" t="inlineStr">
        <is>
          <t>A 52400-2023</t>
        </is>
      </c>
      <c r="B372" s="1" t="n">
        <v>45224</v>
      </c>
      <c r="C372" s="1" t="n">
        <v>45976</v>
      </c>
      <c r="D372" t="inlineStr">
        <is>
          <t>NORRBOTTENS LÄN</t>
        </is>
      </c>
      <c r="E372" t="inlineStr">
        <is>
          <t>LULEÅ</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53185-2022</t>
        </is>
      </c>
      <c r="B373" s="1" t="n">
        <v>44876.57346064815</v>
      </c>
      <c r="C373" s="1" t="n">
        <v>45976</v>
      </c>
      <c r="D373" t="inlineStr">
        <is>
          <t>NORRBOTTENS LÄN</t>
        </is>
      </c>
      <c r="E373" t="inlineStr">
        <is>
          <t>LULEÅ</t>
        </is>
      </c>
      <c r="G373" t="n">
        <v>2.6</v>
      </c>
      <c r="H373" t="n">
        <v>0</v>
      </c>
      <c r="I373" t="n">
        <v>0</v>
      </c>
      <c r="J373" t="n">
        <v>0</v>
      </c>
      <c r="K373" t="n">
        <v>0</v>
      </c>
      <c r="L373" t="n">
        <v>0</v>
      </c>
      <c r="M373" t="n">
        <v>0</v>
      </c>
      <c r="N373" t="n">
        <v>0</v>
      </c>
      <c r="O373" t="n">
        <v>0</v>
      </c>
      <c r="P373" t="n">
        <v>0</v>
      </c>
      <c r="Q373" t="n">
        <v>0</v>
      </c>
      <c r="R373" s="2" t="inlineStr"/>
    </row>
    <row r="374" ht="15" customHeight="1">
      <c r="A374" t="inlineStr">
        <is>
          <t>A 7390-2023</t>
        </is>
      </c>
      <c r="B374" s="1" t="n">
        <v>44966</v>
      </c>
      <c r="C374" s="1" t="n">
        <v>45976</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12549-2024</t>
        </is>
      </c>
      <c r="B375" s="1" t="n">
        <v>45379</v>
      </c>
      <c r="C375" s="1" t="n">
        <v>45976</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12685-2023</t>
        </is>
      </c>
      <c r="B376" s="1" t="n">
        <v>44999</v>
      </c>
      <c r="C376" s="1" t="n">
        <v>45976</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50527-2025</t>
        </is>
      </c>
      <c r="B377" s="1" t="n">
        <v>45945.47056712963</v>
      </c>
      <c r="C377" s="1" t="n">
        <v>45976</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44005-2024</t>
        </is>
      </c>
      <c r="B378" s="1" t="n">
        <v>45572.54814814815</v>
      </c>
      <c r="C378" s="1" t="n">
        <v>45976</v>
      </c>
      <c r="D378" t="inlineStr">
        <is>
          <t>NORRBOTTENS LÄN</t>
        </is>
      </c>
      <c r="E378" t="inlineStr">
        <is>
          <t>LULEÅ</t>
        </is>
      </c>
      <c r="G378" t="n">
        <v>14.8</v>
      </c>
      <c r="H378" t="n">
        <v>0</v>
      </c>
      <c r="I378" t="n">
        <v>0</v>
      </c>
      <c r="J378" t="n">
        <v>0</v>
      </c>
      <c r="K378" t="n">
        <v>0</v>
      </c>
      <c r="L378" t="n">
        <v>0</v>
      </c>
      <c r="M378" t="n">
        <v>0</v>
      </c>
      <c r="N378" t="n">
        <v>0</v>
      </c>
      <c r="O378" t="n">
        <v>0</v>
      </c>
      <c r="P378" t="n">
        <v>0</v>
      </c>
      <c r="Q378" t="n">
        <v>0</v>
      </c>
      <c r="R378" s="2" t="inlineStr"/>
    </row>
    <row r="379" ht="15" customHeight="1">
      <c r="A379" t="inlineStr">
        <is>
          <t>A 50572-2025</t>
        </is>
      </c>
      <c r="B379" s="1" t="n">
        <v>45945.57474537037</v>
      </c>
      <c r="C379" s="1" t="n">
        <v>45976</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39816-2024</t>
        </is>
      </c>
      <c r="B380" s="1" t="n">
        <v>45553.3859837963</v>
      </c>
      <c r="C380" s="1" t="n">
        <v>45976</v>
      </c>
      <c r="D380" t="inlineStr">
        <is>
          <t>NORRBOTTENS LÄN</t>
        </is>
      </c>
      <c r="E380" t="inlineStr">
        <is>
          <t>LULEÅ</t>
        </is>
      </c>
      <c r="F380" t="inlineStr">
        <is>
          <t>Naturvårdsverket</t>
        </is>
      </c>
      <c r="G380" t="n">
        <v>11.1</v>
      </c>
      <c r="H380" t="n">
        <v>0</v>
      </c>
      <c r="I380" t="n">
        <v>0</v>
      </c>
      <c r="J380" t="n">
        <v>0</v>
      </c>
      <c r="K380" t="n">
        <v>0</v>
      </c>
      <c r="L380" t="n">
        <v>0</v>
      </c>
      <c r="M380" t="n">
        <v>0</v>
      </c>
      <c r="N380" t="n">
        <v>0</v>
      </c>
      <c r="O380" t="n">
        <v>0</v>
      </c>
      <c r="P380" t="n">
        <v>0</v>
      </c>
      <c r="Q380" t="n">
        <v>0</v>
      </c>
      <c r="R380" s="2" t="inlineStr"/>
    </row>
    <row r="381" ht="15" customHeight="1">
      <c r="A381" t="inlineStr">
        <is>
          <t>A 50524-2025</t>
        </is>
      </c>
      <c r="B381" s="1" t="n">
        <v>45945.46797453704</v>
      </c>
      <c r="C381" s="1" t="n">
        <v>45976</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12552-2024</t>
        </is>
      </c>
      <c r="B382" s="1" t="n">
        <v>45379</v>
      </c>
      <c r="C382" s="1" t="n">
        <v>45976</v>
      </c>
      <c r="D382" t="inlineStr">
        <is>
          <t>NORRBOTTENS LÄN</t>
        </is>
      </c>
      <c r="E382" t="inlineStr">
        <is>
          <t>LULEÅ</t>
        </is>
      </c>
      <c r="G382" t="n">
        <v>0.6</v>
      </c>
      <c r="H382" t="n">
        <v>0</v>
      </c>
      <c r="I382" t="n">
        <v>0</v>
      </c>
      <c r="J382" t="n">
        <v>0</v>
      </c>
      <c r="K382" t="n">
        <v>0</v>
      </c>
      <c r="L382" t="n">
        <v>0</v>
      </c>
      <c r="M382" t="n">
        <v>0</v>
      </c>
      <c r="N382" t="n">
        <v>0</v>
      </c>
      <c r="O382" t="n">
        <v>0</v>
      </c>
      <c r="P382" t="n">
        <v>0</v>
      </c>
      <c r="Q382" t="n">
        <v>0</v>
      </c>
      <c r="R382" s="2" t="inlineStr"/>
    </row>
    <row r="383" ht="15" customHeight="1">
      <c r="A383" t="inlineStr">
        <is>
          <t>A 7429-2021</t>
        </is>
      </c>
      <c r="B383" s="1" t="n">
        <v>44239</v>
      </c>
      <c r="C383" s="1" t="n">
        <v>45976</v>
      </c>
      <c r="D383" t="inlineStr">
        <is>
          <t>NORRBOTTENS LÄN</t>
        </is>
      </c>
      <c r="E383" t="inlineStr">
        <is>
          <t>LULEÅ</t>
        </is>
      </c>
      <c r="G383" t="n">
        <v>3.4</v>
      </c>
      <c r="H383" t="n">
        <v>0</v>
      </c>
      <c r="I383" t="n">
        <v>0</v>
      </c>
      <c r="J383" t="n">
        <v>0</v>
      </c>
      <c r="K383" t="n">
        <v>0</v>
      </c>
      <c r="L383" t="n">
        <v>0</v>
      </c>
      <c r="M383" t="n">
        <v>0</v>
      </c>
      <c r="N383" t="n">
        <v>0</v>
      </c>
      <c r="O383" t="n">
        <v>0</v>
      </c>
      <c r="P383" t="n">
        <v>0</v>
      </c>
      <c r="Q383" t="n">
        <v>0</v>
      </c>
      <c r="R383" s="2" t="inlineStr"/>
    </row>
    <row r="384" ht="15" customHeight="1">
      <c r="A384" t="inlineStr">
        <is>
          <t>A 38358-2023</t>
        </is>
      </c>
      <c r="B384" s="1" t="n">
        <v>45161.94293981481</v>
      </c>
      <c r="C384" s="1" t="n">
        <v>45976</v>
      </c>
      <c r="D384" t="inlineStr">
        <is>
          <t>NORRBOTTENS LÄN</t>
        </is>
      </c>
      <c r="E384" t="inlineStr">
        <is>
          <t>LULEÅ</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58760-2023</t>
        </is>
      </c>
      <c r="B385" s="1" t="n">
        <v>45251</v>
      </c>
      <c r="C385" s="1" t="n">
        <v>45976</v>
      </c>
      <c r="D385" t="inlineStr">
        <is>
          <t>NORRBOTTENS LÄN</t>
        </is>
      </c>
      <c r="E385" t="inlineStr">
        <is>
          <t>LULEÅ</t>
        </is>
      </c>
      <c r="G385" t="n">
        <v>5.4</v>
      </c>
      <c r="H385" t="n">
        <v>0</v>
      </c>
      <c r="I385" t="n">
        <v>0</v>
      </c>
      <c r="J385" t="n">
        <v>0</v>
      </c>
      <c r="K385" t="n">
        <v>0</v>
      </c>
      <c r="L385" t="n">
        <v>0</v>
      </c>
      <c r="M385" t="n">
        <v>0</v>
      </c>
      <c r="N385" t="n">
        <v>0</v>
      </c>
      <c r="O385" t="n">
        <v>0</v>
      </c>
      <c r="P385" t="n">
        <v>0</v>
      </c>
      <c r="Q385" t="n">
        <v>0</v>
      </c>
      <c r="R385" s="2" t="inlineStr"/>
    </row>
    <row r="386" ht="15" customHeight="1">
      <c r="A386" t="inlineStr">
        <is>
          <t>A 8903-2025</t>
        </is>
      </c>
      <c r="B386" s="1" t="n">
        <v>45712</v>
      </c>
      <c r="C386" s="1" t="n">
        <v>45976</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17897-2025</t>
        </is>
      </c>
      <c r="B387" s="1" t="n">
        <v>45758.69814814815</v>
      </c>
      <c r="C387" s="1" t="n">
        <v>45976</v>
      </c>
      <c r="D387" t="inlineStr">
        <is>
          <t>NORRBOTTENS LÄN</t>
        </is>
      </c>
      <c r="E387" t="inlineStr">
        <is>
          <t>LULEÅ</t>
        </is>
      </c>
      <c r="G387" t="n">
        <v>9.9</v>
      </c>
      <c r="H387" t="n">
        <v>0</v>
      </c>
      <c r="I387" t="n">
        <v>0</v>
      </c>
      <c r="J387" t="n">
        <v>0</v>
      </c>
      <c r="K387" t="n">
        <v>0</v>
      </c>
      <c r="L387" t="n">
        <v>0</v>
      </c>
      <c r="M387" t="n">
        <v>0</v>
      </c>
      <c r="N387" t="n">
        <v>0</v>
      </c>
      <c r="O387" t="n">
        <v>0</v>
      </c>
      <c r="P387" t="n">
        <v>0</v>
      </c>
      <c r="Q387" t="n">
        <v>0</v>
      </c>
      <c r="R387" s="2" t="inlineStr"/>
    </row>
    <row r="388" ht="15" customHeight="1">
      <c r="A388" t="inlineStr">
        <is>
          <t>A 50518-2025</t>
        </is>
      </c>
      <c r="B388" s="1" t="n">
        <v>45945.4567824074</v>
      </c>
      <c r="C388" s="1" t="n">
        <v>45976</v>
      </c>
      <c r="D388" t="inlineStr">
        <is>
          <t>NORRBOTTENS LÄN</t>
        </is>
      </c>
      <c r="E388" t="inlineStr">
        <is>
          <t>LULEÅ</t>
        </is>
      </c>
      <c r="G388" t="n">
        <v>4.1</v>
      </c>
      <c r="H388" t="n">
        <v>0</v>
      </c>
      <c r="I388" t="n">
        <v>0</v>
      </c>
      <c r="J388" t="n">
        <v>0</v>
      </c>
      <c r="K388" t="n">
        <v>0</v>
      </c>
      <c r="L388" t="n">
        <v>0</v>
      </c>
      <c r="M388" t="n">
        <v>0</v>
      </c>
      <c r="N388" t="n">
        <v>0</v>
      </c>
      <c r="O388" t="n">
        <v>0</v>
      </c>
      <c r="P388" t="n">
        <v>0</v>
      </c>
      <c r="Q388" t="n">
        <v>0</v>
      </c>
      <c r="R388" s="2" t="inlineStr"/>
    </row>
    <row r="389" ht="15" customHeight="1">
      <c r="A389" t="inlineStr">
        <is>
          <t>A 48692-2025</t>
        </is>
      </c>
      <c r="B389" s="1" t="n">
        <v>45936.61344907407</v>
      </c>
      <c r="C389" s="1" t="n">
        <v>45976</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8816-2023</t>
        </is>
      </c>
      <c r="B390" s="1" t="n">
        <v>44973</v>
      </c>
      <c r="C390" s="1" t="n">
        <v>45976</v>
      </c>
      <c r="D390" t="inlineStr">
        <is>
          <t>NORRBOTTENS LÄN</t>
        </is>
      </c>
      <c r="E390" t="inlineStr">
        <is>
          <t>LULEÅ</t>
        </is>
      </c>
      <c r="G390" t="n">
        <v>7.4</v>
      </c>
      <c r="H390" t="n">
        <v>0</v>
      </c>
      <c r="I390" t="n">
        <v>0</v>
      </c>
      <c r="J390" t="n">
        <v>0</v>
      </c>
      <c r="K390" t="n">
        <v>0</v>
      </c>
      <c r="L390" t="n">
        <v>0</v>
      </c>
      <c r="M390" t="n">
        <v>0</v>
      </c>
      <c r="N390" t="n">
        <v>0</v>
      </c>
      <c r="O390" t="n">
        <v>0</v>
      </c>
      <c r="P390" t="n">
        <v>0</v>
      </c>
      <c r="Q390" t="n">
        <v>0</v>
      </c>
      <c r="R390" s="2" t="inlineStr"/>
    </row>
    <row r="391" ht="15" customHeight="1">
      <c r="A391" t="inlineStr">
        <is>
          <t>A 50912-2025</t>
        </is>
      </c>
      <c r="B391" s="1" t="n">
        <v>45946.65706018519</v>
      </c>
      <c r="C391" s="1" t="n">
        <v>45976</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14803-2023</t>
        </is>
      </c>
      <c r="B392" s="1" t="n">
        <v>45013</v>
      </c>
      <c r="C392" s="1" t="n">
        <v>45976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48726-2025</t>
        </is>
      </c>
      <c r="B393" s="1" t="n">
        <v>45936.65599537037</v>
      </c>
      <c r="C393" s="1" t="n">
        <v>45976</v>
      </c>
      <c r="D393" t="inlineStr">
        <is>
          <t>NORRBOTTENS LÄN</t>
        </is>
      </c>
      <c r="E393" t="inlineStr">
        <is>
          <t>LULEÅ</t>
        </is>
      </c>
      <c r="G393" t="n">
        <v>4.9</v>
      </c>
      <c r="H393" t="n">
        <v>0</v>
      </c>
      <c r="I393" t="n">
        <v>0</v>
      </c>
      <c r="J393" t="n">
        <v>0</v>
      </c>
      <c r="K393" t="n">
        <v>0</v>
      </c>
      <c r="L393" t="n">
        <v>0</v>
      </c>
      <c r="M393" t="n">
        <v>0</v>
      </c>
      <c r="N393" t="n">
        <v>0</v>
      </c>
      <c r="O393" t="n">
        <v>0</v>
      </c>
      <c r="P393" t="n">
        <v>0</v>
      </c>
      <c r="Q393" t="n">
        <v>0</v>
      </c>
      <c r="R393" s="2" t="inlineStr"/>
    </row>
    <row r="394" ht="15" customHeight="1">
      <c r="A394" t="inlineStr">
        <is>
          <t>A 2659-2025</t>
        </is>
      </c>
      <c r="B394" s="1" t="n">
        <v>45676.8134375</v>
      </c>
      <c r="C394" s="1" t="n">
        <v>45976</v>
      </c>
      <c r="D394" t="inlineStr">
        <is>
          <t>NORRBOTTENS LÄN</t>
        </is>
      </c>
      <c r="E394" t="inlineStr">
        <is>
          <t>LULEÅ</t>
        </is>
      </c>
      <c r="G394" t="n">
        <v>1.2</v>
      </c>
      <c r="H394" t="n">
        <v>0</v>
      </c>
      <c r="I394" t="n">
        <v>0</v>
      </c>
      <c r="J394" t="n">
        <v>0</v>
      </c>
      <c r="K394" t="n">
        <v>0</v>
      </c>
      <c r="L394" t="n">
        <v>0</v>
      </c>
      <c r="M394" t="n">
        <v>0</v>
      </c>
      <c r="N394" t="n">
        <v>0</v>
      </c>
      <c r="O394" t="n">
        <v>0</v>
      </c>
      <c r="P394" t="n">
        <v>0</v>
      </c>
      <c r="Q394" t="n">
        <v>0</v>
      </c>
      <c r="R394" s="2" t="inlineStr"/>
    </row>
    <row r="395" ht="15" customHeight="1">
      <c r="A395" t="inlineStr">
        <is>
          <t>A 8068-2023</t>
        </is>
      </c>
      <c r="B395" s="1" t="n">
        <v>44974.36233796296</v>
      </c>
      <c r="C395" s="1" t="n">
        <v>45976</v>
      </c>
      <c r="D395" t="inlineStr">
        <is>
          <t>NORRBOTTENS LÄN</t>
        </is>
      </c>
      <c r="E395" t="inlineStr">
        <is>
          <t>LULEÅ</t>
        </is>
      </c>
      <c r="G395" t="n">
        <v>5.4</v>
      </c>
      <c r="H395" t="n">
        <v>0</v>
      </c>
      <c r="I395" t="n">
        <v>0</v>
      </c>
      <c r="J395" t="n">
        <v>0</v>
      </c>
      <c r="K395" t="n">
        <v>0</v>
      </c>
      <c r="L395" t="n">
        <v>0</v>
      </c>
      <c r="M395" t="n">
        <v>0</v>
      </c>
      <c r="N395" t="n">
        <v>0</v>
      </c>
      <c r="O395" t="n">
        <v>0</v>
      </c>
      <c r="P395" t="n">
        <v>0</v>
      </c>
      <c r="Q395" t="n">
        <v>0</v>
      </c>
      <c r="R395" s="2" t="inlineStr"/>
    </row>
    <row r="396" ht="15" customHeight="1">
      <c r="A396" t="inlineStr">
        <is>
          <t>A 50890-2025</t>
        </is>
      </c>
      <c r="B396" s="1" t="n">
        <v>45946.63673611111</v>
      </c>
      <c r="C396" s="1" t="n">
        <v>45976</v>
      </c>
      <c r="D396" t="inlineStr">
        <is>
          <t>NORRBOTTENS LÄN</t>
        </is>
      </c>
      <c r="E396" t="inlineStr">
        <is>
          <t>LULEÅ</t>
        </is>
      </c>
      <c r="G396" t="n">
        <v>5.4</v>
      </c>
      <c r="H396" t="n">
        <v>0</v>
      </c>
      <c r="I396" t="n">
        <v>0</v>
      </c>
      <c r="J396" t="n">
        <v>0</v>
      </c>
      <c r="K396" t="n">
        <v>0</v>
      </c>
      <c r="L396" t="n">
        <v>0</v>
      </c>
      <c r="M396" t="n">
        <v>0</v>
      </c>
      <c r="N396" t="n">
        <v>0</v>
      </c>
      <c r="O396" t="n">
        <v>0</v>
      </c>
      <c r="P396" t="n">
        <v>0</v>
      </c>
      <c r="Q396" t="n">
        <v>0</v>
      </c>
      <c r="R396" s="2" t="inlineStr"/>
    </row>
    <row r="397" ht="15" customHeight="1">
      <c r="A397" t="inlineStr">
        <is>
          <t>A 8928-2025</t>
        </is>
      </c>
      <c r="B397" s="1" t="n">
        <v>45712</v>
      </c>
      <c r="C397" s="1" t="n">
        <v>45976</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50914-2025</t>
        </is>
      </c>
      <c r="B398" s="1" t="n">
        <v>45946.65719907408</v>
      </c>
      <c r="C398" s="1" t="n">
        <v>45976</v>
      </c>
      <c r="D398" t="inlineStr">
        <is>
          <t>NORRBOTTENS LÄN</t>
        </is>
      </c>
      <c r="E398" t="inlineStr">
        <is>
          <t>LULEÅ</t>
        </is>
      </c>
      <c r="G398" t="n">
        <v>6.9</v>
      </c>
      <c r="H398" t="n">
        <v>0</v>
      </c>
      <c r="I398" t="n">
        <v>0</v>
      </c>
      <c r="J398" t="n">
        <v>0</v>
      </c>
      <c r="K398" t="n">
        <v>0</v>
      </c>
      <c r="L398" t="n">
        <v>0</v>
      </c>
      <c r="M398" t="n">
        <v>0</v>
      </c>
      <c r="N398" t="n">
        <v>0</v>
      </c>
      <c r="O398" t="n">
        <v>0</v>
      </c>
      <c r="P398" t="n">
        <v>0</v>
      </c>
      <c r="Q398" t="n">
        <v>0</v>
      </c>
      <c r="R398" s="2" t="inlineStr"/>
    </row>
    <row r="399" ht="15" customHeight="1">
      <c r="A399" t="inlineStr">
        <is>
          <t>A 656-2025</t>
        </is>
      </c>
      <c r="B399" s="1" t="n">
        <v>45661</v>
      </c>
      <c r="C399" s="1" t="n">
        <v>45976</v>
      </c>
      <c r="D399" t="inlineStr">
        <is>
          <t>NORRBOTTENS LÄN</t>
        </is>
      </c>
      <c r="E399" t="inlineStr">
        <is>
          <t>LULEÅ</t>
        </is>
      </c>
      <c r="G399" t="n">
        <v>0.8</v>
      </c>
      <c r="H399" t="n">
        <v>0</v>
      </c>
      <c r="I399" t="n">
        <v>0</v>
      </c>
      <c r="J399" t="n">
        <v>0</v>
      </c>
      <c r="K399" t="n">
        <v>0</v>
      </c>
      <c r="L399" t="n">
        <v>0</v>
      </c>
      <c r="M399" t="n">
        <v>0</v>
      </c>
      <c r="N399" t="n">
        <v>0</v>
      </c>
      <c r="O399" t="n">
        <v>0</v>
      </c>
      <c r="P399" t="n">
        <v>0</v>
      </c>
      <c r="Q399" t="n">
        <v>0</v>
      </c>
      <c r="R399" s="2" t="inlineStr"/>
    </row>
    <row r="400" ht="15" customHeight="1">
      <c r="A400" t="inlineStr">
        <is>
          <t>A 1058-2025</t>
        </is>
      </c>
      <c r="B400" s="1" t="n">
        <v>45665</v>
      </c>
      <c r="C400" s="1" t="n">
        <v>45976</v>
      </c>
      <c r="D400" t="inlineStr">
        <is>
          <t>NORRBOTTENS LÄN</t>
        </is>
      </c>
      <c r="E400" t="inlineStr">
        <is>
          <t>LULEÅ</t>
        </is>
      </c>
      <c r="G400" t="n">
        <v>2.1</v>
      </c>
      <c r="H400" t="n">
        <v>0</v>
      </c>
      <c r="I400" t="n">
        <v>0</v>
      </c>
      <c r="J400" t="n">
        <v>0</v>
      </c>
      <c r="K400" t="n">
        <v>0</v>
      </c>
      <c r="L400" t="n">
        <v>0</v>
      </c>
      <c r="M400" t="n">
        <v>0</v>
      </c>
      <c r="N400" t="n">
        <v>0</v>
      </c>
      <c r="O400" t="n">
        <v>0</v>
      </c>
      <c r="P400" t="n">
        <v>0</v>
      </c>
      <c r="Q400" t="n">
        <v>0</v>
      </c>
      <c r="R400" s="2" t="inlineStr"/>
    </row>
    <row r="401" ht="15" customHeight="1">
      <c r="A401" t="inlineStr">
        <is>
          <t>A 12602-2024</t>
        </is>
      </c>
      <c r="B401" s="1" t="n">
        <v>45381</v>
      </c>
      <c r="C401" s="1" t="n">
        <v>45976</v>
      </c>
      <c r="D401" t="inlineStr">
        <is>
          <t>NORRBOTTENS LÄN</t>
        </is>
      </c>
      <c r="E401" t="inlineStr">
        <is>
          <t>LULEÅ</t>
        </is>
      </c>
      <c r="G401" t="n">
        <v>5.6</v>
      </c>
      <c r="H401" t="n">
        <v>0</v>
      </c>
      <c r="I401" t="n">
        <v>0</v>
      </c>
      <c r="J401" t="n">
        <v>0</v>
      </c>
      <c r="K401" t="n">
        <v>0</v>
      </c>
      <c r="L401" t="n">
        <v>0</v>
      </c>
      <c r="M401" t="n">
        <v>0</v>
      </c>
      <c r="N401" t="n">
        <v>0</v>
      </c>
      <c r="O401" t="n">
        <v>0</v>
      </c>
      <c r="P401" t="n">
        <v>0</v>
      </c>
      <c r="Q401" t="n">
        <v>0</v>
      </c>
      <c r="R401" s="2" t="inlineStr"/>
    </row>
    <row r="402" ht="15" customHeight="1">
      <c r="A402" t="inlineStr">
        <is>
          <t>A 50988-2025</t>
        </is>
      </c>
      <c r="B402" s="1" t="n">
        <v>45947.34571759259</v>
      </c>
      <c r="C402" s="1" t="n">
        <v>45976</v>
      </c>
      <c r="D402" t="inlineStr">
        <is>
          <t>NORRBOTTENS LÄN</t>
        </is>
      </c>
      <c r="E402" t="inlineStr">
        <is>
          <t>LULEÅ</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50845-2025</t>
        </is>
      </c>
      <c r="B403" s="1" t="n">
        <v>45946.5737037037</v>
      </c>
      <c r="C403" s="1" t="n">
        <v>45976</v>
      </c>
      <c r="D403" t="inlineStr">
        <is>
          <t>NORRBOTTENS LÄN</t>
        </is>
      </c>
      <c r="E403" t="inlineStr">
        <is>
          <t>LULEÅ</t>
        </is>
      </c>
      <c r="G403" t="n">
        <v>11.7</v>
      </c>
      <c r="H403" t="n">
        <v>0</v>
      </c>
      <c r="I403" t="n">
        <v>0</v>
      </c>
      <c r="J403" t="n">
        <v>0</v>
      </c>
      <c r="K403" t="n">
        <v>0</v>
      </c>
      <c r="L403" t="n">
        <v>0</v>
      </c>
      <c r="M403" t="n">
        <v>0</v>
      </c>
      <c r="N403" t="n">
        <v>0</v>
      </c>
      <c r="O403" t="n">
        <v>0</v>
      </c>
      <c r="P403" t="n">
        <v>0</v>
      </c>
      <c r="Q403" t="n">
        <v>0</v>
      </c>
      <c r="R403" s="2" t="inlineStr"/>
    </row>
    <row r="404" ht="15" customHeight="1">
      <c r="A404" t="inlineStr">
        <is>
          <t>A 50866-2025</t>
        </is>
      </c>
      <c r="B404" s="1" t="n">
        <v>45946.59548611111</v>
      </c>
      <c r="C404" s="1" t="n">
        <v>45976</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11834-2025</t>
        </is>
      </c>
      <c r="B405" s="1" t="n">
        <v>45727</v>
      </c>
      <c r="C405" s="1" t="n">
        <v>45976</v>
      </c>
      <c r="D405" t="inlineStr">
        <is>
          <t>NORRBOTTENS LÄN</t>
        </is>
      </c>
      <c r="E405" t="inlineStr">
        <is>
          <t>LULEÅ</t>
        </is>
      </c>
      <c r="G405" t="n">
        <v>0.7</v>
      </c>
      <c r="H405" t="n">
        <v>0</v>
      </c>
      <c r="I405" t="n">
        <v>0</v>
      </c>
      <c r="J405" t="n">
        <v>0</v>
      </c>
      <c r="K405" t="n">
        <v>0</v>
      </c>
      <c r="L405" t="n">
        <v>0</v>
      </c>
      <c r="M405" t="n">
        <v>0</v>
      </c>
      <c r="N405" t="n">
        <v>0</v>
      </c>
      <c r="O405" t="n">
        <v>0</v>
      </c>
      <c r="P405" t="n">
        <v>0</v>
      </c>
      <c r="Q405" t="n">
        <v>0</v>
      </c>
      <c r="R405" s="2" t="inlineStr"/>
      <c r="U405">
        <f>HYPERLINK("https://klasma.github.io/Logging_2580/knärot/A 11834-2025 karta knärot.png", "A 11834-2025")</f>
        <v/>
      </c>
      <c r="V405">
        <f>HYPERLINK("https://klasma.github.io/Logging_2580/klagomål/A 11834-2025 FSC-klagomål.docx", "A 11834-2025")</f>
        <v/>
      </c>
      <c r="W405">
        <f>HYPERLINK("https://klasma.github.io/Logging_2580/klagomålsmail/A 11834-2025 FSC-klagomål mail.docx", "A 11834-2025")</f>
        <v/>
      </c>
      <c r="X405">
        <f>HYPERLINK("https://klasma.github.io/Logging_2580/tillsyn/A 11834-2025 tillsynsbegäran.docx", "A 11834-2025")</f>
        <v/>
      </c>
      <c r="Y405">
        <f>HYPERLINK("https://klasma.github.io/Logging_2580/tillsynsmail/A 11834-2025 tillsynsbegäran mail.docx", "A 11834-2025")</f>
        <v/>
      </c>
    </row>
    <row r="406" ht="15" customHeight="1">
      <c r="A406" t="inlineStr">
        <is>
          <t>A 42217-2025</t>
        </is>
      </c>
      <c r="B406" s="1" t="n">
        <v>45904.51274305556</v>
      </c>
      <c r="C406" s="1" t="n">
        <v>45976</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42218-2025</t>
        </is>
      </c>
      <c r="B407" s="1" t="n">
        <v>45904.51621527778</v>
      </c>
      <c r="C407" s="1" t="n">
        <v>45976</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25578-2024</t>
        </is>
      </c>
      <c r="B408" s="1" t="n">
        <v>45463</v>
      </c>
      <c r="C408" s="1" t="n">
        <v>45976</v>
      </c>
      <c r="D408" t="inlineStr">
        <is>
          <t>NORRBOTTENS LÄN</t>
        </is>
      </c>
      <c r="E408" t="inlineStr">
        <is>
          <t>LULEÅ</t>
        </is>
      </c>
      <c r="G408" t="n">
        <v>7.9</v>
      </c>
      <c r="H408" t="n">
        <v>0</v>
      </c>
      <c r="I408" t="n">
        <v>0</v>
      </c>
      <c r="J408" t="n">
        <v>0</v>
      </c>
      <c r="K408" t="n">
        <v>0</v>
      </c>
      <c r="L408" t="n">
        <v>0</v>
      </c>
      <c r="M408" t="n">
        <v>0</v>
      </c>
      <c r="N408" t="n">
        <v>0</v>
      </c>
      <c r="O408" t="n">
        <v>0</v>
      </c>
      <c r="P408" t="n">
        <v>0</v>
      </c>
      <c r="Q408" t="n">
        <v>0</v>
      </c>
      <c r="R408" s="2" t="inlineStr"/>
    </row>
    <row r="409" ht="15" customHeight="1">
      <c r="A409" t="inlineStr">
        <is>
          <t>A 50989-2025</t>
        </is>
      </c>
      <c r="B409" s="1" t="n">
        <v>45947.34578703704</v>
      </c>
      <c r="C409" s="1" t="n">
        <v>45976</v>
      </c>
      <c r="D409" t="inlineStr">
        <is>
          <t>NORRBOTTENS LÄN</t>
        </is>
      </c>
      <c r="E409" t="inlineStr">
        <is>
          <t>LULEÅ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61942-2024</t>
        </is>
      </c>
      <c r="B410" s="1" t="n">
        <v>45653.48405092592</v>
      </c>
      <c r="C410" s="1" t="n">
        <v>45976</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5058-2025</t>
        </is>
      </c>
      <c r="B411" s="1" t="n">
        <v>45691.46903935185</v>
      </c>
      <c r="C411" s="1" t="n">
        <v>45976</v>
      </c>
      <c r="D411" t="inlineStr">
        <is>
          <t>NORRBOTTENS LÄN</t>
        </is>
      </c>
      <c r="E411" t="inlineStr">
        <is>
          <t>LULEÅ</t>
        </is>
      </c>
      <c r="G411" t="n">
        <v>1.2</v>
      </c>
      <c r="H411" t="n">
        <v>0</v>
      </c>
      <c r="I411" t="n">
        <v>0</v>
      </c>
      <c r="J411" t="n">
        <v>0</v>
      </c>
      <c r="K411" t="n">
        <v>0</v>
      </c>
      <c r="L411" t="n">
        <v>0</v>
      </c>
      <c r="M411" t="n">
        <v>0</v>
      </c>
      <c r="N411" t="n">
        <v>0</v>
      </c>
      <c r="O411" t="n">
        <v>0</v>
      </c>
      <c r="P411" t="n">
        <v>0</v>
      </c>
      <c r="Q411" t="n">
        <v>0</v>
      </c>
      <c r="R411" s="2" t="inlineStr"/>
    </row>
    <row r="412" ht="15" customHeight="1">
      <c r="A412" t="inlineStr">
        <is>
          <t>A 49448-2025</t>
        </is>
      </c>
      <c r="B412" s="1" t="n">
        <v>45938.95688657407</v>
      </c>
      <c r="C412" s="1" t="n">
        <v>45976</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50867-2025</t>
        </is>
      </c>
      <c r="B413" s="1" t="n">
        <v>45946.59561342592</v>
      </c>
      <c r="C413" s="1" t="n">
        <v>45976</v>
      </c>
      <c r="D413" t="inlineStr">
        <is>
          <t>NORRBOTTENS LÄN</t>
        </is>
      </c>
      <c r="E413" t="inlineStr">
        <is>
          <t>LULEÅ</t>
        </is>
      </c>
      <c r="G413" t="n">
        <v>11</v>
      </c>
      <c r="H413" t="n">
        <v>0</v>
      </c>
      <c r="I413" t="n">
        <v>0</v>
      </c>
      <c r="J413" t="n">
        <v>0</v>
      </c>
      <c r="K413" t="n">
        <v>0</v>
      </c>
      <c r="L413" t="n">
        <v>0</v>
      </c>
      <c r="M413" t="n">
        <v>0</v>
      </c>
      <c r="N413" t="n">
        <v>0</v>
      </c>
      <c r="O413" t="n">
        <v>0</v>
      </c>
      <c r="P413" t="n">
        <v>0</v>
      </c>
      <c r="Q413" t="n">
        <v>0</v>
      </c>
      <c r="R413" s="2" t="inlineStr"/>
    </row>
    <row r="414" ht="15" customHeight="1">
      <c r="A414" t="inlineStr">
        <is>
          <t>A 50889-2025</t>
        </is>
      </c>
      <c r="B414" s="1" t="n">
        <v>45946.63664351852</v>
      </c>
      <c r="C414" s="1" t="n">
        <v>45976</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48714-2025</t>
        </is>
      </c>
      <c r="B415" s="1" t="n">
        <v>45936.63619212963</v>
      </c>
      <c r="C415" s="1" t="n">
        <v>45976</v>
      </c>
      <c r="D415" t="inlineStr">
        <is>
          <t>NORRBOTTENS LÄN</t>
        </is>
      </c>
      <c r="E415" t="inlineStr">
        <is>
          <t>LULEÅ</t>
        </is>
      </c>
      <c r="G415" t="n">
        <v>3.3</v>
      </c>
      <c r="H415" t="n">
        <v>0</v>
      </c>
      <c r="I415" t="n">
        <v>0</v>
      </c>
      <c r="J415" t="n">
        <v>0</v>
      </c>
      <c r="K415" t="n">
        <v>0</v>
      </c>
      <c r="L415" t="n">
        <v>0</v>
      </c>
      <c r="M415" t="n">
        <v>0</v>
      </c>
      <c r="N415" t="n">
        <v>0</v>
      </c>
      <c r="O415" t="n">
        <v>0</v>
      </c>
      <c r="P415" t="n">
        <v>0</v>
      </c>
      <c r="Q415" t="n">
        <v>0</v>
      </c>
      <c r="R415" s="2" t="inlineStr"/>
    </row>
    <row r="416" ht="15" customHeight="1">
      <c r="A416" t="inlineStr">
        <is>
          <t>A 11845-2025</t>
        </is>
      </c>
      <c r="B416" s="1" t="n">
        <v>45727</v>
      </c>
      <c r="C416" s="1" t="n">
        <v>45976</v>
      </c>
      <c r="D416" t="inlineStr">
        <is>
          <t>NORRBOTTENS LÄN</t>
        </is>
      </c>
      <c r="E416" t="inlineStr">
        <is>
          <t>LULEÅ</t>
        </is>
      </c>
      <c r="G416" t="n">
        <v>9.6</v>
      </c>
      <c r="H416" t="n">
        <v>0</v>
      </c>
      <c r="I416" t="n">
        <v>0</v>
      </c>
      <c r="J416" t="n">
        <v>0</v>
      </c>
      <c r="K416" t="n">
        <v>0</v>
      </c>
      <c r="L416" t="n">
        <v>0</v>
      </c>
      <c r="M416" t="n">
        <v>0</v>
      </c>
      <c r="N416" t="n">
        <v>0</v>
      </c>
      <c r="O416" t="n">
        <v>0</v>
      </c>
      <c r="P416" t="n">
        <v>0</v>
      </c>
      <c r="Q416" t="n">
        <v>0</v>
      </c>
      <c r="R416" s="2" t="inlineStr"/>
    </row>
    <row r="417" ht="15" customHeight="1">
      <c r="A417" t="inlineStr">
        <is>
          <t>A 62697-2022</t>
        </is>
      </c>
      <c r="B417" s="1" t="n">
        <v>44917</v>
      </c>
      <c r="C417" s="1" t="n">
        <v>45976</v>
      </c>
      <c r="D417" t="inlineStr">
        <is>
          <t>NORRBOTTENS LÄN</t>
        </is>
      </c>
      <c r="E417" t="inlineStr">
        <is>
          <t>LULEÅ</t>
        </is>
      </c>
      <c r="G417" t="n">
        <v>1</v>
      </c>
      <c r="H417" t="n">
        <v>0</v>
      </c>
      <c r="I417" t="n">
        <v>0</v>
      </c>
      <c r="J417" t="n">
        <v>0</v>
      </c>
      <c r="K417" t="n">
        <v>0</v>
      </c>
      <c r="L417" t="n">
        <v>0</v>
      </c>
      <c r="M417" t="n">
        <v>0</v>
      </c>
      <c r="N417" t="n">
        <v>0</v>
      </c>
      <c r="O417" t="n">
        <v>0</v>
      </c>
      <c r="P417" t="n">
        <v>0</v>
      </c>
      <c r="Q417" t="n">
        <v>0</v>
      </c>
      <c r="R417" s="2" t="inlineStr"/>
    </row>
    <row r="418" ht="15" customHeight="1">
      <c r="A418" t="inlineStr">
        <is>
          <t>A 9502-2025</t>
        </is>
      </c>
      <c r="B418" s="1" t="n">
        <v>45714</v>
      </c>
      <c r="C418" s="1" t="n">
        <v>45976</v>
      </c>
      <c r="D418" t="inlineStr">
        <is>
          <t>NORRBOTTENS LÄN</t>
        </is>
      </c>
      <c r="E418" t="inlineStr">
        <is>
          <t>LULEÅ</t>
        </is>
      </c>
      <c r="G418" t="n">
        <v>5.6</v>
      </c>
      <c r="H418" t="n">
        <v>0</v>
      </c>
      <c r="I418" t="n">
        <v>0</v>
      </c>
      <c r="J418" t="n">
        <v>0</v>
      </c>
      <c r="K418" t="n">
        <v>0</v>
      </c>
      <c r="L418" t="n">
        <v>0</v>
      </c>
      <c r="M418" t="n">
        <v>0</v>
      </c>
      <c r="N418" t="n">
        <v>0</v>
      </c>
      <c r="O418" t="n">
        <v>0</v>
      </c>
      <c r="P418" t="n">
        <v>0</v>
      </c>
      <c r="Q418" t="n">
        <v>0</v>
      </c>
      <c r="R418" s="2" t="inlineStr"/>
    </row>
    <row r="419" ht="15" customHeight="1">
      <c r="A419" t="inlineStr">
        <is>
          <t>A 4771-2024</t>
        </is>
      </c>
      <c r="B419" s="1" t="n">
        <v>45328</v>
      </c>
      <c r="C419" s="1" t="n">
        <v>45976</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42133-2021</t>
        </is>
      </c>
      <c r="B420" s="1" t="n">
        <v>44426</v>
      </c>
      <c r="C420" s="1" t="n">
        <v>45976</v>
      </c>
      <c r="D420" t="inlineStr">
        <is>
          <t>NORRBOTTENS LÄN</t>
        </is>
      </c>
      <c r="E420" t="inlineStr">
        <is>
          <t>LULEÅ</t>
        </is>
      </c>
      <c r="G420" t="n">
        <v>1.3</v>
      </c>
      <c r="H420" t="n">
        <v>0</v>
      </c>
      <c r="I420" t="n">
        <v>0</v>
      </c>
      <c r="J420" t="n">
        <v>0</v>
      </c>
      <c r="K420" t="n">
        <v>0</v>
      </c>
      <c r="L420" t="n">
        <v>0</v>
      </c>
      <c r="M420" t="n">
        <v>0</v>
      </c>
      <c r="N420" t="n">
        <v>0</v>
      </c>
      <c r="O420" t="n">
        <v>0</v>
      </c>
      <c r="P420" t="n">
        <v>0</v>
      </c>
      <c r="Q420" t="n">
        <v>0</v>
      </c>
      <c r="R420" s="2" t="inlineStr"/>
    </row>
    <row r="421" ht="15" customHeight="1">
      <c r="A421" t="inlineStr">
        <is>
          <t>A 51256-2025</t>
        </is>
      </c>
      <c r="B421" s="1" t="n">
        <v>45949.40681712963</v>
      </c>
      <c r="C421" s="1" t="n">
        <v>45976</v>
      </c>
      <c r="D421" t="inlineStr">
        <is>
          <t>NORRBOTTENS LÄN</t>
        </is>
      </c>
      <c r="E421" t="inlineStr">
        <is>
          <t>LULEÅ</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61315-2022</t>
        </is>
      </c>
      <c r="B422" s="1" t="n">
        <v>44909</v>
      </c>
      <c r="C422" s="1" t="n">
        <v>45976</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51655-2023</t>
        </is>
      </c>
      <c r="B423" s="1" t="n">
        <v>45215</v>
      </c>
      <c r="C423" s="1" t="n">
        <v>45976</v>
      </c>
      <c r="D423" t="inlineStr">
        <is>
          <t>NORRBOTTENS LÄN</t>
        </is>
      </c>
      <c r="E423" t="inlineStr">
        <is>
          <t>LULEÅ</t>
        </is>
      </c>
      <c r="G423" t="n">
        <v>7.5</v>
      </c>
      <c r="H423" t="n">
        <v>0</v>
      </c>
      <c r="I423" t="n">
        <v>0</v>
      </c>
      <c r="J423" t="n">
        <v>0</v>
      </c>
      <c r="K423" t="n">
        <v>0</v>
      </c>
      <c r="L423" t="n">
        <v>0</v>
      </c>
      <c r="M423" t="n">
        <v>0</v>
      </c>
      <c r="N423" t="n">
        <v>0</v>
      </c>
      <c r="O423" t="n">
        <v>0</v>
      </c>
      <c r="P423" t="n">
        <v>0</v>
      </c>
      <c r="Q423" t="n">
        <v>0</v>
      </c>
      <c r="R423" s="2" t="inlineStr"/>
    </row>
    <row r="424" ht="15" customHeight="1">
      <c r="A424" t="inlineStr">
        <is>
          <t>A 21597-2024</t>
        </is>
      </c>
      <c r="B424" s="1" t="n">
        <v>45441.9291087963</v>
      </c>
      <c r="C424" s="1" t="n">
        <v>45976</v>
      </c>
      <c r="D424" t="inlineStr">
        <is>
          <t>NORRBOTTENS LÄN</t>
        </is>
      </c>
      <c r="E424" t="inlineStr">
        <is>
          <t>LULEÅ</t>
        </is>
      </c>
      <c r="G424" t="n">
        <v>3.7</v>
      </c>
      <c r="H424" t="n">
        <v>0</v>
      </c>
      <c r="I424" t="n">
        <v>0</v>
      </c>
      <c r="J424" t="n">
        <v>0</v>
      </c>
      <c r="K424" t="n">
        <v>0</v>
      </c>
      <c r="L424" t="n">
        <v>0</v>
      </c>
      <c r="M424" t="n">
        <v>0</v>
      </c>
      <c r="N424" t="n">
        <v>0</v>
      </c>
      <c r="O424" t="n">
        <v>0</v>
      </c>
      <c r="P424" t="n">
        <v>0</v>
      </c>
      <c r="Q424" t="n">
        <v>0</v>
      </c>
      <c r="R424" s="2" t="inlineStr"/>
    </row>
    <row r="425" ht="15" customHeight="1">
      <c r="A425" t="inlineStr">
        <is>
          <t>A 59656-2024</t>
        </is>
      </c>
      <c r="B425" s="1" t="n">
        <v>45639</v>
      </c>
      <c r="C425" s="1" t="n">
        <v>45976</v>
      </c>
      <c r="D425" t="inlineStr">
        <is>
          <t>NORRBOTTENS LÄN</t>
        </is>
      </c>
      <c r="E425" t="inlineStr">
        <is>
          <t>LULEÅ</t>
        </is>
      </c>
      <c r="G425" t="n">
        <v>4.3</v>
      </c>
      <c r="H425" t="n">
        <v>0</v>
      </c>
      <c r="I425" t="n">
        <v>0</v>
      </c>
      <c r="J425" t="n">
        <v>0</v>
      </c>
      <c r="K425" t="n">
        <v>0</v>
      </c>
      <c r="L425" t="n">
        <v>0</v>
      </c>
      <c r="M425" t="n">
        <v>0</v>
      </c>
      <c r="N425" t="n">
        <v>0</v>
      </c>
      <c r="O425" t="n">
        <v>0</v>
      </c>
      <c r="P425" t="n">
        <v>0</v>
      </c>
      <c r="Q425" t="n">
        <v>0</v>
      </c>
      <c r="R425" s="2" t="inlineStr"/>
    </row>
    <row r="426" ht="15" customHeight="1">
      <c r="A426" t="inlineStr">
        <is>
          <t>A 20340-2023</t>
        </is>
      </c>
      <c r="B426" s="1" t="n">
        <v>45054</v>
      </c>
      <c r="C426" s="1" t="n">
        <v>45976</v>
      </c>
      <c r="D426" t="inlineStr">
        <is>
          <t>NORRBOTTENS LÄN</t>
        </is>
      </c>
      <c r="E426" t="inlineStr">
        <is>
          <t>LULEÅ</t>
        </is>
      </c>
      <c r="G426" t="n">
        <v>65</v>
      </c>
      <c r="H426" t="n">
        <v>0</v>
      </c>
      <c r="I426" t="n">
        <v>0</v>
      </c>
      <c r="J426" t="n">
        <v>0</v>
      </c>
      <c r="K426" t="n">
        <v>0</v>
      </c>
      <c r="L426" t="n">
        <v>0</v>
      </c>
      <c r="M426" t="n">
        <v>0</v>
      </c>
      <c r="N426" t="n">
        <v>0</v>
      </c>
      <c r="O426" t="n">
        <v>0</v>
      </c>
      <c r="P426" t="n">
        <v>0</v>
      </c>
      <c r="Q426" t="n">
        <v>0</v>
      </c>
      <c r="R426" s="2" t="inlineStr"/>
    </row>
    <row r="427" ht="15" customHeight="1">
      <c r="A427" t="inlineStr">
        <is>
          <t>A 43115-2025</t>
        </is>
      </c>
      <c r="B427" s="1" t="n">
        <v>45909.66664351852</v>
      </c>
      <c r="C427" s="1" t="n">
        <v>45976</v>
      </c>
      <c r="D427" t="inlineStr">
        <is>
          <t>NORRBOTTENS LÄN</t>
        </is>
      </c>
      <c r="E427" t="inlineStr">
        <is>
          <t>LULEÅ</t>
        </is>
      </c>
      <c r="G427" t="n">
        <v>1</v>
      </c>
      <c r="H427" t="n">
        <v>0</v>
      </c>
      <c r="I427" t="n">
        <v>0</v>
      </c>
      <c r="J427" t="n">
        <v>0</v>
      </c>
      <c r="K427" t="n">
        <v>0</v>
      </c>
      <c r="L427" t="n">
        <v>0</v>
      </c>
      <c r="M427" t="n">
        <v>0</v>
      </c>
      <c r="N427" t="n">
        <v>0</v>
      </c>
      <c r="O427" t="n">
        <v>0</v>
      </c>
      <c r="P427" t="n">
        <v>0</v>
      </c>
      <c r="Q427" t="n">
        <v>0</v>
      </c>
      <c r="R427" s="2" t="inlineStr"/>
    </row>
    <row r="428" ht="15" customHeight="1">
      <c r="A428" t="inlineStr">
        <is>
          <t>A 43116-2025</t>
        </is>
      </c>
      <c r="B428" s="1" t="n">
        <v>45909.66799768519</v>
      </c>
      <c r="C428" s="1" t="n">
        <v>45976</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45976</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51108-2024</t>
        </is>
      </c>
      <c r="B430" s="1" t="n">
        <v>45603.49142361111</v>
      </c>
      <c r="C430" s="1" t="n">
        <v>45976</v>
      </c>
      <c r="D430" t="inlineStr">
        <is>
          <t>NORRBOTTENS LÄN</t>
        </is>
      </c>
      <c r="E430" t="inlineStr">
        <is>
          <t>LULEÅ</t>
        </is>
      </c>
      <c r="G430" t="n">
        <v>3.8</v>
      </c>
      <c r="H430" t="n">
        <v>0</v>
      </c>
      <c r="I430" t="n">
        <v>0</v>
      </c>
      <c r="J430" t="n">
        <v>0</v>
      </c>
      <c r="K430" t="n">
        <v>0</v>
      </c>
      <c r="L430" t="n">
        <v>0</v>
      </c>
      <c r="M430" t="n">
        <v>0</v>
      </c>
      <c r="N430" t="n">
        <v>0</v>
      </c>
      <c r="O430" t="n">
        <v>0</v>
      </c>
      <c r="P430" t="n">
        <v>0</v>
      </c>
      <c r="Q430" t="n">
        <v>0</v>
      </c>
      <c r="R430" s="2" t="inlineStr"/>
    </row>
    <row r="431" ht="15" customHeight="1">
      <c r="A431" t="inlineStr">
        <is>
          <t>A 43112-2025</t>
        </is>
      </c>
      <c r="B431" s="1" t="n">
        <v>45909.66228009259</v>
      </c>
      <c r="C431" s="1" t="n">
        <v>45976</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43113-2025</t>
        </is>
      </c>
      <c r="B432" s="1" t="n">
        <v>45909.6640625</v>
      </c>
      <c r="C432" s="1" t="n">
        <v>45976</v>
      </c>
      <c r="D432" t="inlineStr">
        <is>
          <t>NORRBOTTENS LÄN</t>
        </is>
      </c>
      <c r="E432" t="inlineStr">
        <is>
          <t>LULEÅ</t>
        </is>
      </c>
      <c r="G432" t="n">
        <v>1.8</v>
      </c>
      <c r="H432" t="n">
        <v>0</v>
      </c>
      <c r="I432" t="n">
        <v>0</v>
      </c>
      <c r="J432" t="n">
        <v>0</v>
      </c>
      <c r="K432" t="n">
        <v>0</v>
      </c>
      <c r="L432" t="n">
        <v>0</v>
      </c>
      <c r="M432" t="n">
        <v>0</v>
      </c>
      <c r="N432" t="n">
        <v>0</v>
      </c>
      <c r="O432" t="n">
        <v>0</v>
      </c>
      <c r="P432" t="n">
        <v>0</v>
      </c>
      <c r="Q432" t="n">
        <v>0</v>
      </c>
      <c r="R432" s="2" t="inlineStr"/>
    </row>
    <row r="433" ht="15" customHeight="1">
      <c r="A433" t="inlineStr">
        <is>
          <t>A 51391-2025</t>
        </is>
      </c>
      <c r="B433" s="1" t="n">
        <v>45950.46918981482</v>
      </c>
      <c r="C433" s="1" t="n">
        <v>45976</v>
      </c>
      <c r="D433" t="inlineStr">
        <is>
          <t>NORRBOTTENS LÄN</t>
        </is>
      </c>
      <c r="E433" t="inlineStr">
        <is>
          <t>LULEÅ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50632-2021</t>
        </is>
      </c>
      <c r="B434" s="1" t="n">
        <v>44459</v>
      </c>
      <c r="C434" s="1" t="n">
        <v>45976</v>
      </c>
      <c r="D434" t="inlineStr">
        <is>
          <t>NORRBOTTENS LÄN</t>
        </is>
      </c>
      <c r="E434" t="inlineStr">
        <is>
          <t>LULEÅ</t>
        </is>
      </c>
      <c r="G434" t="n">
        <v>3.5</v>
      </c>
      <c r="H434" t="n">
        <v>0</v>
      </c>
      <c r="I434" t="n">
        <v>0</v>
      </c>
      <c r="J434" t="n">
        <v>0</v>
      </c>
      <c r="K434" t="n">
        <v>0</v>
      </c>
      <c r="L434" t="n">
        <v>0</v>
      </c>
      <c r="M434" t="n">
        <v>0</v>
      </c>
      <c r="N434" t="n">
        <v>0</v>
      </c>
      <c r="O434" t="n">
        <v>0</v>
      </c>
      <c r="P434" t="n">
        <v>0</v>
      </c>
      <c r="Q434" t="n">
        <v>0</v>
      </c>
      <c r="R434" s="2" t="inlineStr"/>
    </row>
    <row r="435" ht="15" customHeight="1">
      <c r="A435" t="inlineStr">
        <is>
          <t>A 45940-2021</t>
        </is>
      </c>
      <c r="B435" s="1" t="n">
        <v>44441</v>
      </c>
      <c r="C435" s="1" t="n">
        <v>45976</v>
      </c>
      <c r="D435" t="inlineStr">
        <is>
          <t>NORRBOTTENS LÄN</t>
        </is>
      </c>
      <c r="E435" t="inlineStr">
        <is>
          <t>LULEÅ</t>
        </is>
      </c>
      <c r="G435" t="n">
        <v>15.2</v>
      </c>
      <c r="H435" t="n">
        <v>0</v>
      </c>
      <c r="I435" t="n">
        <v>0</v>
      </c>
      <c r="J435" t="n">
        <v>0</v>
      </c>
      <c r="K435" t="n">
        <v>0</v>
      </c>
      <c r="L435" t="n">
        <v>0</v>
      </c>
      <c r="M435" t="n">
        <v>0</v>
      </c>
      <c r="N435" t="n">
        <v>0</v>
      </c>
      <c r="O435" t="n">
        <v>0</v>
      </c>
      <c r="P435" t="n">
        <v>0</v>
      </c>
      <c r="Q435" t="n">
        <v>0</v>
      </c>
      <c r="R435" s="2" t="inlineStr"/>
    </row>
    <row r="436" ht="15" customHeight="1">
      <c r="A436" t="inlineStr">
        <is>
          <t>A 57911-2023</t>
        </is>
      </c>
      <c r="B436" s="1" t="n">
        <v>45247</v>
      </c>
      <c r="C436" s="1" t="n">
        <v>45976</v>
      </c>
      <c r="D436" t="inlineStr">
        <is>
          <t>NORRBOTTENS LÄN</t>
        </is>
      </c>
      <c r="E436" t="inlineStr">
        <is>
          <t>LULEÅ</t>
        </is>
      </c>
      <c r="G436" t="n">
        <v>1.1</v>
      </c>
      <c r="H436" t="n">
        <v>0</v>
      </c>
      <c r="I436" t="n">
        <v>0</v>
      </c>
      <c r="J436" t="n">
        <v>0</v>
      </c>
      <c r="K436" t="n">
        <v>0</v>
      </c>
      <c r="L436" t="n">
        <v>0</v>
      </c>
      <c r="M436" t="n">
        <v>0</v>
      </c>
      <c r="N436" t="n">
        <v>0</v>
      </c>
      <c r="O436" t="n">
        <v>0</v>
      </c>
      <c r="P436" t="n">
        <v>0</v>
      </c>
      <c r="Q436" t="n">
        <v>0</v>
      </c>
      <c r="R436" s="2" t="inlineStr"/>
    </row>
    <row r="437" ht="15" customHeight="1">
      <c r="A437" t="inlineStr">
        <is>
          <t>A 29550-2024</t>
        </is>
      </c>
      <c r="B437" s="1" t="n">
        <v>45484</v>
      </c>
      <c r="C437" s="1" t="n">
        <v>45976</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62732-2021</t>
        </is>
      </c>
      <c r="B438" s="1" t="n">
        <v>44503</v>
      </c>
      <c r="C438" s="1" t="n">
        <v>45976</v>
      </c>
      <c r="D438" t="inlineStr">
        <is>
          <t>NORRBOTTENS LÄN</t>
        </is>
      </c>
      <c r="E438" t="inlineStr">
        <is>
          <t>LULEÅ</t>
        </is>
      </c>
      <c r="G438" t="n">
        <v>2.5</v>
      </c>
      <c r="H438" t="n">
        <v>0</v>
      </c>
      <c r="I438" t="n">
        <v>0</v>
      </c>
      <c r="J438" t="n">
        <v>0</v>
      </c>
      <c r="K438" t="n">
        <v>0</v>
      </c>
      <c r="L438" t="n">
        <v>0</v>
      </c>
      <c r="M438" t="n">
        <v>0</v>
      </c>
      <c r="N438" t="n">
        <v>0</v>
      </c>
      <c r="O438" t="n">
        <v>0</v>
      </c>
      <c r="P438" t="n">
        <v>0</v>
      </c>
      <c r="Q438" t="n">
        <v>0</v>
      </c>
      <c r="R438" s="2" t="inlineStr"/>
    </row>
    <row r="439" ht="15" customHeight="1">
      <c r="A439" t="inlineStr">
        <is>
          <t>A 49208-2024</t>
        </is>
      </c>
      <c r="B439" s="1" t="n">
        <v>45595.37256944444</v>
      </c>
      <c r="C439" s="1" t="n">
        <v>45976</v>
      </c>
      <c r="D439" t="inlineStr">
        <is>
          <t>NORRBOTTENS LÄN</t>
        </is>
      </c>
      <c r="E439" t="inlineStr">
        <is>
          <t>LULEÅ</t>
        </is>
      </c>
      <c r="G439" t="n">
        <v>5.2</v>
      </c>
      <c r="H439" t="n">
        <v>0</v>
      </c>
      <c r="I439" t="n">
        <v>0</v>
      </c>
      <c r="J439" t="n">
        <v>0</v>
      </c>
      <c r="K439" t="n">
        <v>0</v>
      </c>
      <c r="L439" t="n">
        <v>0</v>
      </c>
      <c r="M439" t="n">
        <v>0</v>
      </c>
      <c r="N439" t="n">
        <v>0</v>
      </c>
      <c r="O439" t="n">
        <v>0</v>
      </c>
      <c r="P439" t="n">
        <v>0</v>
      </c>
      <c r="Q439" t="n">
        <v>0</v>
      </c>
      <c r="R439" s="2" t="inlineStr"/>
    </row>
    <row r="440" ht="15" customHeight="1">
      <c r="A440" t="inlineStr">
        <is>
          <t>A 14337-2024</t>
        </is>
      </c>
      <c r="B440" s="1" t="n">
        <v>45393</v>
      </c>
      <c r="C440" s="1" t="n">
        <v>45976</v>
      </c>
      <c r="D440" t="inlineStr">
        <is>
          <t>NORRBOTTENS LÄN</t>
        </is>
      </c>
      <c r="E440" t="inlineStr">
        <is>
          <t>LULEÅ</t>
        </is>
      </c>
      <c r="G440" t="n">
        <v>0.6</v>
      </c>
      <c r="H440" t="n">
        <v>0</v>
      </c>
      <c r="I440" t="n">
        <v>0</v>
      </c>
      <c r="J440" t="n">
        <v>0</v>
      </c>
      <c r="K440" t="n">
        <v>0</v>
      </c>
      <c r="L440" t="n">
        <v>0</v>
      </c>
      <c r="M440" t="n">
        <v>0</v>
      </c>
      <c r="N440" t="n">
        <v>0</v>
      </c>
      <c r="O440" t="n">
        <v>0</v>
      </c>
      <c r="P440" t="n">
        <v>0</v>
      </c>
      <c r="Q440" t="n">
        <v>0</v>
      </c>
      <c r="R440" s="2" t="inlineStr"/>
    </row>
    <row r="441" ht="15" customHeight="1">
      <c r="A441" t="inlineStr">
        <is>
          <t>A 17125-2024</t>
        </is>
      </c>
      <c r="B441" s="1" t="n">
        <v>45412</v>
      </c>
      <c r="C441" s="1" t="n">
        <v>45976</v>
      </c>
      <c r="D441" t="inlineStr">
        <is>
          <t>NORRBOTTENS LÄN</t>
        </is>
      </c>
      <c r="E441" t="inlineStr">
        <is>
          <t>LULEÅ</t>
        </is>
      </c>
      <c r="G441" t="n">
        <v>2</v>
      </c>
      <c r="H441" t="n">
        <v>0</v>
      </c>
      <c r="I441" t="n">
        <v>0</v>
      </c>
      <c r="J441" t="n">
        <v>0</v>
      </c>
      <c r="K441" t="n">
        <v>0</v>
      </c>
      <c r="L441" t="n">
        <v>0</v>
      </c>
      <c r="M441" t="n">
        <v>0</v>
      </c>
      <c r="N441" t="n">
        <v>0</v>
      </c>
      <c r="O441" t="n">
        <v>0</v>
      </c>
      <c r="P441" t="n">
        <v>0</v>
      </c>
      <c r="Q441" t="n">
        <v>0</v>
      </c>
      <c r="R441" s="2" t="inlineStr"/>
    </row>
    <row r="442" ht="15" customHeight="1">
      <c r="A442" t="inlineStr">
        <is>
          <t>A 35918-2024</t>
        </is>
      </c>
      <c r="B442" s="1" t="n">
        <v>45533</v>
      </c>
      <c r="C442" s="1" t="n">
        <v>45976</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49712-2022</t>
        </is>
      </c>
      <c r="B443" s="1" t="n">
        <v>44859</v>
      </c>
      <c r="C443" s="1" t="n">
        <v>45976</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8767-2025</t>
        </is>
      </c>
      <c r="B444" s="1" t="n">
        <v>45712.58931712963</v>
      </c>
      <c r="C444" s="1" t="n">
        <v>45976</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57115-2024</t>
        </is>
      </c>
      <c r="B445" s="1" t="n">
        <v>45629.36509259259</v>
      </c>
      <c r="C445" s="1" t="n">
        <v>45976</v>
      </c>
      <c r="D445" t="inlineStr">
        <is>
          <t>NORRBOTTENS LÄN</t>
        </is>
      </c>
      <c r="E445" t="inlineStr">
        <is>
          <t>LULEÅ</t>
        </is>
      </c>
      <c r="G445" t="n">
        <v>10.4</v>
      </c>
      <c r="H445" t="n">
        <v>0</v>
      </c>
      <c r="I445" t="n">
        <v>0</v>
      </c>
      <c r="J445" t="n">
        <v>0</v>
      </c>
      <c r="K445" t="n">
        <v>0</v>
      </c>
      <c r="L445" t="n">
        <v>0</v>
      </c>
      <c r="M445" t="n">
        <v>0</v>
      </c>
      <c r="N445" t="n">
        <v>0</v>
      </c>
      <c r="O445" t="n">
        <v>0</v>
      </c>
      <c r="P445" t="n">
        <v>0</v>
      </c>
      <c r="Q445" t="n">
        <v>0</v>
      </c>
      <c r="R445" s="2" t="inlineStr"/>
    </row>
    <row r="446" ht="15" customHeight="1">
      <c r="A446" t="inlineStr">
        <is>
          <t>A 30784-2024</t>
        </is>
      </c>
      <c r="B446" s="1" t="n">
        <v>45496</v>
      </c>
      <c r="C446" s="1" t="n">
        <v>45976</v>
      </c>
      <c r="D446" t="inlineStr">
        <is>
          <t>NORRBOTTENS LÄN</t>
        </is>
      </c>
      <c r="E446" t="inlineStr">
        <is>
          <t>LULEÅ</t>
        </is>
      </c>
      <c r="F446" t="inlineStr">
        <is>
          <t>Naturvårdsverket</t>
        </is>
      </c>
      <c r="G446" t="n">
        <v>13.2</v>
      </c>
      <c r="H446" t="n">
        <v>0</v>
      </c>
      <c r="I446" t="n">
        <v>0</v>
      </c>
      <c r="J446" t="n">
        <v>0</v>
      </c>
      <c r="K446" t="n">
        <v>0</v>
      </c>
      <c r="L446" t="n">
        <v>0</v>
      </c>
      <c r="M446" t="n">
        <v>0</v>
      </c>
      <c r="N446" t="n">
        <v>0</v>
      </c>
      <c r="O446" t="n">
        <v>0</v>
      </c>
      <c r="P446" t="n">
        <v>0</v>
      </c>
      <c r="Q446" t="n">
        <v>0</v>
      </c>
      <c r="R446" s="2" t="inlineStr"/>
    </row>
    <row r="447" ht="15" customHeight="1">
      <c r="A447" t="inlineStr">
        <is>
          <t>A 30788-2024</t>
        </is>
      </c>
      <c r="B447" s="1" t="n">
        <v>45496</v>
      </c>
      <c r="C447" s="1" t="n">
        <v>45976</v>
      </c>
      <c r="D447" t="inlineStr">
        <is>
          <t>NORRBOTTENS LÄN</t>
        </is>
      </c>
      <c r="E447" t="inlineStr">
        <is>
          <t>LULEÅ</t>
        </is>
      </c>
      <c r="F447" t="inlineStr">
        <is>
          <t>Naturvårdsverket</t>
        </is>
      </c>
      <c r="G447" t="n">
        <v>6.7</v>
      </c>
      <c r="H447" t="n">
        <v>0</v>
      </c>
      <c r="I447" t="n">
        <v>0</v>
      </c>
      <c r="J447" t="n">
        <v>0</v>
      </c>
      <c r="K447" t="n">
        <v>0</v>
      </c>
      <c r="L447" t="n">
        <v>0</v>
      </c>
      <c r="M447" t="n">
        <v>0</v>
      </c>
      <c r="N447" t="n">
        <v>0</v>
      </c>
      <c r="O447" t="n">
        <v>0</v>
      </c>
      <c r="P447" t="n">
        <v>0</v>
      </c>
      <c r="Q447" t="n">
        <v>0</v>
      </c>
      <c r="R447" s="2" t="inlineStr"/>
    </row>
    <row r="448" ht="15" customHeight="1">
      <c r="A448" t="inlineStr">
        <is>
          <t>A 11853-2025</t>
        </is>
      </c>
      <c r="B448" s="1" t="n">
        <v>45727</v>
      </c>
      <c r="C448" s="1" t="n">
        <v>45976</v>
      </c>
      <c r="D448" t="inlineStr">
        <is>
          <t>NORRBOTTENS LÄN</t>
        </is>
      </c>
      <c r="E448" t="inlineStr">
        <is>
          <t>LULEÅ</t>
        </is>
      </c>
      <c r="G448" t="n">
        <v>6</v>
      </c>
      <c r="H448" t="n">
        <v>0</v>
      </c>
      <c r="I448" t="n">
        <v>0</v>
      </c>
      <c r="J448" t="n">
        <v>0</v>
      </c>
      <c r="K448" t="n">
        <v>0</v>
      </c>
      <c r="L448" t="n">
        <v>0</v>
      </c>
      <c r="M448" t="n">
        <v>0</v>
      </c>
      <c r="N448" t="n">
        <v>0</v>
      </c>
      <c r="O448" t="n">
        <v>0</v>
      </c>
      <c r="P448" t="n">
        <v>0</v>
      </c>
      <c r="Q448" t="n">
        <v>0</v>
      </c>
      <c r="R448" s="2" t="inlineStr"/>
    </row>
    <row r="449" ht="15" customHeight="1">
      <c r="A449" t="inlineStr">
        <is>
          <t>A 12323-2023</t>
        </is>
      </c>
      <c r="B449" s="1" t="n">
        <v>44995</v>
      </c>
      <c r="C449" s="1" t="n">
        <v>45976</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2700-2025</t>
        </is>
      </c>
      <c r="B450" s="1" t="n">
        <v>45677.40685185185</v>
      </c>
      <c r="C450" s="1" t="n">
        <v>45976</v>
      </c>
      <c r="D450" t="inlineStr">
        <is>
          <t>NORRBOTTENS LÄN</t>
        </is>
      </c>
      <c r="E450" t="inlineStr">
        <is>
          <t>LULEÅ</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6958-2025</t>
        </is>
      </c>
      <c r="B451" s="1" t="n">
        <v>45701.49054398148</v>
      </c>
      <c r="C451" s="1" t="n">
        <v>45976</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31465-2024</t>
        </is>
      </c>
      <c r="B452" s="1" t="n">
        <v>45505</v>
      </c>
      <c r="C452" s="1" t="n">
        <v>45976</v>
      </c>
      <c r="D452" t="inlineStr">
        <is>
          <t>NORRBOTTENS LÄN</t>
        </is>
      </c>
      <c r="E452" t="inlineStr">
        <is>
          <t>LULEÅ</t>
        </is>
      </c>
      <c r="F452" t="inlineStr">
        <is>
          <t>Naturvårdsverket</t>
        </is>
      </c>
      <c r="G452" t="n">
        <v>7.1</v>
      </c>
      <c r="H452" t="n">
        <v>0</v>
      </c>
      <c r="I452" t="n">
        <v>0</v>
      </c>
      <c r="J452" t="n">
        <v>0</v>
      </c>
      <c r="K452" t="n">
        <v>0</v>
      </c>
      <c r="L452" t="n">
        <v>0</v>
      </c>
      <c r="M452" t="n">
        <v>0</v>
      </c>
      <c r="N452" t="n">
        <v>0</v>
      </c>
      <c r="O452" t="n">
        <v>0</v>
      </c>
      <c r="P452" t="n">
        <v>0</v>
      </c>
      <c r="Q452" t="n">
        <v>0</v>
      </c>
      <c r="R452" s="2" t="inlineStr"/>
    </row>
    <row r="453" ht="15" customHeight="1">
      <c r="A453" t="inlineStr">
        <is>
          <t>A 5342-2025</t>
        </is>
      </c>
      <c r="B453" s="1" t="n">
        <v>45692.55262731481</v>
      </c>
      <c r="C453" s="1" t="n">
        <v>45976</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30289-2023</t>
        </is>
      </c>
      <c r="B454" s="1" t="n">
        <v>45110</v>
      </c>
      <c r="C454" s="1" t="n">
        <v>45976</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51902-2025</t>
        </is>
      </c>
      <c r="B455" s="1" t="n">
        <v>45952.44763888889</v>
      </c>
      <c r="C455" s="1" t="n">
        <v>45976</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54738-2024</t>
        </is>
      </c>
      <c r="B456" s="1" t="n">
        <v>45618.44334490741</v>
      </c>
      <c r="C456" s="1" t="n">
        <v>45976</v>
      </c>
      <c r="D456" t="inlineStr">
        <is>
          <t>NORRBOTTENS LÄN</t>
        </is>
      </c>
      <c r="E456" t="inlineStr">
        <is>
          <t>LULEÅ</t>
        </is>
      </c>
      <c r="G456" t="n">
        <v>4.7</v>
      </c>
      <c r="H456" t="n">
        <v>0</v>
      </c>
      <c r="I456" t="n">
        <v>0</v>
      </c>
      <c r="J456" t="n">
        <v>0</v>
      </c>
      <c r="K456" t="n">
        <v>0</v>
      </c>
      <c r="L456" t="n">
        <v>0</v>
      </c>
      <c r="M456" t="n">
        <v>0</v>
      </c>
      <c r="N456" t="n">
        <v>0</v>
      </c>
      <c r="O456" t="n">
        <v>0</v>
      </c>
      <c r="P456" t="n">
        <v>0</v>
      </c>
      <c r="Q456" t="n">
        <v>0</v>
      </c>
      <c r="R456" s="2" t="inlineStr"/>
    </row>
    <row r="457" ht="15" customHeight="1">
      <c r="A457" t="inlineStr">
        <is>
          <t>A 60121-2024</t>
        </is>
      </c>
      <c r="B457" s="1" t="n">
        <v>45642.58465277778</v>
      </c>
      <c r="C457" s="1" t="n">
        <v>45976</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145-2025</t>
        </is>
      </c>
      <c r="B458" s="1" t="n">
        <v>45659.59091435185</v>
      </c>
      <c r="C458" s="1" t="n">
        <v>45976</v>
      </c>
      <c r="D458" t="inlineStr">
        <is>
          <t>NORRBOTTENS LÄN</t>
        </is>
      </c>
      <c r="E458" t="inlineStr">
        <is>
          <t>LULEÅ</t>
        </is>
      </c>
      <c r="G458" t="n">
        <v>1.4</v>
      </c>
      <c r="H458" t="n">
        <v>0</v>
      </c>
      <c r="I458" t="n">
        <v>0</v>
      </c>
      <c r="J458" t="n">
        <v>0</v>
      </c>
      <c r="K458" t="n">
        <v>0</v>
      </c>
      <c r="L458" t="n">
        <v>0</v>
      </c>
      <c r="M458" t="n">
        <v>0</v>
      </c>
      <c r="N458" t="n">
        <v>0</v>
      </c>
      <c r="O458" t="n">
        <v>0</v>
      </c>
      <c r="P458" t="n">
        <v>0</v>
      </c>
      <c r="Q458" t="n">
        <v>0</v>
      </c>
      <c r="R458" s="2" t="inlineStr"/>
    </row>
    <row r="459" ht="15" customHeight="1">
      <c r="A459" t="inlineStr">
        <is>
          <t>A 50640-2024</t>
        </is>
      </c>
      <c r="B459" s="1" t="n">
        <v>45601.67827546296</v>
      </c>
      <c r="C459" s="1" t="n">
        <v>45976</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29490-2023</t>
        </is>
      </c>
      <c r="B460" s="1" t="n">
        <v>45098</v>
      </c>
      <c r="C460" s="1" t="n">
        <v>45976</v>
      </c>
      <c r="D460" t="inlineStr">
        <is>
          <t>NORRBOTTENS LÄN</t>
        </is>
      </c>
      <c r="E460" t="inlineStr">
        <is>
          <t>LULEÅ</t>
        </is>
      </c>
      <c r="G460" t="n">
        <v>1.7</v>
      </c>
      <c r="H460" t="n">
        <v>0</v>
      </c>
      <c r="I460" t="n">
        <v>0</v>
      </c>
      <c r="J460" t="n">
        <v>0</v>
      </c>
      <c r="K460" t="n">
        <v>0</v>
      </c>
      <c r="L460" t="n">
        <v>0</v>
      </c>
      <c r="M460" t="n">
        <v>0</v>
      </c>
      <c r="N460" t="n">
        <v>0</v>
      </c>
      <c r="O460" t="n">
        <v>0</v>
      </c>
      <c r="P460" t="n">
        <v>0</v>
      </c>
      <c r="Q460" t="n">
        <v>0</v>
      </c>
      <c r="R460" s="2" t="inlineStr"/>
    </row>
    <row r="461" ht="15" customHeight="1">
      <c r="A461" t="inlineStr">
        <is>
          <t>A 29510-2023</t>
        </is>
      </c>
      <c r="B461" s="1" t="n">
        <v>45098</v>
      </c>
      <c r="C461" s="1" t="n">
        <v>45976</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7880-2025</t>
        </is>
      </c>
      <c r="B462" s="1" t="n">
        <v>45706.785</v>
      </c>
      <c r="C462" s="1" t="n">
        <v>45976</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7168-2025</t>
        </is>
      </c>
      <c r="B463" s="1" t="n">
        <v>45702.40306712963</v>
      </c>
      <c r="C463" s="1" t="n">
        <v>45976</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43182-2025</t>
        </is>
      </c>
      <c r="B464" s="1" t="n">
        <v>45910.40729166667</v>
      </c>
      <c r="C464" s="1" t="n">
        <v>45976</v>
      </c>
      <c r="D464" t="inlineStr">
        <is>
          <t>NORRBOTTENS LÄN</t>
        </is>
      </c>
      <c r="E464" t="inlineStr">
        <is>
          <t>LULEÅ</t>
        </is>
      </c>
      <c r="G464" t="n">
        <v>17.7</v>
      </c>
      <c r="H464" t="n">
        <v>0</v>
      </c>
      <c r="I464" t="n">
        <v>0</v>
      </c>
      <c r="J464" t="n">
        <v>0</v>
      </c>
      <c r="K464" t="n">
        <v>0</v>
      </c>
      <c r="L464" t="n">
        <v>0</v>
      </c>
      <c r="M464" t="n">
        <v>0</v>
      </c>
      <c r="N464" t="n">
        <v>0</v>
      </c>
      <c r="O464" t="n">
        <v>0</v>
      </c>
      <c r="P464" t="n">
        <v>0</v>
      </c>
      <c r="Q464" t="n">
        <v>0</v>
      </c>
      <c r="R464" s="2" t="inlineStr"/>
    </row>
    <row r="465" ht="15" customHeight="1">
      <c r="A465" t="inlineStr">
        <is>
          <t>A 52319-2025</t>
        </is>
      </c>
      <c r="B465" s="1" t="n">
        <v>45953.65697916667</v>
      </c>
      <c r="C465" s="1" t="n">
        <v>45976</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24979-2024</t>
        </is>
      </c>
      <c r="B466" s="1" t="n">
        <v>45461</v>
      </c>
      <c r="C466" s="1" t="n">
        <v>45976</v>
      </c>
      <c r="D466" t="inlineStr">
        <is>
          <t>NORRBOTTENS LÄN</t>
        </is>
      </c>
      <c r="E466" t="inlineStr">
        <is>
          <t>LULEÅ</t>
        </is>
      </c>
      <c r="G466" t="n">
        <v>16.3</v>
      </c>
      <c r="H466" t="n">
        <v>0</v>
      </c>
      <c r="I466" t="n">
        <v>0</v>
      </c>
      <c r="J466" t="n">
        <v>0</v>
      </c>
      <c r="K466" t="n">
        <v>0</v>
      </c>
      <c r="L466" t="n">
        <v>0</v>
      </c>
      <c r="M466" t="n">
        <v>0</v>
      </c>
      <c r="N466" t="n">
        <v>0</v>
      </c>
      <c r="O466" t="n">
        <v>0</v>
      </c>
      <c r="P466" t="n">
        <v>0</v>
      </c>
      <c r="Q466" t="n">
        <v>0</v>
      </c>
      <c r="R466" s="2" t="inlineStr"/>
    </row>
    <row r="467" ht="15" customHeight="1">
      <c r="A467" t="inlineStr">
        <is>
          <t>A 52684-2025</t>
        </is>
      </c>
      <c r="B467" s="1" t="n">
        <v>45956.34519675926</v>
      </c>
      <c r="C467" s="1" t="n">
        <v>45976</v>
      </c>
      <c r="D467" t="inlineStr">
        <is>
          <t>NORRBOTTENS LÄN</t>
        </is>
      </c>
      <c r="E467" t="inlineStr">
        <is>
          <t>LULEÅ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45976</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37820-2022</t>
        </is>
      </c>
      <c r="B469" s="1" t="n">
        <v>44810</v>
      </c>
      <c r="C469" s="1" t="n">
        <v>45976</v>
      </c>
      <c r="D469" t="inlineStr">
        <is>
          <t>NORRBOTTENS LÄN</t>
        </is>
      </c>
      <c r="E469" t="inlineStr">
        <is>
          <t>LULEÅ</t>
        </is>
      </c>
      <c r="G469" t="n">
        <v>3.1</v>
      </c>
      <c r="H469" t="n">
        <v>0</v>
      </c>
      <c r="I469" t="n">
        <v>0</v>
      </c>
      <c r="J469" t="n">
        <v>0</v>
      </c>
      <c r="K469" t="n">
        <v>0</v>
      </c>
      <c r="L469" t="n">
        <v>0</v>
      </c>
      <c r="M469" t="n">
        <v>0</v>
      </c>
      <c r="N469" t="n">
        <v>0</v>
      </c>
      <c r="O469" t="n">
        <v>0</v>
      </c>
      <c r="P469" t="n">
        <v>0</v>
      </c>
      <c r="Q469" t="n">
        <v>0</v>
      </c>
      <c r="R469" s="2" t="inlineStr"/>
    </row>
    <row r="470" ht="15" customHeight="1">
      <c r="A470" t="inlineStr">
        <is>
          <t>A 52953-2025</t>
        </is>
      </c>
      <c r="B470" s="1" t="n">
        <v>45957.65459490741</v>
      </c>
      <c r="C470" s="1" t="n">
        <v>45976</v>
      </c>
      <c r="D470" t="inlineStr">
        <is>
          <t>NORRBOTTENS LÄN</t>
        </is>
      </c>
      <c r="E470" t="inlineStr">
        <is>
          <t>LULEÅ</t>
        </is>
      </c>
      <c r="G470" t="n">
        <v>11.8</v>
      </c>
      <c r="H470" t="n">
        <v>0</v>
      </c>
      <c r="I470" t="n">
        <v>0</v>
      </c>
      <c r="J470" t="n">
        <v>0</v>
      </c>
      <c r="K470" t="n">
        <v>0</v>
      </c>
      <c r="L470" t="n">
        <v>0</v>
      </c>
      <c r="M470" t="n">
        <v>0</v>
      </c>
      <c r="N470" t="n">
        <v>0</v>
      </c>
      <c r="O470" t="n">
        <v>0</v>
      </c>
      <c r="P470" t="n">
        <v>0</v>
      </c>
      <c r="Q470" t="n">
        <v>0</v>
      </c>
      <c r="R470" s="2" t="inlineStr"/>
    </row>
    <row r="471" ht="15" customHeight="1">
      <c r="A471" t="inlineStr">
        <is>
          <t>A 44006-2025</t>
        </is>
      </c>
      <c r="B471" s="1" t="n">
        <v>45915</v>
      </c>
      <c r="C471" s="1" t="n">
        <v>45976</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52444-2021</t>
        </is>
      </c>
      <c r="B472" s="1" t="n">
        <v>44463</v>
      </c>
      <c r="C472" s="1" t="n">
        <v>45976</v>
      </c>
      <c r="D472" t="inlineStr">
        <is>
          <t>NORRBOTTENS LÄN</t>
        </is>
      </c>
      <c r="E472" t="inlineStr">
        <is>
          <t>LULEÅ</t>
        </is>
      </c>
      <c r="G472" t="n">
        <v>2.1</v>
      </c>
      <c r="H472" t="n">
        <v>0</v>
      </c>
      <c r="I472" t="n">
        <v>0</v>
      </c>
      <c r="J472" t="n">
        <v>0</v>
      </c>
      <c r="K472" t="n">
        <v>0</v>
      </c>
      <c r="L472" t="n">
        <v>0</v>
      </c>
      <c r="M472" t="n">
        <v>0</v>
      </c>
      <c r="N472" t="n">
        <v>0</v>
      </c>
      <c r="O472" t="n">
        <v>0</v>
      </c>
      <c r="P472" t="n">
        <v>0</v>
      </c>
      <c r="Q472" t="n">
        <v>0</v>
      </c>
      <c r="R472" s="2" t="inlineStr"/>
    </row>
    <row r="473" ht="15" customHeight="1">
      <c r="A473" t="inlineStr">
        <is>
          <t>A 43955-2025</t>
        </is>
      </c>
      <c r="B473" s="1" t="n">
        <v>45915</v>
      </c>
      <c r="C473" s="1" t="n">
        <v>45976</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13063-2024</t>
        </is>
      </c>
      <c r="B474" s="1" t="n">
        <v>45385</v>
      </c>
      <c r="C474" s="1" t="n">
        <v>45976</v>
      </c>
      <c r="D474" t="inlineStr">
        <is>
          <t>NORRBOTTENS LÄN</t>
        </is>
      </c>
      <c r="E474" t="inlineStr">
        <is>
          <t>LULEÅ</t>
        </is>
      </c>
      <c r="G474" t="n">
        <v>2.5</v>
      </c>
      <c r="H474" t="n">
        <v>0</v>
      </c>
      <c r="I474" t="n">
        <v>0</v>
      </c>
      <c r="J474" t="n">
        <v>0</v>
      </c>
      <c r="K474" t="n">
        <v>0</v>
      </c>
      <c r="L474" t="n">
        <v>0</v>
      </c>
      <c r="M474" t="n">
        <v>0</v>
      </c>
      <c r="N474" t="n">
        <v>0</v>
      </c>
      <c r="O474" t="n">
        <v>0</v>
      </c>
      <c r="P474" t="n">
        <v>0</v>
      </c>
      <c r="Q474" t="n">
        <v>0</v>
      </c>
      <c r="R474" s="2" t="inlineStr"/>
    </row>
    <row r="475" ht="15" customHeight="1">
      <c r="A475" t="inlineStr">
        <is>
          <t>A 13065-2024</t>
        </is>
      </c>
      <c r="B475" s="1" t="n">
        <v>45385</v>
      </c>
      <c r="C475" s="1" t="n">
        <v>45976</v>
      </c>
      <c r="D475" t="inlineStr">
        <is>
          <t>NORRBOTTENS LÄN</t>
        </is>
      </c>
      <c r="E475" t="inlineStr">
        <is>
          <t>LULEÅ</t>
        </is>
      </c>
      <c r="G475" t="n">
        <v>2.2</v>
      </c>
      <c r="H475" t="n">
        <v>0</v>
      </c>
      <c r="I475" t="n">
        <v>0</v>
      </c>
      <c r="J475" t="n">
        <v>0</v>
      </c>
      <c r="K475" t="n">
        <v>0</v>
      </c>
      <c r="L475" t="n">
        <v>0</v>
      </c>
      <c r="M475" t="n">
        <v>0</v>
      </c>
      <c r="N475" t="n">
        <v>0</v>
      </c>
      <c r="O475" t="n">
        <v>0</v>
      </c>
      <c r="P475" t="n">
        <v>0</v>
      </c>
      <c r="Q475" t="n">
        <v>0</v>
      </c>
      <c r="R475" s="2" t="inlineStr"/>
    </row>
    <row r="476" ht="15" customHeight="1">
      <c r="A476" t="inlineStr">
        <is>
          <t>A 53002-2025</t>
        </is>
      </c>
      <c r="B476" s="1" t="n">
        <v>45957</v>
      </c>
      <c r="C476" s="1" t="n">
        <v>45976</v>
      </c>
      <c r="D476" t="inlineStr">
        <is>
          <t>NORRBOTTENS LÄN</t>
        </is>
      </c>
      <c r="E476" t="inlineStr">
        <is>
          <t>LULEÅ</t>
        </is>
      </c>
      <c r="G476" t="n">
        <v>19.7</v>
      </c>
      <c r="H476" t="n">
        <v>0</v>
      </c>
      <c r="I476" t="n">
        <v>0</v>
      </c>
      <c r="J476" t="n">
        <v>0</v>
      </c>
      <c r="K476" t="n">
        <v>0</v>
      </c>
      <c r="L476" t="n">
        <v>0</v>
      </c>
      <c r="M476" t="n">
        <v>0</v>
      </c>
      <c r="N476" t="n">
        <v>0</v>
      </c>
      <c r="O476" t="n">
        <v>0</v>
      </c>
      <c r="P476" t="n">
        <v>0</v>
      </c>
      <c r="Q476" t="n">
        <v>0</v>
      </c>
      <c r="R476" s="2" t="inlineStr"/>
    </row>
    <row r="477" ht="15" customHeight="1">
      <c r="A477" t="inlineStr">
        <is>
          <t>A 53624-2023</t>
        </is>
      </c>
      <c r="B477" s="1" t="n">
        <v>45224</v>
      </c>
      <c r="C477" s="1" t="n">
        <v>45976</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64240-2023</t>
        </is>
      </c>
      <c r="B478" s="1" t="n">
        <v>45279</v>
      </c>
      <c r="C478" s="1" t="n">
        <v>45976</v>
      </c>
      <c r="D478" t="inlineStr">
        <is>
          <t>NORRBOTTENS LÄN</t>
        </is>
      </c>
      <c r="E478" t="inlineStr">
        <is>
          <t>LULEÅ</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11982-2023</t>
        </is>
      </c>
      <c r="B479" s="1" t="n">
        <v>44994</v>
      </c>
      <c r="C479" s="1" t="n">
        <v>45976</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17898-2025</t>
        </is>
      </c>
      <c r="B480" s="1" t="n">
        <v>45758</v>
      </c>
      <c r="C480" s="1" t="n">
        <v>45976</v>
      </c>
      <c r="D480" t="inlineStr">
        <is>
          <t>NORRBOTTENS LÄN</t>
        </is>
      </c>
      <c r="E480" t="inlineStr">
        <is>
          <t>LULEÅ</t>
        </is>
      </c>
      <c r="G480" t="n">
        <v>2.1</v>
      </c>
      <c r="H480" t="n">
        <v>0</v>
      </c>
      <c r="I480" t="n">
        <v>0</v>
      </c>
      <c r="J480" t="n">
        <v>0</v>
      </c>
      <c r="K480" t="n">
        <v>0</v>
      </c>
      <c r="L480" t="n">
        <v>0</v>
      </c>
      <c r="M480" t="n">
        <v>0</v>
      </c>
      <c r="N480" t="n">
        <v>0</v>
      </c>
      <c r="O480" t="n">
        <v>0</v>
      </c>
      <c r="P480" t="n">
        <v>0</v>
      </c>
      <c r="Q480" t="n">
        <v>0</v>
      </c>
      <c r="R480" s="2" t="inlineStr"/>
    </row>
    <row r="481" ht="15" customHeight="1">
      <c r="A481" t="inlineStr">
        <is>
          <t>A 17900-2025</t>
        </is>
      </c>
      <c r="B481" s="1" t="n">
        <v>45758.69837962963</v>
      </c>
      <c r="C481" s="1" t="n">
        <v>45976</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55195-2022</t>
        </is>
      </c>
      <c r="B482" s="1" t="n">
        <v>44886</v>
      </c>
      <c r="C482" s="1" t="n">
        <v>45976</v>
      </c>
      <c r="D482" t="inlineStr">
        <is>
          <t>NORRBOTTENS LÄN</t>
        </is>
      </c>
      <c r="E482" t="inlineStr">
        <is>
          <t>LULEÅ</t>
        </is>
      </c>
      <c r="G482" t="n">
        <v>0.4</v>
      </c>
      <c r="H482" t="n">
        <v>0</v>
      </c>
      <c r="I482" t="n">
        <v>0</v>
      </c>
      <c r="J482" t="n">
        <v>0</v>
      </c>
      <c r="K482" t="n">
        <v>0</v>
      </c>
      <c r="L482" t="n">
        <v>0</v>
      </c>
      <c r="M482" t="n">
        <v>0</v>
      </c>
      <c r="N482" t="n">
        <v>0</v>
      </c>
      <c r="O482" t="n">
        <v>0</v>
      </c>
      <c r="P482" t="n">
        <v>0</v>
      </c>
      <c r="Q482" t="n">
        <v>0</v>
      </c>
      <c r="R482" s="2" t="inlineStr"/>
    </row>
    <row r="483" ht="15" customHeight="1">
      <c r="A483" t="inlineStr">
        <is>
          <t>A 43953-2025</t>
        </is>
      </c>
      <c r="B483" s="1" t="n">
        <v>45915.38332175926</v>
      </c>
      <c r="C483" s="1" t="n">
        <v>45976</v>
      </c>
      <c r="D483" t="inlineStr">
        <is>
          <t>NORRBOTTENS LÄN</t>
        </is>
      </c>
      <c r="E483" t="inlineStr">
        <is>
          <t>LULEÅ</t>
        </is>
      </c>
      <c r="G483" t="n">
        <v>1.8</v>
      </c>
      <c r="H483" t="n">
        <v>0</v>
      </c>
      <c r="I483" t="n">
        <v>0</v>
      </c>
      <c r="J483" t="n">
        <v>0</v>
      </c>
      <c r="K483" t="n">
        <v>0</v>
      </c>
      <c r="L483" t="n">
        <v>0</v>
      </c>
      <c r="M483" t="n">
        <v>0</v>
      </c>
      <c r="N483" t="n">
        <v>0</v>
      </c>
      <c r="O483" t="n">
        <v>0</v>
      </c>
      <c r="P483" t="n">
        <v>0</v>
      </c>
      <c r="Q483" t="n">
        <v>0</v>
      </c>
      <c r="R483" s="2" t="inlineStr"/>
    </row>
    <row r="484" ht="15" customHeight="1">
      <c r="A484" t="inlineStr">
        <is>
          <t>A 52678-2025</t>
        </is>
      </c>
      <c r="B484" s="1" t="n">
        <v>45956.34459490741</v>
      </c>
      <c r="C484" s="1" t="n">
        <v>45976</v>
      </c>
      <c r="D484" t="inlineStr">
        <is>
          <t>NORRBOTTENS LÄN</t>
        </is>
      </c>
      <c r="E484" t="inlineStr">
        <is>
          <t>LULEÅ</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58759-2023</t>
        </is>
      </c>
      <c r="B485" s="1" t="n">
        <v>45251</v>
      </c>
      <c r="C485" s="1" t="n">
        <v>45976</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52680-2025</t>
        </is>
      </c>
      <c r="B486" s="1" t="n">
        <v>45956.34488425926</v>
      </c>
      <c r="C486" s="1" t="n">
        <v>45976</v>
      </c>
      <c r="D486" t="inlineStr">
        <is>
          <t>NORRBOTTENS LÄN</t>
        </is>
      </c>
      <c r="E486" t="inlineStr">
        <is>
          <t>LULEÅ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52681-2025</t>
        </is>
      </c>
      <c r="B487" s="1" t="n">
        <v>45956.34490740741</v>
      </c>
      <c r="C487" s="1" t="n">
        <v>45976</v>
      </c>
      <c r="D487" t="inlineStr">
        <is>
          <t>NORRBOTTENS LÄN</t>
        </is>
      </c>
      <c r="E487" t="inlineStr">
        <is>
          <t>LULEÅ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43976-2025</t>
        </is>
      </c>
      <c r="B488" s="1" t="n">
        <v>45915</v>
      </c>
      <c r="C488" s="1" t="n">
        <v>45976</v>
      </c>
      <c r="D488" t="inlineStr">
        <is>
          <t>NORRBOTTENS LÄN</t>
        </is>
      </c>
      <c r="E488" t="inlineStr">
        <is>
          <t>LULEÅ</t>
        </is>
      </c>
      <c r="G488" t="n">
        <v>6.2</v>
      </c>
      <c r="H488" t="n">
        <v>0</v>
      </c>
      <c r="I488" t="n">
        <v>0</v>
      </c>
      <c r="J488" t="n">
        <v>0</v>
      </c>
      <c r="K488" t="n">
        <v>0</v>
      </c>
      <c r="L488" t="n">
        <v>0</v>
      </c>
      <c r="M488" t="n">
        <v>0</v>
      </c>
      <c r="N488" t="n">
        <v>0</v>
      </c>
      <c r="O488" t="n">
        <v>0</v>
      </c>
      <c r="P488" t="n">
        <v>0</v>
      </c>
      <c r="Q488" t="n">
        <v>0</v>
      </c>
      <c r="R488" s="2" t="inlineStr"/>
    </row>
    <row r="489" ht="15" customHeight="1">
      <c r="A489" t="inlineStr">
        <is>
          <t>A 12116-2025</t>
        </is>
      </c>
      <c r="B489" s="1" t="n">
        <v>45729.36509259259</v>
      </c>
      <c r="C489" s="1" t="n">
        <v>45976</v>
      </c>
      <c r="D489" t="inlineStr">
        <is>
          <t>NORRBOTTENS LÄN</t>
        </is>
      </c>
      <c r="E489" t="inlineStr">
        <is>
          <t>LULEÅ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1312-2024</t>
        </is>
      </c>
      <c r="B490" s="1" t="n">
        <v>45303</v>
      </c>
      <c r="C490" s="1" t="n">
        <v>45976</v>
      </c>
      <c r="D490" t="inlineStr">
        <is>
          <t>NORRBOTTENS LÄN</t>
        </is>
      </c>
      <c r="E490" t="inlineStr">
        <is>
          <t>LULEÅ</t>
        </is>
      </c>
      <c r="F490" t="inlineStr">
        <is>
          <t>Kyrkan</t>
        </is>
      </c>
      <c r="G490" t="n">
        <v>1</v>
      </c>
      <c r="H490" t="n">
        <v>0</v>
      </c>
      <c r="I490" t="n">
        <v>0</v>
      </c>
      <c r="J490" t="n">
        <v>0</v>
      </c>
      <c r="K490" t="n">
        <v>0</v>
      </c>
      <c r="L490" t="n">
        <v>0</v>
      </c>
      <c r="M490" t="n">
        <v>0</v>
      </c>
      <c r="N490" t="n">
        <v>0</v>
      </c>
      <c r="O490" t="n">
        <v>0</v>
      </c>
      <c r="P490" t="n">
        <v>0</v>
      </c>
      <c r="Q490" t="n">
        <v>0</v>
      </c>
      <c r="R490" s="2" t="inlineStr"/>
    </row>
    <row r="491" ht="15" customHeight="1">
      <c r="A491" t="inlineStr">
        <is>
          <t>A 53003-2025</t>
        </is>
      </c>
      <c r="B491" s="1" t="n">
        <v>45957</v>
      </c>
      <c r="C491" s="1" t="n">
        <v>45976</v>
      </c>
      <c r="D491" t="inlineStr">
        <is>
          <t>NORRBOTTENS LÄN</t>
        </is>
      </c>
      <c r="E491" t="inlineStr">
        <is>
          <t>LULEÅ</t>
        </is>
      </c>
      <c r="G491" t="n">
        <v>5.4</v>
      </c>
      <c r="H491" t="n">
        <v>0</v>
      </c>
      <c r="I491" t="n">
        <v>0</v>
      </c>
      <c r="J491" t="n">
        <v>0</v>
      </c>
      <c r="K491" t="n">
        <v>0</v>
      </c>
      <c r="L491" t="n">
        <v>0</v>
      </c>
      <c r="M491" t="n">
        <v>0</v>
      </c>
      <c r="N491" t="n">
        <v>0</v>
      </c>
      <c r="O491" t="n">
        <v>0</v>
      </c>
      <c r="P491" t="n">
        <v>0</v>
      </c>
      <c r="Q491" t="n">
        <v>0</v>
      </c>
      <c r="R491" s="2" t="inlineStr"/>
    </row>
    <row r="492" ht="15" customHeight="1">
      <c r="A492" t="inlineStr">
        <is>
          <t>A 52549-2025</t>
        </is>
      </c>
      <c r="B492" s="1" t="n">
        <v>45954.55297453704</v>
      </c>
      <c r="C492" s="1" t="n">
        <v>45976</v>
      </c>
      <c r="D492" t="inlineStr">
        <is>
          <t>NORRBOTTENS LÄN</t>
        </is>
      </c>
      <c r="E492" t="inlineStr">
        <is>
          <t>LULEÅ</t>
        </is>
      </c>
      <c r="G492" t="n">
        <v>2</v>
      </c>
      <c r="H492" t="n">
        <v>0</v>
      </c>
      <c r="I492" t="n">
        <v>0</v>
      </c>
      <c r="J492" t="n">
        <v>0</v>
      </c>
      <c r="K492" t="n">
        <v>0</v>
      </c>
      <c r="L492" t="n">
        <v>0</v>
      </c>
      <c r="M492" t="n">
        <v>0</v>
      </c>
      <c r="N492" t="n">
        <v>0</v>
      </c>
      <c r="O492" t="n">
        <v>0</v>
      </c>
      <c r="P492" t="n">
        <v>0</v>
      </c>
      <c r="Q492" t="n">
        <v>0</v>
      </c>
      <c r="R492" s="2" t="inlineStr"/>
    </row>
    <row r="493" ht="15" customHeight="1">
      <c r="A493" t="inlineStr">
        <is>
          <t>A 44662-2025</t>
        </is>
      </c>
      <c r="B493" s="1" t="n">
        <v>45917.55898148148</v>
      </c>
      <c r="C493" s="1" t="n">
        <v>45976</v>
      </c>
      <c r="D493" t="inlineStr">
        <is>
          <t>NORRBOTTENS LÄN</t>
        </is>
      </c>
      <c r="E493" t="inlineStr">
        <is>
          <t>LULEÅ</t>
        </is>
      </c>
      <c r="G493" t="n">
        <v>8.6</v>
      </c>
      <c r="H493" t="n">
        <v>0</v>
      </c>
      <c r="I493" t="n">
        <v>0</v>
      </c>
      <c r="J493" t="n">
        <v>0</v>
      </c>
      <c r="K493" t="n">
        <v>0</v>
      </c>
      <c r="L493" t="n">
        <v>0</v>
      </c>
      <c r="M493" t="n">
        <v>0</v>
      </c>
      <c r="N493" t="n">
        <v>0</v>
      </c>
      <c r="O493" t="n">
        <v>0</v>
      </c>
      <c r="P493" t="n">
        <v>0</v>
      </c>
      <c r="Q493" t="n">
        <v>0</v>
      </c>
      <c r="R493" s="2" t="inlineStr"/>
    </row>
    <row r="494" ht="15" customHeight="1">
      <c r="A494" t="inlineStr">
        <is>
          <t>A 46158-2021</t>
        </is>
      </c>
      <c r="B494" s="1" t="n">
        <v>44442.43422453704</v>
      </c>
      <c r="C494" s="1" t="n">
        <v>45976</v>
      </c>
      <c r="D494" t="inlineStr">
        <is>
          <t>NORRBOTTENS LÄN</t>
        </is>
      </c>
      <c r="E494" t="inlineStr">
        <is>
          <t>LULEÅ</t>
        </is>
      </c>
      <c r="G494" t="n">
        <v>4.8</v>
      </c>
      <c r="H494" t="n">
        <v>0</v>
      </c>
      <c r="I494" t="n">
        <v>0</v>
      </c>
      <c r="J494" t="n">
        <v>0</v>
      </c>
      <c r="K494" t="n">
        <v>0</v>
      </c>
      <c r="L494" t="n">
        <v>0</v>
      </c>
      <c r="M494" t="n">
        <v>0</v>
      </c>
      <c r="N494" t="n">
        <v>0</v>
      </c>
      <c r="O494" t="n">
        <v>0</v>
      </c>
      <c r="P494" t="n">
        <v>0</v>
      </c>
      <c r="Q494" t="n">
        <v>0</v>
      </c>
      <c r="R494" s="2" t="inlineStr"/>
    </row>
    <row r="495" ht="15" customHeight="1">
      <c r="A495" t="inlineStr">
        <is>
          <t>A 57327-2024</t>
        </is>
      </c>
      <c r="B495" s="1" t="n">
        <v>45629.62572916667</v>
      </c>
      <c r="C495" s="1" t="n">
        <v>45976</v>
      </c>
      <c r="D495" t="inlineStr">
        <is>
          <t>NORRBOTTENS LÄN</t>
        </is>
      </c>
      <c r="E495" t="inlineStr">
        <is>
          <t>LULEÅ</t>
        </is>
      </c>
      <c r="F495" t="inlineStr">
        <is>
          <t>Övriga Aktiebolag</t>
        </is>
      </c>
      <c r="G495" t="n">
        <v>6.5</v>
      </c>
      <c r="H495" t="n">
        <v>0</v>
      </c>
      <c r="I495" t="n">
        <v>0</v>
      </c>
      <c r="J495" t="n">
        <v>0</v>
      </c>
      <c r="K495" t="n">
        <v>0</v>
      </c>
      <c r="L495" t="n">
        <v>0</v>
      </c>
      <c r="M495" t="n">
        <v>0</v>
      </c>
      <c r="N495" t="n">
        <v>0</v>
      </c>
      <c r="O495" t="n">
        <v>0</v>
      </c>
      <c r="P495" t="n">
        <v>0</v>
      </c>
      <c r="Q495" t="n">
        <v>0</v>
      </c>
      <c r="R495" s="2" t="inlineStr"/>
    </row>
    <row r="496" ht="15" customHeight="1">
      <c r="A496" t="inlineStr">
        <is>
          <t>A 115-2025</t>
        </is>
      </c>
      <c r="B496" s="1" t="n">
        <v>45659.51613425926</v>
      </c>
      <c r="C496" s="1" t="n">
        <v>45976</v>
      </c>
      <c r="D496" t="inlineStr">
        <is>
          <t>NORRBOTTENS LÄN</t>
        </is>
      </c>
      <c r="E496" t="inlineStr">
        <is>
          <t>LULEÅ</t>
        </is>
      </c>
      <c r="G496" t="n">
        <v>4.3</v>
      </c>
      <c r="H496" t="n">
        <v>0</v>
      </c>
      <c r="I496" t="n">
        <v>0</v>
      </c>
      <c r="J496" t="n">
        <v>0</v>
      </c>
      <c r="K496" t="n">
        <v>0</v>
      </c>
      <c r="L496" t="n">
        <v>0</v>
      </c>
      <c r="M496" t="n">
        <v>0</v>
      </c>
      <c r="N496" t="n">
        <v>0</v>
      </c>
      <c r="O496" t="n">
        <v>0</v>
      </c>
      <c r="P496" t="n">
        <v>0</v>
      </c>
      <c r="Q496" t="n">
        <v>0</v>
      </c>
      <c r="R496" s="2" t="inlineStr"/>
    </row>
    <row r="497" ht="15" customHeight="1">
      <c r="A497" t="inlineStr">
        <is>
          <t>A 44462-2025</t>
        </is>
      </c>
      <c r="B497" s="1" t="n">
        <v>45916</v>
      </c>
      <c r="C497" s="1" t="n">
        <v>45976</v>
      </c>
      <c r="D497" t="inlineStr">
        <is>
          <t>NORRBOTTENS LÄN</t>
        </is>
      </c>
      <c r="E497" t="inlineStr">
        <is>
          <t>LULEÅ</t>
        </is>
      </c>
      <c r="G497" t="n">
        <v>5</v>
      </c>
      <c r="H497" t="n">
        <v>0</v>
      </c>
      <c r="I497" t="n">
        <v>0</v>
      </c>
      <c r="J497" t="n">
        <v>0</v>
      </c>
      <c r="K497" t="n">
        <v>0</v>
      </c>
      <c r="L497" t="n">
        <v>0</v>
      </c>
      <c r="M497" t="n">
        <v>0</v>
      </c>
      <c r="N497" t="n">
        <v>0</v>
      </c>
      <c r="O497" t="n">
        <v>0</v>
      </c>
      <c r="P497" t="n">
        <v>0</v>
      </c>
      <c r="Q497" t="n">
        <v>0</v>
      </c>
      <c r="R497" s="2" t="inlineStr"/>
    </row>
    <row r="498" ht="15" customHeight="1">
      <c r="A498" t="inlineStr">
        <is>
          <t>A 44463-2025</t>
        </is>
      </c>
      <c r="B498" s="1" t="n">
        <v>45916</v>
      </c>
      <c r="C498" s="1" t="n">
        <v>45976</v>
      </c>
      <c r="D498" t="inlineStr">
        <is>
          <t>NORRBOTTENS LÄN</t>
        </is>
      </c>
      <c r="E498" t="inlineStr">
        <is>
          <t>LULEÅ</t>
        </is>
      </c>
      <c r="G498" t="n">
        <v>1.7</v>
      </c>
      <c r="H498" t="n">
        <v>0</v>
      </c>
      <c r="I498" t="n">
        <v>0</v>
      </c>
      <c r="J498" t="n">
        <v>0</v>
      </c>
      <c r="K498" t="n">
        <v>0</v>
      </c>
      <c r="L498" t="n">
        <v>0</v>
      </c>
      <c r="M498" t="n">
        <v>0</v>
      </c>
      <c r="N498" t="n">
        <v>0</v>
      </c>
      <c r="O498" t="n">
        <v>0</v>
      </c>
      <c r="P498" t="n">
        <v>0</v>
      </c>
      <c r="Q498" t="n">
        <v>0</v>
      </c>
      <c r="R498" s="2" t="inlineStr"/>
    </row>
    <row r="499" ht="15" customHeight="1">
      <c r="A499" t="inlineStr">
        <is>
          <t>A 62061-2022</t>
        </is>
      </c>
      <c r="B499" s="1" t="n">
        <v>44914</v>
      </c>
      <c r="C499" s="1" t="n">
        <v>45976</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3895-2025</t>
        </is>
      </c>
      <c r="B500" s="1" t="n">
        <v>45683</v>
      </c>
      <c r="C500" s="1" t="n">
        <v>45976</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51136-2025</t>
        </is>
      </c>
      <c r="B501" s="1" t="n">
        <v>45947.55820601852</v>
      </c>
      <c r="C501" s="1" t="n">
        <v>45976</v>
      </c>
      <c r="D501" t="inlineStr">
        <is>
          <t>NORRBOTTENS LÄN</t>
        </is>
      </c>
      <c r="E501" t="inlineStr">
        <is>
          <t>LULEÅ</t>
        </is>
      </c>
      <c r="G501" t="n">
        <v>3.3</v>
      </c>
      <c r="H501" t="n">
        <v>0</v>
      </c>
      <c r="I501" t="n">
        <v>0</v>
      </c>
      <c r="J501" t="n">
        <v>0</v>
      </c>
      <c r="K501" t="n">
        <v>0</v>
      </c>
      <c r="L501" t="n">
        <v>0</v>
      </c>
      <c r="M501" t="n">
        <v>0</v>
      </c>
      <c r="N501" t="n">
        <v>0</v>
      </c>
      <c r="O501" t="n">
        <v>0</v>
      </c>
      <c r="P501" t="n">
        <v>0</v>
      </c>
      <c r="Q501" t="n">
        <v>0</v>
      </c>
      <c r="R501" s="2" t="inlineStr"/>
    </row>
    <row r="502" ht="15" customHeight="1">
      <c r="A502" t="inlineStr">
        <is>
          <t>A 38885-2023</t>
        </is>
      </c>
      <c r="B502" s="1" t="n">
        <v>45161</v>
      </c>
      <c r="C502" s="1" t="n">
        <v>45976</v>
      </c>
      <c r="D502" t="inlineStr">
        <is>
          <t>NORRBOTTENS LÄN</t>
        </is>
      </c>
      <c r="E502" t="inlineStr">
        <is>
          <t>LULEÅ</t>
        </is>
      </c>
      <c r="G502" t="n">
        <v>0.4</v>
      </c>
      <c r="H502" t="n">
        <v>0</v>
      </c>
      <c r="I502" t="n">
        <v>0</v>
      </c>
      <c r="J502" t="n">
        <v>0</v>
      </c>
      <c r="K502" t="n">
        <v>0</v>
      </c>
      <c r="L502" t="n">
        <v>0</v>
      </c>
      <c r="M502" t="n">
        <v>0</v>
      </c>
      <c r="N502" t="n">
        <v>0</v>
      </c>
      <c r="O502" t="n">
        <v>0</v>
      </c>
      <c r="P502" t="n">
        <v>0</v>
      </c>
      <c r="Q502" t="n">
        <v>0</v>
      </c>
      <c r="R502" s="2" t="inlineStr"/>
    </row>
    <row r="503" ht="15" customHeight="1">
      <c r="A503" t="inlineStr">
        <is>
          <t>A 19533-2025</t>
        </is>
      </c>
      <c r="B503" s="1" t="n">
        <v>45770.47331018518</v>
      </c>
      <c r="C503" s="1" t="n">
        <v>45976</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17290-2025</t>
        </is>
      </c>
      <c r="B504" s="1" t="n">
        <v>45756.58515046296</v>
      </c>
      <c r="C504" s="1" t="n">
        <v>45976</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44443-2025</t>
        </is>
      </c>
      <c r="B505" s="1" t="n">
        <v>45916</v>
      </c>
      <c r="C505" s="1" t="n">
        <v>45976</v>
      </c>
      <c r="D505" t="inlineStr">
        <is>
          <t>NORRBOTTENS LÄN</t>
        </is>
      </c>
      <c r="E505" t="inlineStr">
        <is>
          <t>LULEÅ</t>
        </is>
      </c>
      <c r="G505" t="n">
        <v>8.9</v>
      </c>
      <c r="H505" t="n">
        <v>0</v>
      </c>
      <c r="I505" t="n">
        <v>0</v>
      </c>
      <c r="J505" t="n">
        <v>0</v>
      </c>
      <c r="K505" t="n">
        <v>0</v>
      </c>
      <c r="L505" t="n">
        <v>0</v>
      </c>
      <c r="M505" t="n">
        <v>0</v>
      </c>
      <c r="N505" t="n">
        <v>0</v>
      </c>
      <c r="O505" t="n">
        <v>0</v>
      </c>
      <c r="P505" t="n">
        <v>0</v>
      </c>
      <c r="Q505" t="n">
        <v>0</v>
      </c>
      <c r="R505" s="2" t="inlineStr"/>
    </row>
    <row r="506" ht="15" customHeight="1">
      <c r="A506" t="inlineStr">
        <is>
          <t>A 53264-2025</t>
        </is>
      </c>
      <c r="B506" s="1" t="n">
        <v>45958.67831018518</v>
      </c>
      <c r="C506" s="1" t="n">
        <v>45976</v>
      </c>
      <c r="D506" t="inlineStr">
        <is>
          <t>NORRBOTTENS LÄN</t>
        </is>
      </c>
      <c r="E506" t="inlineStr">
        <is>
          <t>LULEÅ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28150-2024</t>
        </is>
      </c>
      <c r="B507" s="1" t="n">
        <v>45476.76228009259</v>
      </c>
      <c r="C507" s="1" t="n">
        <v>45976</v>
      </c>
      <c r="D507" t="inlineStr">
        <is>
          <t>NORRBOTTENS LÄN</t>
        </is>
      </c>
      <c r="E507" t="inlineStr">
        <is>
          <t>LULEÅ</t>
        </is>
      </c>
      <c r="G507" t="n">
        <v>4</v>
      </c>
      <c r="H507" t="n">
        <v>0</v>
      </c>
      <c r="I507" t="n">
        <v>0</v>
      </c>
      <c r="J507" t="n">
        <v>0</v>
      </c>
      <c r="K507" t="n">
        <v>0</v>
      </c>
      <c r="L507" t="n">
        <v>0</v>
      </c>
      <c r="M507" t="n">
        <v>0</v>
      </c>
      <c r="N507" t="n">
        <v>0</v>
      </c>
      <c r="O507" t="n">
        <v>0</v>
      </c>
      <c r="P507" t="n">
        <v>0</v>
      </c>
      <c r="Q507" t="n">
        <v>0</v>
      </c>
      <c r="R507" s="2" t="inlineStr"/>
    </row>
    <row r="508" ht="15" customHeight="1">
      <c r="A508" t="inlineStr">
        <is>
          <t>A 60651-2023</t>
        </is>
      </c>
      <c r="B508" s="1" t="n">
        <v>45260</v>
      </c>
      <c r="C508" s="1" t="n">
        <v>45976</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8271-2025</t>
        </is>
      </c>
      <c r="B509" s="1" t="n">
        <v>45708</v>
      </c>
      <c r="C509" s="1" t="n">
        <v>45976</v>
      </c>
      <c r="D509" t="inlineStr">
        <is>
          <t>NORRBOTTENS LÄN</t>
        </is>
      </c>
      <c r="E509" t="inlineStr">
        <is>
          <t>LULEÅ</t>
        </is>
      </c>
      <c r="G509" t="n">
        <v>11.4</v>
      </c>
      <c r="H509" t="n">
        <v>0</v>
      </c>
      <c r="I509" t="n">
        <v>0</v>
      </c>
      <c r="J509" t="n">
        <v>0</v>
      </c>
      <c r="K509" t="n">
        <v>0</v>
      </c>
      <c r="L509" t="n">
        <v>0</v>
      </c>
      <c r="M509" t="n">
        <v>0</v>
      </c>
      <c r="N509" t="n">
        <v>0</v>
      </c>
      <c r="O509" t="n">
        <v>0</v>
      </c>
      <c r="P509" t="n">
        <v>0</v>
      </c>
      <c r="Q509" t="n">
        <v>0</v>
      </c>
      <c r="R509" s="2" t="inlineStr"/>
    </row>
    <row r="510" ht="15" customHeight="1">
      <c r="A510" t="inlineStr">
        <is>
          <t>A 1513-2025</t>
        </is>
      </c>
      <c r="B510" s="1" t="n">
        <v>45670.45391203704</v>
      </c>
      <c r="C510" s="1" t="n">
        <v>45976</v>
      </c>
      <c r="D510" t="inlineStr">
        <is>
          <t>NORRBOTTENS LÄN</t>
        </is>
      </c>
      <c r="E510" t="inlineStr">
        <is>
          <t>LULEÅ</t>
        </is>
      </c>
      <c r="G510" t="n">
        <v>1.9</v>
      </c>
      <c r="H510" t="n">
        <v>0</v>
      </c>
      <c r="I510" t="n">
        <v>0</v>
      </c>
      <c r="J510" t="n">
        <v>0</v>
      </c>
      <c r="K510" t="n">
        <v>0</v>
      </c>
      <c r="L510" t="n">
        <v>0</v>
      </c>
      <c r="M510" t="n">
        <v>0</v>
      </c>
      <c r="N510" t="n">
        <v>0</v>
      </c>
      <c r="O510" t="n">
        <v>0</v>
      </c>
      <c r="P510" t="n">
        <v>0</v>
      </c>
      <c r="Q510" t="n">
        <v>0</v>
      </c>
      <c r="R510" s="2" t="inlineStr"/>
    </row>
    <row r="511" ht="15" customHeight="1">
      <c r="A511" t="inlineStr">
        <is>
          <t>A 53704-2025</t>
        </is>
      </c>
      <c r="B511" s="1" t="n">
        <v>45960.60210648148</v>
      </c>
      <c r="C511" s="1" t="n">
        <v>45976</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45000-2025</t>
        </is>
      </c>
      <c r="B512" s="1" t="n">
        <v>45918</v>
      </c>
      <c r="C512" s="1" t="n">
        <v>45976</v>
      </c>
      <c r="D512" t="inlineStr">
        <is>
          <t>NORRBOTTENS LÄN</t>
        </is>
      </c>
      <c r="E512" t="inlineStr">
        <is>
          <t>LULEÅ</t>
        </is>
      </c>
      <c r="G512" t="n">
        <v>4</v>
      </c>
      <c r="H512" t="n">
        <v>0</v>
      </c>
      <c r="I512" t="n">
        <v>0</v>
      </c>
      <c r="J512" t="n">
        <v>0</v>
      </c>
      <c r="K512" t="n">
        <v>0</v>
      </c>
      <c r="L512" t="n">
        <v>0</v>
      </c>
      <c r="M512" t="n">
        <v>0</v>
      </c>
      <c r="N512" t="n">
        <v>0</v>
      </c>
      <c r="O512" t="n">
        <v>0</v>
      </c>
      <c r="P512" t="n">
        <v>0</v>
      </c>
      <c r="Q512" t="n">
        <v>0</v>
      </c>
      <c r="R512" s="2" t="inlineStr"/>
    </row>
    <row r="513" ht="15" customHeight="1">
      <c r="A513" t="inlineStr">
        <is>
          <t>A 52667-2024</t>
        </is>
      </c>
      <c r="B513" s="1" t="n">
        <v>45610</v>
      </c>
      <c r="C513" s="1" t="n">
        <v>45976</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53780-2025</t>
        </is>
      </c>
      <c r="B514" s="1" t="n">
        <v>45960.6988425926</v>
      </c>
      <c r="C514" s="1" t="n">
        <v>45976</v>
      </c>
      <c r="D514" t="inlineStr">
        <is>
          <t>NORRBOTTENS LÄN</t>
        </is>
      </c>
      <c r="E514" t="inlineStr">
        <is>
          <t>LULEÅ</t>
        </is>
      </c>
      <c r="G514" t="n">
        <v>5.2</v>
      </c>
      <c r="H514" t="n">
        <v>0</v>
      </c>
      <c r="I514" t="n">
        <v>0</v>
      </c>
      <c r="J514" t="n">
        <v>0</v>
      </c>
      <c r="K514" t="n">
        <v>0</v>
      </c>
      <c r="L514" t="n">
        <v>0</v>
      </c>
      <c r="M514" t="n">
        <v>0</v>
      </c>
      <c r="N514" t="n">
        <v>0</v>
      </c>
      <c r="O514" t="n">
        <v>0</v>
      </c>
      <c r="P514" t="n">
        <v>0</v>
      </c>
      <c r="Q514" t="n">
        <v>0</v>
      </c>
      <c r="R514" s="2" t="inlineStr"/>
    </row>
    <row r="515" ht="15" customHeight="1">
      <c r="A515" t="inlineStr">
        <is>
          <t>A 54824-2022</t>
        </is>
      </c>
      <c r="B515" s="1" t="n">
        <v>44883.92393518519</v>
      </c>
      <c r="C515" s="1" t="n">
        <v>45976</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34992-2024</t>
        </is>
      </c>
      <c r="B516" s="1" t="n">
        <v>45527</v>
      </c>
      <c r="C516" s="1" t="n">
        <v>45976</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44982-2025</t>
        </is>
      </c>
      <c r="B517" s="1" t="n">
        <v>45918</v>
      </c>
      <c r="C517" s="1" t="n">
        <v>45976</v>
      </c>
      <c r="D517" t="inlineStr">
        <is>
          <t>NORRBOTTENS LÄN</t>
        </is>
      </c>
      <c r="E517" t="inlineStr">
        <is>
          <t>LULEÅ</t>
        </is>
      </c>
      <c r="G517" t="n">
        <v>13.7</v>
      </c>
      <c r="H517" t="n">
        <v>0</v>
      </c>
      <c r="I517" t="n">
        <v>0</v>
      </c>
      <c r="J517" t="n">
        <v>0</v>
      </c>
      <c r="K517" t="n">
        <v>0</v>
      </c>
      <c r="L517" t="n">
        <v>0</v>
      </c>
      <c r="M517" t="n">
        <v>0</v>
      </c>
      <c r="N517" t="n">
        <v>0</v>
      </c>
      <c r="O517" t="n">
        <v>0</v>
      </c>
      <c r="P517" t="n">
        <v>0</v>
      </c>
      <c r="Q517" t="n">
        <v>0</v>
      </c>
      <c r="R517" s="2" t="inlineStr"/>
    </row>
    <row r="518" ht="15" customHeight="1">
      <c r="A518" t="inlineStr">
        <is>
          <t>A 52697-2023</t>
        </is>
      </c>
      <c r="B518" s="1" t="n">
        <v>45219</v>
      </c>
      <c r="C518" s="1" t="n">
        <v>45976</v>
      </c>
      <c r="D518" t="inlineStr">
        <is>
          <t>NORRBOTTENS LÄN</t>
        </is>
      </c>
      <c r="E518" t="inlineStr">
        <is>
          <t>LULEÅ</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54398-2025</t>
        </is>
      </c>
      <c r="B519" s="1" t="n">
        <v>45965.44887731481</v>
      </c>
      <c r="C519" s="1" t="n">
        <v>45976</v>
      </c>
      <c r="D519" t="inlineStr">
        <is>
          <t>NORRBOTTENS LÄN</t>
        </is>
      </c>
      <c r="E519" t="inlineStr">
        <is>
          <t>LULEÅ</t>
        </is>
      </c>
      <c r="G519" t="n">
        <v>8.6</v>
      </c>
      <c r="H519" t="n">
        <v>0</v>
      </c>
      <c r="I519" t="n">
        <v>0</v>
      </c>
      <c r="J519" t="n">
        <v>0</v>
      </c>
      <c r="K519" t="n">
        <v>0</v>
      </c>
      <c r="L519" t="n">
        <v>0</v>
      </c>
      <c r="M519" t="n">
        <v>0</v>
      </c>
      <c r="N519" t="n">
        <v>0</v>
      </c>
      <c r="O519" t="n">
        <v>0</v>
      </c>
      <c r="P519" t="n">
        <v>0</v>
      </c>
      <c r="Q519" t="n">
        <v>0</v>
      </c>
      <c r="R519" s="2" t="inlineStr"/>
    </row>
    <row r="520" ht="15" customHeight="1">
      <c r="A520" t="inlineStr">
        <is>
          <t>A 23516-2025</t>
        </is>
      </c>
      <c r="B520" s="1" t="n">
        <v>45792</v>
      </c>
      <c r="C520" s="1" t="n">
        <v>45976</v>
      </c>
      <c r="D520" t="inlineStr">
        <is>
          <t>NORRBOTTENS LÄN</t>
        </is>
      </c>
      <c r="E520" t="inlineStr">
        <is>
          <t>LULEÅ</t>
        </is>
      </c>
      <c r="G520" t="n">
        <v>2.7</v>
      </c>
      <c r="H520" t="n">
        <v>0</v>
      </c>
      <c r="I520" t="n">
        <v>0</v>
      </c>
      <c r="J520" t="n">
        <v>0</v>
      </c>
      <c r="K520" t="n">
        <v>0</v>
      </c>
      <c r="L520" t="n">
        <v>0</v>
      </c>
      <c r="M520" t="n">
        <v>0</v>
      </c>
      <c r="N520" t="n">
        <v>0</v>
      </c>
      <c r="O520" t="n">
        <v>0</v>
      </c>
      <c r="P520" t="n">
        <v>0</v>
      </c>
      <c r="Q520" t="n">
        <v>0</v>
      </c>
      <c r="R520" s="2" t="inlineStr"/>
    </row>
    <row r="521" ht="15" customHeight="1">
      <c r="A521" t="inlineStr">
        <is>
          <t>A 23519-2025</t>
        </is>
      </c>
      <c r="B521" s="1" t="n">
        <v>45792.51074074074</v>
      </c>
      <c r="C521" s="1" t="n">
        <v>45976</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45472-2025</t>
        </is>
      </c>
      <c r="B522" s="1" t="n">
        <v>45922.5109837963</v>
      </c>
      <c r="C522" s="1" t="n">
        <v>45976</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53836-2024</t>
        </is>
      </c>
      <c r="B523" s="1" t="n">
        <v>45615.62185185185</v>
      </c>
      <c r="C523" s="1" t="n">
        <v>45976</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23520-2025</t>
        </is>
      </c>
      <c r="B524" s="1" t="n">
        <v>45792.51074074074</v>
      </c>
      <c r="C524" s="1" t="n">
        <v>45976</v>
      </c>
      <c r="D524" t="inlineStr">
        <is>
          <t>NORRBOTTENS LÄN</t>
        </is>
      </c>
      <c r="E524" t="inlineStr">
        <is>
          <t>LULEÅ</t>
        </is>
      </c>
      <c r="G524" t="n">
        <v>3.2</v>
      </c>
      <c r="H524" t="n">
        <v>0</v>
      </c>
      <c r="I524" t="n">
        <v>0</v>
      </c>
      <c r="J524" t="n">
        <v>0</v>
      </c>
      <c r="K524" t="n">
        <v>0</v>
      </c>
      <c r="L524" t="n">
        <v>0</v>
      </c>
      <c r="M524" t="n">
        <v>0</v>
      </c>
      <c r="N524" t="n">
        <v>0</v>
      </c>
      <c r="O524" t="n">
        <v>0</v>
      </c>
      <c r="P524" t="n">
        <v>0</v>
      </c>
      <c r="Q524" t="n">
        <v>0</v>
      </c>
      <c r="R524" s="2" t="inlineStr"/>
    </row>
    <row r="525" ht="15" customHeight="1">
      <c r="A525" t="inlineStr">
        <is>
          <t>A 23524-2025</t>
        </is>
      </c>
      <c r="B525" s="1" t="n">
        <v>45792</v>
      </c>
      <c r="C525" s="1" t="n">
        <v>45976</v>
      </c>
      <c r="D525" t="inlineStr">
        <is>
          <t>NORRBOTTENS LÄN</t>
        </is>
      </c>
      <c r="E525" t="inlineStr">
        <is>
          <t>LULEÅ</t>
        </is>
      </c>
      <c r="G525" t="n">
        <v>6.5</v>
      </c>
      <c r="H525" t="n">
        <v>0</v>
      </c>
      <c r="I525" t="n">
        <v>0</v>
      </c>
      <c r="J525" t="n">
        <v>0</v>
      </c>
      <c r="K525" t="n">
        <v>0</v>
      </c>
      <c r="L525" t="n">
        <v>0</v>
      </c>
      <c r="M525" t="n">
        <v>0</v>
      </c>
      <c r="N525" t="n">
        <v>0</v>
      </c>
      <c r="O525" t="n">
        <v>0</v>
      </c>
      <c r="P525" t="n">
        <v>0</v>
      </c>
      <c r="Q525" t="n">
        <v>0</v>
      </c>
      <c r="R525" s="2" t="inlineStr"/>
    </row>
    <row r="526" ht="15" customHeight="1">
      <c r="A526" t="inlineStr">
        <is>
          <t>A 23505-2025</t>
        </is>
      </c>
      <c r="B526" s="1" t="n">
        <v>45792</v>
      </c>
      <c r="C526" s="1" t="n">
        <v>45976</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30950-2024</t>
        </is>
      </c>
      <c r="B527" s="1" t="n">
        <v>45499</v>
      </c>
      <c r="C527" s="1" t="n">
        <v>45976</v>
      </c>
      <c r="D527" t="inlineStr">
        <is>
          <t>NORRBOTTENS LÄN</t>
        </is>
      </c>
      <c r="E527" t="inlineStr">
        <is>
          <t>LULEÅ</t>
        </is>
      </c>
      <c r="G527" t="n">
        <v>2.3</v>
      </c>
      <c r="H527" t="n">
        <v>0</v>
      </c>
      <c r="I527" t="n">
        <v>0</v>
      </c>
      <c r="J527" t="n">
        <v>0</v>
      </c>
      <c r="K527" t="n">
        <v>0</v>
      </c>
      <c r="L527" t="n">
        <v>0</v>
      </c>
      <c r="M527" t="n">
        <v>0</v>
      </c>
      <c r="N527" t="n">
        <v>0</v>
      </c>
      <c r="O527" t="n">
        <v>0</v>
      </c>
      <c r="P527" t="n">
        <v>0</v>
      </c>
      <c r="Q527" t="n">
        <v>0</v>
      </c>
      <c r="R527" s="2" t="inlineStr"/>
    </row>
    <row r="528" ht="15" customHeight="1">
      <c r="A528" t="inlineStr">
        <is>
          <t>A 57264-2022</t>
        </is>
      </c>
      <c r="B528" s="1" t="n">
        <v>44895</v>
      </c>
      <c r="C528" s="1" t="n">
        <v>45976</v>
      </c>
      <c r="D528" t="inlineStr">
        <is>
          <t>NORRBOTTENS LÄN</t>
        </is>
      </c>
      <c r="E528" t="inlineStr">
        <is>
          <t>LULEÅ</t>
        </is>
      </c>
      <c r="G528" t="n">
        <v>8</v>
      </c>
      <c r="H528" t="n">
        <v>0</v>
      </c>
      <c r="I528" t="n">
        <v>0</v>
      </c>
      <c r="J528" t="n">
        <v>0</v>
      </c>
      <c r="K528" t="n">
        <v>0</v>
      </c>
      <c r="L528" t="n">
        <v>0</v>
      </c>
      <c r="M528" t="n">
        <v>0</v>
      </c>
      <c r="N528" t="n">
        <v>0</v>
      </c>
      <c r="O528" t="n">
        <v>0</v>
      </c>
      <c r="P528" t="n">
        <v>0</v>
      </c>
      <c r="Q528" t="n">
        <v>0</v>
      </c>
      <c r="R528" s="2" t="inlineStr"/>
    </row>
    <row r="529" ht="15" customHeight="1">
      <c r="A529" t="inlineStr">
        <is>
          <t>A 45673-2025</t>
        </is>
      </c>
      <c r="B529" s="1" t="n">
        <v>45922</v>
      </c>
      <c r="C529" s="1" t="n">
        <v>45976</v>
      </c>
      <c r="D529" t="inlineStr">
        <is>
          <t>NORRBOTTENS LÄN</t>
        </is>
      </c>
      <c r="E529" t="inlineStr">
        <is>
          <t>LULEÅ</t>
        </is>
      </c>
      <c r="G529" t="n">
        <v>1.3</v>
      </c>
      <c r="H529" t="n">
        <v>0</v>
      </c>
      <c r="I529" t="n">
        <v>0</v>
      </c>
      <c r="J529" t="n">
        <v>0</v>
      </c>
      <c r="K529" t="n">
        <v>0</v>
      </c>
      <c r="L529" t="n">
        <v>0</v>
      </c>
      <c r="M529" t="n">
        <v>0</v>
      </c>
      <c r="N529" t="n">
        <v>0</v>
      </c>
      <c r="O529" t="n">
        <v>0</v>
      </c>
      <c r="P529" t="n">
        <v>0</v>
      </c>
      <c r="Q529" t="n">
        <v>0</v>
      </c>
      <c r="R529" s="2" t="inlineStr"/>
    </row>
    <row r="530" ht="15" customHeight="1">
      <c r="A530" t="inlineStr">
        <is>
          <t>A 54442-2025</t>
        </is>
      </c>
      <c r="B530" s="1" t="n">
        <v>45965.50621527778</v>
      </c>
      <c r="C530" s="1" t="n">
        <v>45976</v>
      </c>
      <c r="D530" t="inlineStr">
        <is>
          <t>NORRBOTTENS LÄN</t>
        </is>
      </c>
      <c r="E530" t="inlineStr">
        <is>
          <t>LULEÅ</t>
        </is>
      </c>
      <c r="G530" t="n">
        <v>6.6</v>
      </c>
      <c r="H530" t="n">
        <v>0</v>
      </c>
      <c r="I530" t="n">
        <v>0</v>
      </c>
      <c r="J530" t="n">
        <v>0</v>
      </c>
      <c r="K530" t="n">
        <v>0</v>
      </c>
      <c r="L530" t="n">
        <v>0</v>
      </c>
      <c r="M530" t="n">
        <v>0</v>
      </c>
      <c r="N530" t="n">
        <v>0</v>
      </c>
      <c r="O530" t="n">
        <v>0</v>
      </c>
      <c r="P530" t="n">
        <v>0</v>
      </c>
      <c r="Q530" t="n">
        <v>0</v>
      </c>
      <c r="R530" s="2" t="inlineStr"/>
    </row>
    <row r="531" ht="15" customHeight="1">
      <c r="A531" t="inlineStr">
        <is>
          <t>A 45471-2025</t>
        </is>
      </c>
      <c r="B531" s="1" t="n">
        <v>45922.51094907407</v>
      </c>
      <c r="C531" s="1" t="n">
        <v>45976</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17427-2023</t>
        </is>
      </c>
      <c r="B532" s="1" t="n">
        <v>45035</v>
      </c>
      <c r="C532" s="1" t="n">
        <v>45976</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1685-2025</t>
        </is>
      </c>
      <c r="B533" s="1" t="n">
        <v>45670.69877314815</v>
      </c>
      <c r="C533" s="1" t="n">
        <v>45976</v>
      </c>
      <c r="D533" t="inlineStr">
        <is>
          <t>NORRBOTTENS LÄN</t>
        </is>
      </c>
      <c r="E533" t="inlineStr">
        <is>
          <t>LULEÅ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45976</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6459-2025</t>
        </is>
      </c>
      <c r="B535" s="1" t="n">
        <v>45699.56368055556</v>
      </c>
      <c r="C535" s="1" t="n">
        <v>45976</v>
      </c>
      <c r="D535" t="inlineStr">
        <is>
          <t>NORRBOTTENS LÄN</t>
        </is>
      </c>
      <c r="E535" t="inlineStr">
        <is>
          <t>LULEÅ</t>
        </is>
      </c>
      <c r="F535" t="inlineStr">
        <is>
          <t>Övriga Aktiebolag</t>
        </is>
      </c>
      <c r="G535" t="n">
        <v>2.8</v>
      </c>
      <c r="H535" t="n">
        <v>0</v>
      </c>
      <c r="I535" t="n">
        <v>0</v>
      </c>
      <c r="J535" t="n">
        <v>0</v>
      </c>
      <c r="K535" t="n">
        <v>0</v>
      </c>
      <c r="L535" t="n">
        <v>0</v>
      </c>
      <c r="M535" t="n">
        <v>0</v>
      </c>
      <c r="N535" t="n">
        <v>0</v>
      </c>
      <c r="O535" t="n">
        <v>0</v>
      </c>
      <c r="P535" t="n">
        <v>0</v>
      </c>
      <c r="Q535" t="n">
        <v>0</v>
      </c>
      <c r="R535" s="2" t="inlineStr"/>
    </row>
    <row r="536" ht="15" customHeight="1">
      <c r="A536" t="inlineStr">
        <is>
          <t>A 54436-2025</t>
        </is>
      </c>
      <c r="B536" s="1" t="n">
        <v>45965.50042824074</v>
      </c>
      <c r="C536" s="1" t="n">
        <v>45976</v>
      </c>
      <c r="D536" t="inlineStr">
        <is>
          <t>NORRBOTTENS LÄN</t>
        </is>
      </c>
      <c r="E536" t="inlineStr">
        <is>
          <t>LULEÅ</t>
        </is>
      </c>
      <c r="G536" t="n">
        <v>4.8</v>
      </c>
      <c r="H536" t="n">
        <v>0</v>
      </c>
      <c r="I536" t="n">
        <v>0</v>
      </c>
      <c r="J536" t="n">
        <v>0</v>
      </c>
      <c r="K536" t="n">
        <v>0</v>
      </c>
      <c r="L536" t="n">
        <v>0</v>
      </c>
      <c r="M536" t="n">
        <v>0</v>
      </c>
      <c r="N536" t="n">
        <v>0</v>
      </c>
      <c r="O536" t="n">
        <v>0</v>
      </c>
      <c r="P536" t="n">
        <v>0</v>
      </c>
      <c r="Q536" t="n">
        <v>0</v>
      </c>
      <c r="R536" s="2" t="inlineStr"/>
    </row>
    <row r="537" ht="15" customHeight="1">
      <c r="A537" t="inlineStr">
        <is>
          <t>A 49721-2022</t>
        </is>
      </c>
      <c r="B537" s="1" t="n">
        <v>44859</v>
      </c>
      <c r="C537" s="1" t="n">
        <v>45976</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3184-2025</t>
        </is>
      </c>
      <c r="B538" s="1" t="n">
        <v>45679</v>
      </c>
      <c r="C538" s="1" t="n">
        <v>45976</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45684-2025</t>
        </is>
      </c>
      <c r="B539" s="1" t="n">
        <v>45918</v>
      </c>
      <c r="C539" s="1" t="n">
        <v>45976</v>
      </c>
      <c r="D539" t="inlineStr">
        <is>
          <t>NORRBOTTENS LÄN</t>
        </is>
      </c>
      <c r="E539" t="inlineStr">
        <is>
          <t>LULEÅ</t>
        </is>
      </c>
      <c r="G539" t="n">
        <v>2.4</v>
      </c>
      <c r="H539" t="n">
        <v>0</v>
      </c>
      <c r="I539" t="n">
        <v>0</v>
      </c>
      <c r="J539" t="n">
        <v>0</v>
      </c>
      <c r="K539" t="n">
        <v>0</v>
      </c>
      <c r="L539" t="n">
        <v>0</v>
      </c>
      <c r="M539" t="n">
        <v>0</v>
      </c>
      <c r="N539" t="n">
        <v>0</v>
      </c>
      <c r="O539" t="n">
        <v>0</v>
      </c>
      <c r="P539" t="n">
        <v>0</v>
      </c>
      <c r="Q539" t="n">
        <v>0</v>
      </c>
      <c r="R539" s="2" t="inlineStr"/>
    </row>
    <row r="540" ht="15" customHeight="1">
      <c r="A540" t="inlineStr">
        <is>
          <t>A 86-2025</t>
        </is>
      </c>
      <c r="B540" s="1" t="n">
        <v>45659.45902777778</v>
      </c>
      <c r="C540" s="1" t="n">
        <v>45976</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49720-2024</t>
        </is>
      </c>
      <c r="B541" s="1" t="n">
        <v>45596.72625</v>
      </c>
      <c r="C541" s="1" t="n">
        <v>45976</v>
      </c>
      <c r="D541" t="inlineStr">
        <is>
          <t>NORRBOTTENS LÄN</t>
        </is>
      </c>
      <c r="E541" t="inlineStr">
        <is>
          <t>LULEÅ</t>
        </is>
      </c>
      <c r="G541" t="n">
        <v>3.3</v>
      </c>
      <c r="H541" t="n">
        <v>0</v>
      </c>
      <c r="I541" t="n">
        <v>0</v>
      </c>
      <c r="J541" t="n">
        <v>0</v>
      </c>
      <c r="K541" t="n">
        <v>0</v>
      </c>
      <c r="L541" t="n">
        <v>0</v>
      </c>
      <c r="M541" t="n">
        <v>0</v>
      </c>
      <c r="N541" t="n">
        <v>0</v>
      </c>
      <c r="O541" t="n">
        <v>0</v>
      </c>
      <c r="P541" t="n">
        <v>0</v>
      </c>
      <c r="Q541" t="n">
        <v>0</v>
      </c>
      <c r="R541" s="2" t="inlineStr"/>
    </row>
    <row r="542" ht="15" customHeight="1">
      <c r="A542" t="inlineStr">
        <is>
          <t>A 59825-2024</t>
        </is>
      </c>
      <c r="B542" s="1" t="n">
        <v>45639.64152777778</v>
      </c>
      <c r="C542" s="1" t="n">
        <v>45976</v>
      </c>
      <c r="D542" t="inlineStr">
        <is>
          <t>NORRBOTTENS LÄN</t>
        </is>
      </c>
      <c r="E542" t="inlineStr">
        <is>
          <t>LULEÅ</t>
        </is>
      </c>
      <c r="G542" t="n">
        <v>1.1</v>
      </c>
      <c r="H542" t="n">
        <v>0</v>
      </c>
      <c r="I542" t="n">
        <v>0</v>
      </c>
      <c r="J542" t="n">
        <v>0</v>
      </c>
      <c r="K542" t="n">
        <v>0</v>
      </c>
      <c r="L542" t="n">
        <v>0</v>
      </c>
      <c r="M542" t="n">
        <v>0</v>
      </c>
      <c r="N542" t="n">
        <v>0</v>
      </c>
      <c r="O542" t="n">
        <v>0</v>
      </c>
      <c r="P542" t="n">
        <v>0</v>
      </c>
      <c r="Q542" t="n">
        <v>0</v>
      </c>
      <c r="R542" s="2" t="inlineStr"/>
    </row>
    <row r="543" ht="15" customHeight="1">
      <c r="A543" t="inlineStr">
        <is>
          <t>A 5131-2025</t>
        </is>
      </c>
      <c r="B543" s="1" t="n">
        <v>45691.57331018519</v>
      </c>
      <c r="C543" s="1" t="n">
        <v>45976</v>
      </c>
      <c r="D543" t="inlineStr">
        <is>
          <t>NORRBOTTENS LÄN</t>
        </is>
      </c>
      <c r="E543" t="inlineStr">
        <is>
          <t>LULEÅ</t>
        </is>
      </c>
      <c r="G543" t="n">
        <v>1.8</v>
      </c>
      <c r="H543" t="n">
        <v>0</v>
      </c>
      <c r="I543" t="n">
        <v>0</v>
      </c>
      <c r="J543" t="n">
        <v>0</v>
      </c>
      <c r="K543" t="n">
        <v>0</v>
      </c>
      <c r="L543" t="n">
        <v>0</v>
      </c>
      <c r="M543" t="n">
        <v>0</v>
      </c>
      <c r="N543" t="n">
        <v>0</v>
      </c>
      <c r="O543" t="n">
        <v>0</v>
      </c>
      <c r="P543" t="n">
        <v>0</v>
      </c>
      <c r="Q543" t="n">
        <v>0</v>
      </c>
      <c r="R543" s="2" t="inlineStr"/>
    </row>
    <row r="544" ht="15" customHeight="1">
      <c r="A544" t="inlineStr">
        <is>
          <t>A 54428-2025</t>
        </is>
      </c>
      <c r="B544" s="1" t="n">
        <v>45965.49263888889</v>
      </c>
      <c r="C544" s="1" t="n">
        <v>45976</v>
      </c>
      <c r="D544" t="inlineStr">
        <is>
          <t>NORRBOTTENS LÄN</t>
        </is>
      </c>
      <c r="E544" t="inlineStr">
        <is>
          <t>LULEÅ</t>
        </is>
      </c>
      <c r="G544" t="n">
        <v>0.5</v>
      </c>
      <c r="H544" t="n">
        <v>0</v>
      </c>
      <c r="I544" t="n">
        <v>0</v>
      </c>
      <c r="J544" t="n">
        <v>0</v>
      </c>
      <c r="K544" t="n">
        <v>0</v>
      </c>
      <c r="L544" t="n">
        <v>0</v>
      </c>
      <c r="M544" t="n">
        <v>0</v>
      </c>
      <c r="N544" t="n">
        <v>0</v>
      </c>
      <c r="O544" t="n">
        <v>0</v>
      </c>
      <c r="P544" t="n">
        <v>0</v>
      </c>
      <c r="Q544" t="n">
        <v>0</v>
      </c>
      <c r="R544" s="2" t="inlineStr"/>
    </row>
    <row r="545" ht="15" customHeight="1">
      <c r="A545" t="inlineStr">
        <is>
          <t>A 45470-2025</t>
        </is>
      </c>
      <c r="B545" s="1" t="n">
        <v>45922.51091435185</v>
      </c>
      <c r="C545" s="1" t="n">
        <v>45976</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54274-2025</t>
        </is>
      </c>
      <c r="B546" s="1" t="n">
        <v>45964.6821875</v>
      </c>
      <c r="C546" s="1" t="n">
        <v>45976</v>
      </c>
      <c r="D546" t="inlineStr">
        <is>
          <t>NORRBOTTENS LÄN</t>
        </is>
      </c>
      <c r="E546" t="inlineStr">
        <is>
          <t>LULEÅ</t>
        </is>
      </c>
      <c r="G546" t="n">
        <v>2.3</v>
      </c>
      <c r="H546" t="n">
        <v>0</v>
      </c>
      <c r="I546" t="n">
        <v>0</v>
      </c>
      <c r="J546" t="n">
        <v>0</v>
      </c>
      <c r="K546" t="n">
        <v>0</v>
      </c>
      <c r="L546" t="n">
        <v>0</v>
      </c>
      <c r="M546" t="n">
        <v>0</v>
      </c>
      <c r="N546" t="n">
        <v>0</v>
      </c>
      <c r="O546" t="n">
        <v>0</v>
      </c>
      <c r="P546" t="n">
        <v>0</v>
      </c>
      <c r="Q546" t="n">
        <v>0</v>
      </c>
      <c r="R546" s="2" t="inlineStr"/>
    </row>
    <row r="547" ht="15" customHeight="1">
      <c r="A547" t="inlineStr">
        <is>
          <t>A 54279-2025</t>
        </is>
      </c>
      <c r="B547" s="1" t="n">
        <v>45964.70471064815</v>
      </c>
      <c r="C547" s="1" t="n">
        <v>45976</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4919-2025</t>
        </is>
      </c>
      <c r="B548" s="1" t="n">
        <v>45688.68407407407</v>
      </c>
      <c r="C548" s="1" t="n">
        <v>45976</v>
      </c>
      <c r="D548" t="inlineStr">
        <is>
          <t>NORRBOTTENS LÄN</t>
        </is>
      </c>
      <c r="E548" t="inlineStr">
        <is>
          <t>LULEÅ</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63828-2020</t>
        </is>
      </c>
      <c r="B549" s="1" t="n">
        <v>44165</v>
      </c>
      <c r="C549" s="1" t="n">
        <v>45976</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54280-2025</t>
        </is>
      </c>
      <c r="B550" s="1" t="n">
        <v>45964.70950231481</v>
      </c>
      <c r="C550" s="1" t="n">
        <v>45976</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6731-2025</t>
        </is>
      </c>
      <c r="B551" s="1" t="n">
        <v>45700.59357638889</v>
      </c>
      <c r="C551" s="1" t="n">
        <v>45976</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45001-2025</t>
        </is>
      </c>
      <c r="B552" s="1" t="n">
        <v>45918</v>
      </c>
      <c r="C552" s="1" t="n">
        <v>45976</v>
      </c>
      <c r="D552" t="inlineStr">
        <is>
          <t>NORRBOTTENS LÄN</t>
        </is>
      </c>
      <c r="E552" t="inlineStr">
        <is>
          <t>LULEÅ</t>
        </is>
      </c>
      <c r="G552" t="n">
        <v>7.8</v>
      </c>
      <c r="H552" t="n">
        <v>0</v>
      </c>
      <c r="I552" t="n">
        <v>0</v>
      </c>
      <c r="J552" t="n">
        <v>0</v>
      </c>
      <c r="K552" t="n">
        <v>0</v>
      </c>
      <c r="L552" t="n">
        <v>0</v>
      </c>
      <c r="M552" t="n">
        <v>0</v>
      </c>
      <c r="N552" t="n">
        <v>0</v>
      </c>
      <c r="O552" t="n">
        <v>0</v>
      </c>
      <c r="P552" t="n">
        <v>0</v>
      </c>
      <c r="Q552" t="n">
        <v>0</v>
      </c>
      <c r="R552" s="2" t="inlineStr"/>
    </row>
    <row r="553" ht="15" customHeight="1">
      <c r="A553" t="inlineStr">
        <is>
          <t>A 54558-2025</t>
        </is>
      </c>
      <c r="B553" s="1" t="n">
        <v>45965.66197916667</v>
      </c>
      <c r="C553" s="1" t="n">
        <v>45976</v>
      </c>
      <c r="D553" t="inlineStr">
        <is>
          <t>NORRBOTTENS LÄN</t>
        </is>
      </c>
      <c r="E553" t="inlineStr">
        <is>
          <t>LULEÅ</t>
        </is>
      </c>
      <c r="G553" t="n">
        <v>0.9</v>
      </c>
      <c r="H553" t="n">
        <v>0</v>
      </c>
      <c r="I553" t="n">
        <v>0</v>
      </c>
      <c r="J553" t="n">
        <v>0</v>
      </c>
      <c r="K553" t="n">
        <v>0</v>
      </c>
      <c r="L553" t="n">
        <v>0</v>
      </c>
      <c r="M553" t="n">
        <v>0</v>
      </c>
      <c r="N553" t="n">
        <v>0</v>
      </c>
      <c r="O553" t="n">
        <v>0</v>
      </c>
      <c r="P553" t="n">
        <v>0</v>
      </c>
      <c r="Q553" t="n">
        <v>0</v>
      </c>
      <c r="R553" s="2" t="inlineStr"/>
    </row>
    <row r="554" ht="15" customHeight="1">
      <c r="A554" t="inlineStr">
        <is>
          <t>A 54559-2025</t>
        </is>
      </c>
      <c r="B554" s="1" t="n">
        <v>45965.66282407408</v>
      </c>
      <c r="C554" s="1" t="n">
        <v>45976</v>
      </c>
      <c r="D554" t="inlineStr">
        <is>
          <t>NORRBOTTENS LÄN</t>
        </is>
      </c>
      <c r="E554" t="inlineStr">
        <is>
          <t>LULEÅ</t>
        </is>
      </c>
      <c r="G554" t="n">
        <v>1.8</v>
      </c>
      <c r="H554" t="n">
        <v>0</v>
      </c>
      <c r="I554" t="n">
        <v>0</v>
      </c>
      <c r="J554" t="n">
        <v>0</v>
      </c>
      <c r="K554" t="n">
        <v>0</v>
      </c>
      <c r="L554" t="n">
        <v>0</v>
      </c>
      <c r="M554" t="n">
        <v>0</v>
      </c>
      <c r="N554" t="n">
        <v>0</v>
      </c>
      <c r="O554" t="n">
        <v>0</v>
      </c>
      <c r="P554" t="n">
        <v>0</v>
      </c>
      <c r="Q554" t="n">
        <v>0</v>
      </c>
      <c r="R554" s="2" t="inlineStr"/>
    </row>
    <row r="555" ht="15" customHeight="1">
      <c r="A555" t="inlineStr">
        <is>
          <t>A 54479-2025</t>
        </is>
      </c>
      <c r="B555" s="1" t="n">
        <v>45965.58432870371</v>
      </c>
      <c r="C555" s="1" t="n">
        <v>45976</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54531-2025</t>
        </is>
      </c>
      <c r="B556" s="1" t="n">
        <v>45965</v>
      </c>
      <c r="C556" s="1" t="n">
        <v>45976</v>
      </c>
      <c r="D556" t="inlineStr">
        <is>
          <t>NORRBOTTENS LÄN</t>
        </is>
      </c>
      <c r="E556" t="inlineStr">
        <is>
          <t>LULEÅ</t>
        </is>
      </c>
      <c r="G556" t="n">
        <v>2.3</v>
      </c>
      <c r="H556" t="n">
        <v>0</v>
      </c>
      <c r="I556" t="n">
        <v>0</v>
      </c>
      <c r="J556" t="n">
        <v>0</v>
      </c>
      <c r="K556" t="n">
        <v>0</v>
      </c>
      <c r="L556" t="n">
        <v>0</v>
      </c>
      <c r="M556" t="n">
        <v>0</v>
      </c>
      <c r="N556" t="n">
        <v>0</v>
      </c>
      <c r="O556" t="n">
        <v>0</v>
      </c>
      <c r="P556" t="n">
        <v>0</v>
      </c>
      <c r="Q556" t="n">
        <v>0</v>
      </c>
      <c r="R556" s="2" t="inlineStr"/>
    </row>
    <row r="557" ht="15" customHeight="1">
      <c r="A557" t="inlineStr">
        <is>
          <t>A 46117-2025</t>
        </is>
      </c>
      <c r="B557" s="1" t="n">
        <v>45924.5737962963</v>
      </c>
      <c r="C557" s="1" t="n">
        <v>45976</v>
      </c>
      <c r="D557" t="inlineStr">
        <is>
          <t>NORRBOTTENS LÄN</t>
        </is>
      </c>
      <c r="E557" t="inlineStr">
        <is>
          <t>LULEÅ</t>
        </is>
      </c>
      <c r="G557" t="n">
        <v>1.9</v>
      </c>
      <c r="H557" t="n">
        <v>0</v>
      </c>
      <c r="I557" t="n">
        <v>0</v>
      </c>
      <c r="J557" t="n">
        <v>0</v>
      </c>
      <c r="K557" t="n">
        <v>0</v>
      </c>
      <c r="L557" t="n">
        <v>0</v>
      </c>
      <c r="M557" t="n">
        <v>0</v>
      </c>
      <c r="N557" t="n">
        <v>0</v>
      </c>
      <c r="O557" t="n">
        <v>0</v>
      </c>
      <c r="P557" t="n">
        <v>0</v>
      </c>
      <c r="Q557" t="n">
        <v>0</v>
      </c>
      <c r="R557" s="2" t="inlineStr"/>
    </row>
    <row r="558" ht="15" customHeight="1">
      <c r="A558" t="inlineStr">
        <is>
          <t>A 52687-2025</t>
        </is>
      </c>
      <c r="B558" s="1" t="n">
        <v>45956.36496527777</v>
      </c>
      <c r="C558" s="1" t="n">
        <v>45976</v>
      </c>
      <c r="D558" t="inlineStr">
        <is>
          <t>NORRBOTTENS LÄN</t>
        </is>
      </c>
      <c r="E558" t="inlineStr">
        <is>
          <t>LULEÅ</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4921-2025</t>
        </is>
      </c>
      <c r="B559" s="1" t="n">
        <v>45688.68416666667</v>
      </c>
      <c r="C559" s="1" t="n">
        <v>45976</v>
      </c>
      <c r="D559" t="inlineStr">
        <is>
          <t>NORRBOTTENS LÄN</t>
        </is>
      </c>
      <c r="E559" t="inlineStr">
        <is>
          <t>LULEÅ</t>
        </is>
      </c>
      <c r="G559" t="n">
        <v>2.7</v>
      </c>
      <c r="H559" t="n">
        <v>0</v>
      </c>
      <c r="I559" t="n">
        <v>0</v>
      </c>
      <c r="J559" t="n">
        <v>0</v>
      </c>
      <c r="K559" t="n">
        <v>0</v>
      </c>
      <c r="L559" t="n">
        <v>0</v>
      </c>
      <c r="M559" t="n">
        <v>0</v>
      </c>
      <c r="N559" t="n">
        <v>0</v>
      </c>
      <c r="O559" t="n">
        <v>0</v>
      </c>
      <c r="P559" t="n">
        <v>0</v>
      </c>
      <c r="Q559" t="n">
        <v>0</v>
      </c>
      <c r="R559" s="2" t="inlineStr"/>
    </row>
    <row r="560" ht="15" customHeight="1">
      <c r="A560" t="inlineStr">
        <is>
          <t>A 339-2025</t>
        </is>
      </c>
      <c r="B560" s="1" t="n">
        <v>45660.6911574074</v>
      </c>
      <c r="C560" s="1" t="n">
        <v>45976</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52318-2025</t>
        </is>
      </c>
      <c r="B561" s="1" t="n">
        <v>45953.65693287037</v>
      </c>
      <c r="C561" s="1" t="n">
        <v>45976</v>
      </c>
      <c r="D561" t="inlineStr">
        <is>
          <t>NORRBOTTENS LÄN</t>
        </is>
      </c>
      <c r="E561" t="inlineStr">
        <is>
          <t>LULEÅ</t>
        </is>
      </c>
      <c r="G561" t="n">
        <v>1.9</v>
      </c>
      <c r="H561" t="n">
        <v>0</v>
      </c>
      <c r="I561" t="n">
        <v>0</v>
      </c>
      <c r="J561" t="n">
        <v>0</v>
      </c>
      <c r="K561" t="n">
        <v>0</v>
      </c>
      <c r="L561" t="n">
        <v>0</v>
      </c>
      <c r="M561" t="n">
        <v>0</v>
      </c>
      <c r="N561" t="n">
        <v>0</v>
      </c>
      <c r="O561" t="n">
        <v>0</v>
      </c>
      <c r="P561" t="n">
        <v>0</v>
      </c>
      <c r="Q561" t="n">
        <v>0</v>
      </c>
      <c r="R561" s="2" t="inlineStr"/>
    </row>
    <row r="562" ht="15" customHeight="1">
      <c r="A562" t="inlineStr">
        <is>
          <t>A 12865-2023</t>
        </is>
      </c>
      <c r="B562" s="1" t="n">
        <v>45001</v>
      </c>
      <c r="C562" s="1" t="n">
        <v>45976</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10611-2025</t>
        </is>
      </c>
      <c r="B563" s="1" t="n">
        <v>45721</v>
      </c>
      <c r="C563" s="1" t="n">
        <v>45976</v>
      </c>
      <c r="D563" t="inlineStr">
        <is>
          <t>NORRBOTTENS LÄN</t>
        </is>
      </c>
      <c r="E563" t="inlineStr">
        <is>
          <t>LULEÅ</t>
        </is>
      </c>
      <c r="G563" t="n">
        <v>1.1</v>
      </c>
      <c r="H563" t="n">
        <v>0</v>
      </c>
      <c r="I563" t="n">
        <v>0</v>
      </c>
      <c r="J563" t="n">
        <v>0</v>
      </c>
      <c r="K563" t="n">
        <v>0</v>
      </c>
      <c r="L563" t="n">
        <v>0</v>
      </c>
      <c r="M563" t="n">
        <v>0</v>
      </c>
      <c r="N563" t="n">
        <v>0</v>
      </c>
      <c r="O563" t="n">
        <v>0</v>
      </c>
      <c r="P563" t="n">
        <v>0</v>
      </c>
      <c r="Q563" t="n">
        <v>0</v>
      </c>
      <c r="R563" s="2" t="inlineStr"/>
    </row>
    <row r="564" ht="15" customHeight="1">
      <c r="A564" t="inlineStr">
        <is>
          <t>A 52688-2025</t>
        </is>
      </c>
      <c r="B564" s="1" t="n">
        <v>45956.38578703703</v>
      </c>
      <c r="C564" s="1" t="n">
        <v>45976</v>
      </c>
      <c r="D564" t="inlineStr">
        <is>
          <t>NORRBOTTENS LÄN</t>
        </is>
      </c>
      <c r="E564" t="inlineStr">
        <is>
          <t>LULEÅ</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46469-2025</t>
        </is>
      </c>
      <c r="B565" s="1" t="n">
        <v>45925.68186342593</v>
      </c>
      <c r="C565" s="1" t="n">
        <v>45976</v>
      </c>
      <c r="D565" t="inlineStr">
        <is>
          <t>NORRBOTTENS LÄN</t>
        </is>
      </c>
      <c r="E565" t="inlineStr">
        <is>
          <t>LULEÅ</t>
        </is>
      </c>
      <c r="G565" t="n">
        <v>12</v>
      </c>
      <c r="H565" t="n">
        <v>0</v>
      </c>
      <c r="I565" t="n">
        <v>0</v>
      </c>
      <c r="J565" t="n">
        <v>0</v>
      </c>
      <c r="K565" t="n">
        <v>0</v>
      </c>
      <c r="L565" t="n">
        <v>0</v>
      </c>
      <c r="M565" t="n">
        <v>0</v>
      </c>
      <c r="N565" t="n">
        <v>0</v>
      </c>
      <c r="O565" t="n">
        <v>0</v>
      </c>
      <c r="P565" t="n">
        <v>0</v>
      </c>
      <c r="Q565" t="n">
        <v>0</v>
      </c>
      <c r="R565" s="2" t="inlineStr"/>
    </row>
    <row r="566" ht="15" customHeight="1">
      <c r="A566" t="inlineStr">
        <is>
          <t>A 46314-2025</t>
        </is>
      </c>
      <c r="B566" s="1" t="n">
        <v>45925</v>
      </c>
      <c r="C566" s="1" t="n">
        <v>45976</v>
      </c>
      <c r="D566" t="inlineStr">
        <is>
          <t>NORRBOTTENS LÄN</t>
        </is>
      </c>
      <c r="E566" t="inlineStr">
        <is>
          <t>LULEÅ</t>
        </is>
      </c>
      <c r="G566" t="n">
        <v>2.5</v>
      </c>
      <c r="H566" t="n">
        <v>0</v>
      </c>
      <c r="I566" t="n">
        <v>0</v>
      </c>
      <c r="J566" t="n">
        <v>0</v>
      </c>
      <c r="K566" t="n">
        <v>0</v>
      </c>
      <c r="L566" t="n">
        <v>0</v>
      </c>
      <c r="M566" t="n">
        <v>0</v>
      </c>
      <c r="N566" t="n">
        <v>0</v>
      </c>
      <c r="O566" t="n">
        <v>0</v>
      </c>
      <c r="P566" t="n">
        <v>0</v>
      </c>
      <c r="Q566" t="n">
        <v>0</v>
      </c>
      <c r="R566" s="2" t="inlineStr"/>
    </row>
    <row r="567" ht="15" customHeight="1">
      <c r="A567" t="inlineStr">
        <is>
          <t>A 46344-2025</t>
        </is>
      </c>
      <c r="B567" s="1" t="n">
        <v>45925</v>
      </c>
      <c r="C567" s="1" t="n">
        <v>45976</v>
      </c>
      <c r="D567" t="inlineStr">
        <is>
          <t>NORRBOTTENS LÄN</t>
        </is>
      </c>
      <c r="E567" t="inlineStr">
        <is>
          <t>LULEÅ</t>
        </is>
      </c>
      <c r="F567" t="inlineStr">
        <is>
          <t>SCA</t>
        </is>
      </c>
      <c r="G567" t="n">
        <v>13.9</v>
      </c>
      <c r="H567" t="n">
        <v>0</v>
      </c>
      <c r="I567" t="n">
        <v>0</v>
      </c>
      <c r="J567" t="n">
        <v>0</v>
      </c>
      <c r="K567" t="n">
        <v>0</v>
      </c>
      <c r="L567" t="n">
        <v>0</v>
      </c>
      <c r="M567" t="n">
        <v>0</v>
      </c>
      <c r="N567" t="n">
        <v>0</v>
      </c>
      <c r="O567" t="n">
        <v>0</v>
      </c>
      <c r="P567" t="n">
        <v>0</v>
      </c>
      <c r="Q567" t="n">
        <v>0</v>
      </c>
      <c r="R567" s="2" t="inlineStr"/>
    </row>
    <row r="568" ht="15" customHeight="1">
      <c r="A568" t="inlineStr">
        <is>
          <t>A 46430-2025</t>
        </is>
      </c>
      <c r="B568" s="1" t="n">
        <v>45925.61494212963</v>
      </c>
      <c r="C568" s="1" t="n">
        <v>45976</v>
      </c>
      <c r="D568" t="inlineStr">
        <is>
          <t>NORRBOTTENS LÄN</t>
        </is>
      </c>
      <c r="E568" t="inlineStr">
        <is>
          <t>LULEÅ</t>
        </is>
      </c>
      <c r="G568" t="n">
        <v>1.7</v>
      </c>
      <c r="H568" t="n">
        <v>0</v>
      </c>
      <c r="I568" t="n">
        <v>0</v>
      </c>
      <c r="J568" t="n">
        <v>0</v>
      </c>
      <c r="K568" t="n">
        <v>0</v>
      </c>
      <c r="L568" t="n">
        <v>0</v>
      </c>
      <c r="M568" t="n">
        <v>0</v>
      </c>
      <c r="N568" t="n">
        <v>0</v>
      </c>
      <c r="O568" t="n">
        <v>0</v>
      </c>
      <c r="P568" t="n">
        <v>0</v>
      </c>
      <c r="Q568" t="n">
        <v>0</v>
      </c>
      <c r="R568" s="2" t="inlineStr"/>
    </row>
    <row r="569" ht="15" customHeight="1">
      <c r="A569" t="inlineStr">
        <is>
          <t>A 52677-2025</t>
        </is>
      </c>
      <c r="B569" s="1" t="n">
        <v>45956.34443287037</v>
      </c>
      <c r="C569" s="1" t="n">
        <v>45976</v>
      </c>
      <c r="D569" t="inlineStr">
        <is>
          <t>NORRBOTTENS LÄN</t>
        </is>
      </c>
      <c r="E569" t="inlineStr">
        <is>
          <t>LULEÅ</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30120-2025</t>
        </is>
      </c>
      <c r="B570" s="1" t="n">
        <v>45826</v>
      </c>
      <c r="C570" s="1" t="n">
        <v>45976</v>
      </c>
      <c r="D570" t="inlineStr">
        <is>
          <t>NORRBOTTENS LÄN</t>
        </is>
      </c>
      <c r="E570" t="inlineStr">
        <is>
          <t>LULEÅ</t>
        </is>
      </c>
      <c r="G570" t="n">
        <v>1.1</v>
      </c>
      <c r="H570" t="n">
        <v>0</v>
      </c>
      <c r="I570" t="n">
        <v>0</v>
      </c>
      <c r="J570" t="n">
        <v>0</v>
      </c>
      <c r="K570" t="n">
        <v>0</v>
      </c>
      <c r="L570" t="n">
        <v>0</v>
      </c>
      <c r="M570" t="n">
        <v>0</v>
      </c>
      <c r="N570" t="n">
        <v>0</v>
      </c>
      <c r="O570" t="n">
        <v>0</v>
      </c>
      <c r="P570" t="n">
        <v>0</v>
      </c>
      <c r="Q570" t="n">
        <v>0</v>
      </c>
      <c r="R570" s="2" t="inlineStr"/>
      <c r="U570">
        <f>HYPERLINK("https://klasma.github.io/Logging_2580/knärot/A 30120-2025 karta knärot.png", "A 30120-2025")</f>
        <v/>
      </c>
      <c r="V570">
        <f>HYPERLINK("https://klasma.github.io/Logging_2580/klagomål/A 30120-2025 FSC-klagomål.docx", "A 30120-2025")</f>
        <v/>
      </c>
      <c r="W570">
        <f>HYPERLINK("https://klasma.github.io/Logging_2580/klagomålsmail/A 30120-2025 FSC-klagomål mail.docx", "A 30120-2025")</f>
        <v/>
      </c>
      <c r="X570">
        <f>HYPERLINK("https://klasma.github.io/Logging_2580/tillsyn/A 30120-2025 tillsynsbegäran.docx", "A 30120-2025")</f>
        <v/>
      </c>
      <c r="Y570">
        <f>HYPERLINK("https://klasma.github.io/Logging_2580/tillsynsmail/A 30120-2025 tillsynsbegäran mail.docx", "A 30120-2025")</f>
        <v/>
      </c>
    </row>
    <row r="571" ht="15" customHeight="1">
      <c r="A571" t="inlineStr">
        <is>
          <t>A 51465-2025</t>
        </is>
      </c>
      <c r="B571" s="1" t="n">
        <v>45950.61075231482</v>
      </c>
      <c r="C571" s="1" t="n">
        <v>45976</v>
      </c>
      <c r="D571" t="inlineStr">
        <is>
          <t>NORRBOTTENS LÄN</t>
        </is>
      </c>
      <c r="E571" t="inlineStr">
        <is>
          <t>LULEÅ</t>
        </is>
      </c>
      <c r="G571" t="n">
        <v>5.8</v>
      </c>
      <c r="H571" t="n">
        <v>0</v>
      </c>
      <c r="I571" t="n">
        <v>0</v>
      </c>
      <c r="J571" t="n">
        <v>0</v>
      </c>
      <c r="K571" t="n">
        <v>0</v>
      </c>
      <c r="L571" t="n">
        <v>0</v>
      </c>
      <c r="M571" t="n">
        <v>0</v>
      </c>
      <c r="N571" t="n">
        <v>0</v>
      </c>
      <c r="O571" t="n">
        <v>0</v>
      </c>
      <c r="P571" t="n">
        <v>0</v>
      </c>
      <c r="Q571" t="n">
        <v>0</v>
      </c>
      <c r="R571" s="2" t="inlineStr"/>
    </row>
    <row r="572" ht="15" customHeight="1">
      <c r="A572" t="inlineStr">
        <is>
          <t>A 44531-2023</t>
        </is>
      </c>
      <c r="B572" s="1" t="n">
        <v>45183</v>
      </c>
      <c r="C572" s="1" t="n">
        <v>45976</v>
      </c>
      <c r="D572" t="inlineStr">
        <is>
          <t>NORRBOTTENS LÄN</t>
        </is>
      </c>
      <c r="E572" t="inlineStr">
        <is>
          <t>LULEÅ</t>
        </is>
      </c>
      <c r="G572" t="n">
        <v>2</v>
      </c>
      <c r="H572" t="n">
        <v>0</v>
      </c>
      <c r="I572" t="n">
        <v>0</v>
      </c>
      <c r="J572" t="n">
        <v>0</v>
      </c>
      <c r="K572" t="n">
        <v>0</v>
      </c>
      <c r="L572" t="n">
        <v>0</v>
      </c>
      <c r="M572" t="n">
        <v>0</v>
      </c>
      <c r="N572" t="n">
        <v>0</v>
      </c>
      <c r="O572" t="n">
        <v>0</v>
      </c>
      <c r="P572" t="n">
        <v>0</v>
      </c>
      <c r="Q572" t="n">
        <v>0</v>
      </c>
      <c r="R572" s="2" t="inlineStr"/>
    </row>
    <row r="573" ht="15" customHeight="1">
      <c r="A573" t="inlineStr">
        <is>
          <t>A 46060-2025</t>
        </is>
      </c>
      <c r="B573" s="1" t="n">
        <v>45924</v>
      </c>
      <c r="C573" s="1" t="n">
        <v>45976</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5137-2024</t>
        </is>
      </c>
      <c r="B574" s="1" t="n">
        <v>45330.46430555556</v>
      </c>
      <c r="C574" s="1" t="n">
        <v>45976</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47931-2024</t>
        </is>
      </c>
      <c r="B575" s="1" t="n">
        <v>45589</v>
      </c>
      <c r="C575" s="1" t="n">
        <v>45976</v>
      </c>
      <c r="D575" t="inlineStr">
        <is>
          <t>NORRBOTTENS LÄN</t>
        </is>
      </c>
      <c r="E575" t="inlineStr">
        <is>
          <t>LULEÅ</t>
        </is>
      </c>
      <c r="F575" t="inlineStr">
        <is>
          <t>Naturvårdsverket</t>
        </is>
      </c>
      <c r="G575" t="n">
        <v>1.2</v>
      </c>
      <c r="H575" t="n">
        <v>0</v>
      </c>
      <c r="I575" t="n">
        <v>0</v>
      </c>
      <c r="J575" t="n">
        <v>0</v>
      </c>
      <c r="K575" t="n">
        <v>0</v>
      </c>
      <c r="L575" t="n">
        <v>0</v>
      </c>
      <c r="M575" t="n">
        <v>0</v>
      </c>
      <c r="N575" t="n">
        <v>0</v>
      </c>
      <c r="O575" t="n">
        <v>0</v>
      </c>
      <c r="P575" t="n">
        <v>0</v>
      </c>
      <c r="Q575" t="n">
        <v>0</v>
      </c>
      <c r="R575" s="2" t="inlineStr"/>
    </row>
    <row r="576" ht="15" customHeight="1">
      <c r="A576" t="inlineStr">
        <is>
          <t>A 57764-2022</t>
        </is>
      </c>
      <c r="B576" s="1" t="n">
        <v>44890</v>
      </c>
      <c r="C576" s="1" t="n">
        <v>45976</v>
      </c>
      <c r="D576" t="inlineStr">
        <is>
          <t>NORRBOTTENS LÄN</t>
        </is>
      </c>
      <c r="E576" t="inlineStr">
        <is>
          <t>LULEÅ</t>
        </is>
      </c>
      <c r="G576" t="n">
        <v>4.3</v>
      </c>
      <c r="H576" t="n">
        <v>0</v>
      </c>
      <c r="I576" t="n">
        <v>0</v>
      </c>
      <c r="J576" t="n">
        <v>0</v>
      </c>
      <c r="K576" t="n">
        <v>0</v>
      </c>
      <c r="L576" t="n">
        <v>0</v>
      </c>
      <c r="M576" t="n">
        <v>0</v>
      </c>
      <c r="N576" t="n">
        <v>0</v>
      </c>
      <c r="O576" t="n">
        <v>0</v>
      </c>
      <c r="P576" t="n">
        <v>0</v>
      </c>
      <c r="Q576" t="n">
        <v>0</v>
      </c>
      <c r="R576" s="2" t="inlineStr"/>
    </row>
    <row r="577" ht="15" customHeight="1">
      <c r="A577" t="inlineStr">
        <is>
          <t>A 53754-2023</t>
        </is>
      </c>
      <c r="B577" s="1" t="n">
        <v>45230</v>
      </c>
      <c r="C577" s="1" t="n">
        <v>45976</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45976</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17176-2024</t>
        </is>
      </c>
      <c r="B579" s="1" t="n">
        <v>45412</v>
      </c>
      <c r="C579" s="1" t="n">
        <v>45976</v>
      </c>
      <c r="D579" t="inlineStr">
        <is>
          <t>NORRBOTTENS LÄN</t>
        </is>
      </c>
      <c r="E579" t="inlineStr">
        <is>
          <t>LULEÅ</t>
        </is>
      </c>
      <c r="F579" t="inlineStr">
        <is>
          <t>SCA</t>
        </is>
      </c>
      <c r="G579" t="n">
        <v>8.5</v>
      </c>
      <c r="H579" t="n">
        <v>0</v>
      </c>
      <c r="I579" t="n">
        <v>0</v>
      </c>
      <c r="J579" t="n">
        <v>0</v>
      </c>
      <c r="K579" t="n">
        <v>0</v>
      </c>
      <c r="L579" t="n">
        <v>0</v>
      </c>
      <c r="M579" t="n">
        <v>0</v>
      </c>
      <c r="N579" t="n">
        <v>0</v>
      </c>
      <c r="O579" t="n">
        <v>0</v>
      </c>
      <c r="P579" t="n">
        <v>0</v>
      </c>
      <c r="Q579" t="n">
        <v>0</v>
      </c>
      <c r="R579" s="2" t="inlineStr"/>
    </row>
    <row r="580" ht="15" customHeight="1">
      <c r="A580" t="inlineStr">
        <is>
          <t>A 55090-2025</t>
        </is>
      </c>
      <c r="B580" s="1" t="n">
        <v>45968.34435185185</v>
      </c>
      <c r="C580" s="1" t="n">
        <v>45976</v>
      </c>
      <c r="D580" t="inlineStr">
        <is>
          <t>NORRBOTTENS LÄN</t>
        </is>
      </c>
      <c r="E580" t="inlineStr">
        <is>
          <t>LULEÅ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55443-2025</t>
        </is>
      </c>
      <c r="B581" s="1" t="n">
        <v>45971.49157407408</v>
      </c>
      <c r="C581" s="1" t="n">
        <v>45976</v>
      </c>
      <c r="D581" t="inlineStr">
        <is>
          <t>NORRBOTTENS LÄN</t>
        </is>
      </c>
      <c r="E581" t="inlineStr">
        <is>
          <t>LULEÅ</t>
        </is>
      </c>
      <c r="G581" t="n">
        <v>5.6</v>
      </c>
      <c r="H581" t="n">
        <v>0</v>
      </c>
      <c r="I581" t="n">
        <v>0</v>
      </c>
      <c r="J581" t="n">
        <v>0</v>
      </c>
      <c r="K581" t="n">
        <v>0</v>
      </c>
      <c r="L581" t="n">
        <v>0</v>
      </c>
      <c r="M581" t="n">
        <v>0</v>
      </c>
      <c r="N581" t="n">
        <v>0</v>
      </c>
      <c r="O581" t="n">
        <v>0</v>
      </c>
      <c r="P581" t="n">
        <v>0</v>
      </c>
      <c r="Q581" t="n">
        <v>0</v>
      </c>
      <c r="R581" s="2" t="inlineStr"/>
    </row>
    <row r="582" ht="15" customHeight="1">
      <c r="A582" t="inlineStr">
        <is>
          <t>A 40974-2024</t>
        </is>
      </c>
      <c r="B582" s="1" t="n">
        <v>45558.6815162037</v>
      </c>
      <c r="C582" s="1" t="n">
        <v>45976</v>
      </c>
      <c r="D582" t="inlineStr">
        <is>
          <t>NORRBOTTENS LÄN</t>
        </is>
      </c>
      <c r="E582" t="inlineStr">
        <is>
          <t>LULEÅ</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51981-2025</t>
        </is>
      </c>
      <c r="B583" s="1" t="n">
        <v>45952</v>
      </c>
      <c r="C583" s="1" t="n">
        <v>45976</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72756-2021</t>
        </is>
      </c>
      <c r="B584" s="1" t="n">
        <v>44546.92277777778</v>
      </c>
      <c r="C584" s="1" t="n">
        <v>45976</v>
      </c>
      <c r="D584" t="inlineStr">
        <is>
          <t>NORRBOTTENS LÄN</t>
        </is>
      </c>
      <c r="E584" t="inlineStr">
        <is>
          <t>LULEÅ</t>
        </is>
      </c>
      <c r="G584" t="n">
        <v>1.9</v>
      </c>
      <c r="H584" t="n">
        <v>0</v>
      </c>
      <c r="I584" t="n">
        <v>0</v>
      </c>
      <c r="J584" t="n">
        <v>0</v>
      </c>
      <c r="K584" t="n">
        <v>0</v>
      </c>
      <c r="L584" t="n">
        <v>0</v>
      </c>
      <c r="M584" t="n">
        <v>0</v>
      </c>
      <c r="N584" t="n">
        <v>0</v>
      </c>
      <c r="O584" t="n">
        <v>0</v>
      </c>
      <c r="P584" t="n">
        <v>0</v>
      </c>
      <c r="Q584" t="n">
        <v>0</v>
      </c>
      <c r="R584" s="2" t="inlineStr"/>
    </row>
    <row r="585" ht="15" customHeight="1">
      <c r="A585" t="inlineStr">
        <is>
          <t>A 46572-2025</t>
        </is>
      </c>
      <c r="B585" s="1" t="n">
        <v>45926.3683912037</v>
      </c>
      <c r="C585" s="1" t="n">
        <v>45976</v>
      </c>
      <c r="D585" t="inlineStr">
        <is>
          <t>NORRBOTTENS LÄN</t>
        </is>
      </c>
      <c r="E585" t="inlineStr">
        <is>
          <t>LULEÅ</t>
        </is>
      </c>
      <c r="G585" t="n">
        <v>15.1</v>
      </c>
      <c r="H585" t="n">
        <v>0</v>
      </c>
      <c r="I585" t="n">
        <v>0</v>
      </c>
      <c r="J585" t="n">
        <v>0</v>
      </c>
      <c r="K585" t="n">
        <v>0</v>
      </c>
      <c r="L585" t="n">
        <v>0</v>
      </c>
      <c r="M585" t="n">
        <v>0</v>
      </c>
      <c r="N585" t="n">
        <v>0</v>
      </c>
      <c r="O585" t="n">
        <v>0</v>
      </c>
      <c r="P585" t="n">
        <v>0</v>
      </c>
      <c r="Q585" t="n">
        <v>0</v>
      </c>
      <c r="R585" s="2" t="inlineStr"/>
    </row>
    <row r="586" ht="15" customHeight="1">
      <c r="A586" t="inlineStr">
        <is>
          <t>A 22364-2021</t>
        </is>
      </c>
      <c r="B586" s="1" t="n">
        <v>44322</v>
      </c>
      <c r="C586" s="1" t="n">
        <v>45976</v>
      </c>
      <c r="D586" t="inlineStr">
        <is>
          <t>NORRBOTTENS LÄN</t>
        </is>
      </c>
      <c r="E586" t="inlineStr">
        <is>
          <t>LULEÅ</t>
        </is>
      </c>
      <c r="G586" t="n">
        <v>1.8</v>
      </c>
      <c r="H586" t="n">
        <v>0</v>
      </c>
      <c r="I586" t="n">
        <v>0</v>
      </c>
      <c r="J586" t="n">
        <v>0</v>
      </c>
      <c r="K586" t="n">
        <v>0</v>
      </c>
      <c r="L586" t="n">
        <v>0</v>
      </c>
      <c r="M586" t="n">
        <v>0</v>
      </c>
      <c r="N586" t="n">
        <v>0</v>
      </c>
      <c r="O586" t="n">
        <v>0</v>
      </c>
      <c r="P586" t="n">
        <v>0</v>
      </c>
      <c r="Q586" t="n">
        <v>0</v>
      </c>
      <c r="R586" s="2" t="inlineStr"/>
    </row>
    <row r="587" ht="15" customHeight="1">
      <c r="A587" t="inlineStr">
        <is>
          <t>A 7689-2025</t>
        </is>
      </c>
      <c r="B587" s="1" t="n">
        <v>45706</v>
      </c>
      <c r="C587" s="1" t="n">
        <v>45976</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29555-2024</t>
        </is>
      </c>
      <c r="B588" s="1" t="n">
        <v>45484</v>
      </c>
      <c r="C588" s="1" t="n">
        <v>45976</v>
      </c>
      <c r="D588" t="inlineStr">
        <is>
          <t>NORRBOTTENS LÄN</t>
        </is>
      </c>
      <c r="E588" t="inlineStr">
        <is>
          <t>LULEÅ</t>
        </is>
      </c>
      <c r="G588" t="n">
        <v>1.1</v>
      </c>
      <c r="H588" t="n">
        <v>0</v>
      </c>
      <c r="I588" t="n">
        <v>0</v>
      </c>
      <c r="J588" t="n">
        <v>0</v>
      </c>
      <c r="K588" t="n">
        <v>0</v>
      </c>
      <c r="L588" t="n">
        <v>0</v>
      </c>
      <c r="M588" t="n">
        <v>0</v>
      </c>
      <c r="N588" t="n">
        <v>0</v>
      </c>
      <c r="O588" t="n">
        <v>0</v>
      </c>
      <c r="P588" t="n">
        <v>0</v>
      </c>
      <c r="Q588" t="n">
        <v>0</v>
      </c>
      <c r="R588" s="2" t="inlineStr"/>
    </row>
    <row r="589" ht="15" customHeight="1">
      <c r="A589" t="inlineStr">
        <is>
          <t>A 60721-2024</t>
        </is>
      </c>
      <c r="B589" s="1" t="n">
        <v>45644</v>
      </c>
      <c r="C589" s="1" t="n">
        <v>45976</v>
      </c>
      <c r="D589" t="inlineStr">
        <is>
          <t>NORRBOTTENS LÄN</t>
        </is>
      </c>
      <c r="E589" t="inlineStr">
        <is>
          <t>LULEÅ</t>
        </is>
      </c>
      <c r="G589" t="n">
        <v>0.3</v>
      </c>
      <c r="H589" t="n">
        <v>0</v>
      </c>
      <c r="I589" t="n">
        <v>0</v>
      </c>
      <c r="J589" t="n">
        <v>0</v>
      </c>
      <c r="K589" t="n">
        <v>0</v>
      </c>
      <c r="L589" t="n">
        <v>0</v>
      </c>
      <c r="M589" t="n">
        <v>0</v>
      </c>
      <c r="N589" t="n">
        <v>0</v>
      </c>
      <c r="O589" t="n">
        <v>0</v>
      </c>
      <c r="P589" t="n">
        <v>0</v>
      </c>
      <c r="Q589" t="n">
        <v>0</v>
      </c>
      <c r="R589" s="2" t="inlineStr"/>
    </row>
    <row r="590" ht="15" customHeight="1">
      <c r="A590" t="inlineStr">
        <is>
          <t>A 20690-2024</t>
        </is>
      </c>
      <c r="B590" s="1" t="n">
        <v>45436</v>
      </c>
      <c r="C590" s="1" t="n">
        <v>45976</v>
      </c>
      <c r="D590" t="inlineStr">
        <is>
          <t>NORRBOTTENS LÄN</t>
        </is>
      </c>
      <c r="E590" t="inlineStr">
        <is>
          <t>LULEÅ</t>
        </is>
      </c>
      <c r="G590" t="n">
        <v>2.6</v>
      </c>
      <c r="H590" t="n">
        <v>0</v>
      </c>
      <c r="I590" t="n">
        <v>0</v>
      </c>
      <c r="J590" t="n">
        <v>0</v>
      </c>
      <c r="K590" t="n">
        <v>0</v>
      </c>
      <c r="L590" t="n">
        <v>0</v>
      </c>
      <c r="M590" t="n">
        <v>0</v>
      </c>
      <c r="N590" t="n">
        <v>0</v>
      </c>
      <c r="O590" t="n">
        <v>0</v>
      </c>
      <c r="P590" t="n">
        <v>0</v>
      </c>
      <c r="Q590" t="n">
        <v>0</v>
      </c>
      <c r="R590" s="2" t="inlineStr"/>
    </row>
    <row r="591" ht="15" customHeight="1">
      <c r="A591" t="inlineStr">
        <is>
          <t>A 4237-2025</t>
        </is>
      </c>
      <c r="B591" s="1" t="n">
        <v>45685</v>
      </c>
      <c r="C591" s="1" t="n">
        <v>45976</v>
      </c>
      <c r="D591" t="inlineStr">
        <is>
          <t>NORRBOTTENS LÄN</t>
        </is>
      </c>
      <c r="E591" t="inlineStr">
        <is>
          <t>LULEÅ</t>
        </is>
      </c>
      <c r="G591" t="n">
        <v>4.9</v>
      </c>
      <c r="H591" t="n">
        <v>0</v>
      </c>
      <c r="I591" t="n">
        <v>0</v>
      </c>
      <c r="J591" t="n">
        <v>0</v>
      </c>
      <c r="K591" t="n">
        <v>0</v>
      </c>
      <c r="L591" t="n">
        <v>0</v>
      </c>
      <c r="M591" t="n">
        <v>0</v>
      </c>
      <c r="N591" t="n">
        <v>0</v>
      </c>
      <c r="O591" t="n">
        <v>0</v>
      </c>
      <c r="P591" t="n">
        <v>0</v>
      </c>
      <c r="Q591" t="n">
        <v>0</v>
      </c>
      <c r="R591" s="2" t="inlineStr"/>
    </row>
    <row r="592" ht="15" customHeight="1">
      <c r="A592" t="inlineStr">
        <is>
          <t>A 27107-2025</t>
        </is>
      </c>
      <c r="B592" s="1" t="n">
        <v>45811</v>
      </c>
      <c r="C592" s="1" t="n">
        <v>45976</v>
      </c>
      <c r="D592" t="inlineStr">
        <is>
          <t>NORRBOTTENS LÄN</t>
        </is>
      </c>
      <c r="E592" t="inlineStr">
        <is>
          <t>LULEÅ</t>
        </is>
      </c>
      <c r="G592" t="n">
        <v>1.3</v>
      </c>
      <c r="H592" t="n">
        <v>0</v>
      </c>
      <c r="I592" t="n">
        <v>0</v>
      </c>
      <c r="J592" t="n">
        <v>0</v>
      </c>
      <c r="K592" t="n">
        <v>0</v>
      </c>
      <c r="L592" t="n">
        <v>0</v>
      </c>
      <c r="M592" t="n">
        <v>0</v>
      </c>
      <c r="N592" t="n">
        <v>0</v>
      </c>
      <c r="O592" t="n">
        <v>0</v>
      </c>
      <c r="P592" t="n">
        <v>0</v>
      </c>
      <c r="Q592" t="n">
        <v>0</v>
      </c>
      <c r="R592" s="2" t="inlineStr"/>
    </row>
    <row r="593" ht="15" customHeight="1">
      <c r="A593" t="inlineStr">
        <is>
          <t>A 59115-2021</t>
        </is>
      </c>
      <c r="B593" s="1" t="n">
        <v>44490.43877314815</v>
      </c>
      <c r="C593" s="1" t="n">
        <v>45976</v>
      </c>
      <c r="D593" t="inlineStr">
        <is>
          <t>NORRBOTTENS LÄN</t>
        </is>
      </c>
      <c r="E593" t="inlineStr">
        <is>
          <t>LULEÅ</t>
        </is>
      </c>
      <c r="F593" t="inlineStr">
        <is>
          <t>Kommuner</t>
        </is>
      </c>
      <c r="G593" t="n">
        <v>2.4</v>
      </c>
      <c r="H593" t="n">
        <v>0</v>
      </c>
      <c r="I593" t="n">
        <v>0</v>
      </c>
      <c r="J593" t="n">
        <v>0</v>
      </c>
      <c r="K593" t="n">
        <v>0</v>
      </c>
      <c r="L593" t="n">
        <v>0</v>
      </c>
      <c r="M593" t="n">
        <v>0</v>
      </c>
      <c r="N593" t="n">
        <v>0</v>
      </c>
      <c r="O593" t="n">
        <v>0</v>
      </c>
      <c r="P593" t="n">
        <v>0</v>
      </c>
      <c r="Q593" t="n">
        <v>0</v>
      </c>
      <c r="R593" s="2" t="inlineStr"/>
    </row>
    <row r="594" ht="15" customHeight="1">
      <c r="A594" t="inlineStr">
        <is>
          <t>A 27463-2025</t>
        </is>
      </c>
      <c r="B594" s="1" t="n">
        <v>45813.34618055556</v>
      </c>
      <c r="C594" s="1" t="n">
        <v>45976</v>
      </c>
      <c r="D594" t="inlineStr">
        <is>
          <t>NORRBOTTENS LÄN</t>
        </is>
      </c>
      <c r="E594" t="inlineStr">
        <is>
          <t>LULEÅ</t>
        </is>
      </c>
      <c r="F594" t="inlineStr">
        <is>
          <t>Naturvårdsverket</t>
        </is>
      </c>
      <c r="G594" t="n">
        <v>8.6</v>
      </c>
      <c r="H594" t="n">
        <v>0</v>
      </c>
      <c r="I594" t="n">
        <v>0</v>
      </c>
      <c r="J594" t="n">
        <v>0</v>
      </c>
      <c r="K594" t="n">
        <v>0</v>
      </c>
      <c r="L594" t="n">
        <v>0</v>
      </c>
      <c r="M594" t="n">
        <v>0</v>
      </c>
      <c r="N594" t="n">
        <v>0</v>
      </c>
      <c r="O594" t="n">
        <v>0</v>
      </c>
      <c r="P594" t="n">
        <v>0</v>
      </c>
      <c r="Q594" t="n">
        <v>0</v>
      </c>
      <c r="R594" s="2" t="inlineStr"/>
    </row>
    <row r="595" ht="15" customHeight="1">
      <c r="A595" t="inlineStr">
        <is>
          <t>A 27526-2025</t>
        </is>
      </c>
      <c r="B595" s="1" t="n">
        <v>45813</v>
      </c>
      <c r="C595" s="1" t="n">
        <v>45976</v>
      </c>
      <c r="D595" t="inlineStr">
        <is>
          <t>NORRBOTTENS LÄN</t>
        </is>
      </c>
      <c r="E595" t="inlineStr">
        <is>
          <t>LULEÅ</t>
        </is>
      </c>
      <c r="G595" t="n">
        <v>5.7</v>
      </c>
      <c r="H595" t="n">
        <v>0</v>
      </c>
      <c r="I595" t="n">
        <v>0</v>
      </c>
      <c r="J595" t="n">
        <v>0</v>
      </c>
      <c r="K595" t="n">
        <v>0</v>
      </c>
      <c r="L595" t="n">
        <v>0</v>
      </c>
      <c r="M595" t="n">
        <v>0</v>
      </c>
      <c r="N595" t="n">
        <v>0</v>
      </c>
      <c r="O595" t="n">
        <v>0</v>
      </c>
      <c r="P595" t="n">
        <v>0</v>
      </c>
      <c r="Q595" t="n">
        <v>0</v>
      </c>
      <c r="R595" s="2" t="inlineStr"/>
    </row>
    <row r="596" ht="15" customHeight="1">
      <c r="A596" t="inlineStr">
        <is>
          <t>A 26925-2024</t>
        </is>
      </c>
      <c r="B596" s="1" t="n">
        <v>45470.93118055556</v>
      </c>
      <c r="C596" s="1" t="n">
        <v>45976</v>
      </c>
      <c r="D596" t="inlineStr">
        <is>
          <t>NORRBOTTENS LÄN</t>
        </is>
      </c>
      <c r="E596" t="inlineStr">
        <is>
          <t>LULEÅ</t>
        </is>
      </c>
      <c r="G596" t="n">
        <v>1.6</v>
      </c>
      <c r="H596" t="n">
        <v>0</v>
      </c>
      <c r="I596" t="n">
        <v>0</v>
      </c>
      <c r="J596" t="n">
        <v>0</v>
      </c>
      <c r="K596" t="n">
        <v>0</v>
      </c>
      <c r="L596" t="n">
        <v>0</v>
      </c>
      <c r="M596" t="n">
        <v>0</v>
      </c>
      <c r="N596" t="n">
        <v>0</v>
      </c>
      <c r="O596" t="n">
        <v>0</v>
      </c>
      <c r="P596" t="n">
        <v>0</v>
      </c>
      <c r="Q596" t="n">
        <v>0</v>
      </c>
      <c r="R596" s="2" t="inlineStr"/>
    </row>
    <row r="597" ht="15" customHeight="1">
      <c r="A597" t="inlineStr">
        <is>
          <t>A 50099-2025</t>
        </is>
      </c>
      <c r="B597" s="1" t="n">
        <v>45943</v>
      </c>
      <c r="C597" s="1" t="n">
        <v>45976</v>
      </c>
      <c r="D597" t="inlineStr">
        <is>
          <t>NORRBOTTENS LÄN</t>
        </is>
      </c>
      <c r="E597" t="inlineStr">
        <is>
          <t>LULEÅ</t>
        </is>
      </c>
      <c r="G597" t="n">
        <v>11.6</v>
      </c>
      <c r="H597" t="n">
        <v>0</v>
      </c>
      <c r="I597" t="n">
        <v>0</v>
      </c>
      <c r="J597" t="n">
        <v>0</v>
      </c>
      <c r="K597" t="n">
        <v>0</v>
      </c>
      <c r="L597" t="n">
        <v>0</v>
      </c>
      <c r="M597" t="n">
        <v>0</v>
      </c>
      <c r="N597" t="n">
        <v>0</v>
      </c>
      <c r="O597" t="n">
        <v>0</v>
      </c>
      <c r="P597" t="n">
        <v>0</v>
      </c>
      <c r="Q597" t="n">
        <v>0</v>
      </c>
      <c r="R597" s="2" t="inlineStr"/>
    </row>
    <row r="598" ht="15" customHeight="1">
      <c r="A598" t="inlineStr">
        <is>
          <t>A 37765-2021</t>
        </is>
      </c>
      <c r="B598" s="1" t="n">
        <v>44400</v>
      </c>
      <c r="C598" s="1" t="n">
        <v>45976</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822-2025</t>
        </is>
      </c>
      <c r="B599" s="1" t="n">
        <v>45664</v>
      </c>
      <c r="C599" s="1" t="n">
        <v>45976</v>
      </c>
      <c r="D599" t="inlineStr">
        <is>
          <t>NORRBOTTENS LÄN</t>
        </is>
      </c>
      <c r="E599" t="inlineStr">
        <is>
          <t>LULEÅ</t>
        </is>
      </c>
      <c r="G599" t="n">
        <v>0.9</v>
      </c>
      <c r="H599" t="n">
        <v>0</v>
      </c>
      <c r="I599" t="n">
        <v>0</v>
      </c>
      <c r="J599" t="n">
        <v>0</v>
      </c>
      <c r="K599" t="n">
        <v>0</v>
      </c>
      <c r="L599" t="n">
        <v>0</v>
      </c>
      <c r="M599" t="n">
        <v>0</v>
      </c>
      <c r="N599" t="n">
        <v>0</v>
      </c>
      <c r="O599" t="n">
        <v>0</v>
      </c>
      <c r="P599" t="n">
        <v>0</v>
      </c>
      <c r="Q599" t="n">
        <v>0</v>
      </c>
      <c r="R599" s="2" t="inlineStr"/>
    </row>
    <row r="600" ht="15" customHeight="1">
      <c r="A600" t="inlineStr">
        <is>
          <t>A 28344-2025</t>
        </is>
      </c>
      <c r="B600" s="1" t="n">
        <v>45817</v>
      </c>
      <c r="C600" s="1" t="n">
        <v>45976</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5038-2025</t>
        </is>
      </c>
      <c r="B601" s="1" t="n">
        <v>45691.42896990741</v>
      </c>
      <c r="C601" s="1" t="n">
        <v>45976</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5051-2025</t>
        </is>
      </c>
      <c r="B602" s="1" t="n">
        <v>45691.45101851852</v>
      </c>
      <c r="C602" s="1" t="n">
        <v>45976</v>
      </c>
      <c r="D602" t="inlineStr">
        <is>
          <t>NORRBOTTENS LÄN</t>
        </is>
      </c>
      <c r="E602" t="inlineStr">
        <is>
          <t>LULEÅ</t>
        </is>
      </c>
      <c r="G602" t="n">
        <v>0.9</v>
      </c>
      <c r="H602" t="n">
        <v>0</v>
      </c>
      <c r="I602" t="n">
        <v>0</v>
      </c>
      <c r="J602" t="n">
        <v>0</v>
      </c>
      <c r="K602" t="n">
        <v>0</v>
      </c>
      <c r="L602" t="n">
        <v>0</v>
      </c>
      <c r="M602" t="n">
        <v>0</v>
      </c>
      <c r="N602" t="n">
        <v>0</v>
      </c>
      <c r="O602" t="n">
        <v>0</v>
      </c>
      <c r="P602" t="n">
        <v>0</v>
      </c>
      <c r="Q602" t="n">
        <v>0</v>
      </c>
      <c r="R602" s="2" t="inlineStr"/>
    </row>
    <row r="603" ht="15" customHeight="1">
      <c r="A603" t="inlineStr">
        <is>
          <t>A 47512-2025</t>
        </is>
      </c>
      <c r="B603" s="1" t="n">
        <v>45930</v>
      </c>
      <c r="C603" s="1" t="n">
        <v>45976</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55735-2025</t>
        </is>
      </c>
      <c r="B604" s="1" t="n">
        <v>45972</v>
      </c>
      <c r="C604" s="1" t="n">
        <v>45976</v>
      </c>
      <c r="D604" t="inlineStr">
        <is>
          <t>NORRBOTTENS LÄN</t>
        </is>
      </c>
      <c r="E604" t="inlineStr">
        <is>
          <t>LULEÅ</t>
        </is>
      </c>
      <c r="G604" t="n">
        <v>1.2</v>
      </c>
      <c r="H604" t="n">
        <v>0</v>
      </c>
      <c r="I604" t="n">
        <v>0</v>
      </c>
      <c r="J604" t="n">
        <v>0</v>
      </c>
      <c r="K604" t="n">
        <v>0</v>
      </c>
      <c r="L604" t="n">
        <v>0</v>
      </c>
      <c r="M604" t="n">
        <v>0</v>
      </c>
      <c r="N604" t="n">
        <v>0</v>
      </c>
      <c r="O604" t="n">
        <v>0</v>
      </c>
      <c r="P604" t="n">
        <v>0</v>
      </c>
      <c r="Q604" t="n">
        <v>0</v>
      </c>
      <c r="R604" s="2" t="inlineStr"/>
    </row>
    <row r="605" ht="15" customHeight="1">
      <c r="A605" t="inlineStr">
        <is>
          <t>A 47246-2022</t>
        </is>
      </c>
      <c r="B605" s="1" t="n">
        <v>44852</v>
      </c>
      <c r="C605" s="1" t="n">
        <v>45976</v>
      </c>
      <c r="D605" t="inlineStr">
        <is>
          <t>NORRBOTTENS LÄN</t>
        </is>
      </c>
      <c r="E605" t="inlineStr">
        <is>
          <t>LULEÅ</t>
        </is>
      </c>
      <c r="G605" t="n">
        <v>2.9</v>
      </c>
      <c r="H605" t="n">
        <v>0</v>
      </c>
      <c r="I605" t="n">
        <v>0</v>
      </c>
      <c r="J605" t="n">
        <v>0</v>
      </c>
      <c r="K605" t="n">
        <v>0</v>
      </c>
      <c r="L605" t="n">
        <v>0</v>
      </c>
      <c r="M605" t="n">
        <v>0</v>
      </c>
      <c r="N605" t="n">
        <v>0</v>
      </c>
      <c r="O605" t="n">
        <v>0</v>
      </c>
      <c r="P605" t="n">
        <v>0</v>
      </c>
      <c r="Q605" t="n">
        <v>0</v>
      </c>
      <c r="R605" s="2" t="inlineStr"/>
    </row>
    <row r="606" ht="15" customHeight="1">
      <c r="A606" t="inlineStr">
        <is>
          <t>A 47888-2025</t>
        </is>
      </c>
      <c r="B606" s="1" t="n">
        <v>45932.46949074074</v>
      </c>
      <c r="C606" s="1" t="n">
        <v>45976</v>
      </c>
      <c r="D606" t="inlineStr">
        <is>
          <t>NORRBOTTENS LÄN</t>
        </is>
      </c>
      <c r="E606" t="inlineStr">
        <is>
          <t>LULEÅ</t>
        </is>
      </c>
      <c r="G606" t="n">
        <v>3.5</v>
      </c>
      <c r="H606" t="n">
        <v>0</v>
      </c>
      <c r="I606" t="n">
        <v>0</v>
      </c>
      <c r="J606" t="n">
        <v>0</v>
      </c>
      <c r="K606" t="n">
        <v>0</v>
      </c>
      <c r="L606" t="n">
        <v>0</v>
      </c>
      <c r="M606" t="n">
        <v>0</v>
      </c>
      <c r="N606" t="n">
        <v>0</v>
      </c>
      <c r="O606" t="n">
        <v>0</v>
      </c>
      <c r="P606" t="n">
        <v>0</v>
      </c>
      <c r="Q606" t="n">
        <v>0</v>
      </c>
      <c r="R606" s="2" t="inlineStr"/>
    </row>
    <row r="607" ht="15" customHeight="1">
      <c r="A607" t="inlineStr">
        <is>
          <t>A 56643-2025</t>
        </is>
      </c>
      <c r="B607" s="1" t="n">
        <v>45975.62664351852</v>
      </c>
      <c r="C607" s="1" t="n">
        <v>45976</v>
      </c>
      <c r="D607" t="inlineStr">
        <is>
          <t>NORRBOTTENS LÄN</t>
        </is>
      </c>
      <c r="E607" t="inlineStr">
        <is>
          <t>LULEÅ</t>
        </is>
      </c>
      <c r="G607" t="n">
        <v>4.4</v>
      </c>
      <c r="H607" t="n">
        <v>0</v>
      </c>
      <c r="I607" t="n">
        <v>0</v>
      </c>
      <c r="J607" t="n">
        <v>0</v>
      </c>
      <c r="K607" t="n">
        <v>0</v>
      </c>
      <c r="L607" t="n">
        <v>0</v>
      </c>
      <c r="M607" t="n">
        <v>0</v>
      </c>
      <c r="N607" t="n">
        <v>0</v>
      </c>
      <c r="O607" t="n">
        <v>0</v>
      </c>
      <c r="P607" t="n">
        <v>0</v>
      </c>
      <c r="Q607" t="n">
        <v>0</v>
      </c>
      <c r="R607" s="2" t="inlineStr"/>
    </row>
    <row r="608" ht="15" customHeight="1">
      <c r="A608" t="inlineStr">
        <is>
          <t>A 19526-2025</t>
        </is>
      </c>
      <c r="B608" s="1" t="n">
        <v>45770.46388888889</v>
      </c>
      <c r="C608" s="1" t="n">
        <v>45976</v>
      </c>
      <c r="D608" t="inlineStr">
        <is>
          <t>NORRBOTTENS LÄN</t>
        </is>
      </c>
      <c r="E608" t="inlineStr">
        <is>
          <t>LULEÅ</t>
        </is>
      </c>
      <c r="G608" t="n">
        <v>10.6</v>
      </c>
      <c r="H608" t="n">
        <v>0</v>
      </c>
      <c r="I608" t="n">
        <v>0</v>
      </c>
      <c r="J608" t="n">
        <v>0</v>
      </c>
      <c r="K608" t="n">
        <v>0</v>
      </c>
      <c r="L608" t="n">
        <v>0</v>
      </c>
      <c r="M608" t="n">
        <v>0</v>
      </c>
      <c r="N608" t="n">
        <v>0</v>
      </c>
      <c r="O608" t="n">
        <v>0</v>
      </c>
      <c r="P608" t="n">
        <v>0</v>
      </c>
      <c r="Q608" t="n">
        <v>0</v>
      </c>
      <c r="R608" s="2" t="inlineStr"/>
    </row>
    <row r="609" ht="15" customHeight="1">
      <c r="A609" t="inlineStr">
        <is>
          <t>A 56677-2025</t>
        </is>
      </c>
      <c r="B609" s="1" t="n">
        <v>45975.72868055556</v>
      </c>
      <c r="C609" s="1" t="n">
        <v>45976</v>
      </c>
      <c r="D609" t="inlineStr">
        <is>
          <t>NORRBOTTENS LÄN</t>
        </is>
      </c>
      <c r="E609" t="inlineStr">
        <is>
          <t>LULEÅ</t>
        </is>
      </c>
      <c r="G609" t="n">
        <v>5.9</v>
      </c>
      <c r="H609" t="n">
        <v>0</v>
      </c>
      <c r="I609" t="n">
        <v>0</v>
      </c>
      <c r="J609" t="n">
        <v>0</v>
      </c>
      <c r="K609" t="n">
        <v>0</v>
      </c>
      <c r="L609" t="n">
        <v>0</v>
      </c>
      <c r="M609" t="n">
        <v>0</v>
      </c>
      <c r="N609" t="n">
        <v>0</v>
      </c>
      <c r="O609" t="n">
        <v>0</v>
      </c>
      <c r="P609" t="n">
        <v>0</v>
      </c>
      <c r="Q609" t="n">
        <v>0</v>
      </c>
      <c r="R609" s="2" t="inlineStr"/>
    </row>
    <row r="610" ht="15" customHeight="1">
      <c r="A610" t="inlineStr">
        <is>
          <t>A 55734-2025</t>
        </is>
      </c>
      <c r="B610" s="1" t="n">
        <v>45972</v>
      </c>
      <c r="C610" s="1" t="n">
        <v>45976</v>
      </c>
      <c r="D610" t="inlineStr">
        <is>
          <t>NORRBOTTENS LÄN</t>
        </is>
      </c>
      <c r="E610" t="inlineStr">
        <is>
          <t>LULEÅ</t>
        </is>
      </c>
      <c r="G610" t="n">
        <v>7.6</v>
      </c>
      <c r="H610" t="n">
        <v>0</v>
      </c>
      <c r="I610" t="n">
        <v>0</v>
      </c>
      <c r="J610" t="n">
        <v>0</v>
      </c>
      <c r="K610" t="n">
        <v>0</v>
      </c>
      <c r="L610" t="n">
        <v>0</v>
      </c>
      <c r="M610" t="n">
        <v>0</v>
      </c>
      <c r="N610" t="n">
        <v>0</v>
      </c>
      <c r="O610" t="n">
        <v>0</v>
      </c>
      <c r="P610" t="n">
        <v>0</v>
      </c>
      <c r="Q610" t="n">
        <v>0</v>
      </c>
      <c r="R610" s="2" t="inlineStr"/>
    </row>
    <row r="611" ht="15" customHeight="1">
      <c r="A611" t="inlineStr">
        <is>
          <t>A 30785-2024</t>
        </is>
      </c>
      <c r="B611" s="1" t="n">
        <v>45496</v>
      </c>
      <c r="C611" s="1" t="n">
        <v>45976</v>
      </c>
      <c r="D611" t="inlineStr">
        <is>
          <t>NORRBOTTENS LÄN</t>
        </is>
      </c>
      <c r="E611" t="inlineStr">
        <is>
          <t>LULEÅ</t>
        </is>
      </c>
      <c r="F611" t="inlineStr">
        <is>
          <t>Naturvårdsverket</t>
        </is>
      </c>
      <c r="G611" t="n">
        <v>11.7</v>
      </c>
      <c r="H611" t="n">
        <v>0</v>
      </c>
      <c r="I611" t="n">
        <v>0</v>
      </c>
      <c r="J611" t="n">
        <v>0</v>
      </c>
      <c r="K611" t="n">
        <v>0</v>
      </c>
      <c r="L611" t="n">
        <v>0</v>
      </c>
      <c r="M611" t="n">
        <v>0</v>
      </c>
      <c r="N611" t="n">
        <v>0</v>
      </c>
      <c r="O611" t="n">
        <v>0</v>
      </c>
      <c r="P611" t="n">
        <v>0</v>
      </c>
      <c r="Q611" t="n">
        <v>0</v>
      </c>
      <c r="R611" s="2" t="inlineStr"/>
    </row>
    <row r="612" ht="15" customHeight="1">
      <c r="A612" t="inlineStr">
        <is>
          <t>A 8022-2024</t>
        </is>
      </c>
      <c r="B612" s="1" t="n">
        <v>45350</v>
      </c>
      <c r="C612" s="1" t="n">
        <v>45976</v>
      </c>
      <c r="D612" t="inlineStr">
        <is>
          <t>NORRBOTTENS LÄN</t>
        </is>
      </c>
      <c r="E612" t="inlineStr">
        <is>
          <t>LULEÅ</t>
        </is>
      </c>
      <c r="G612" t="n">
        <v>2.3</v>
      </c>
      <c r="H612" t="n">
        <v>0</v>
      </c>
      <c r="I612" t="n">
        <v>0</v>
      </c>
      <c r="J612" t="n">
        <v>0</v>
      </c>
      <c r="K612" t="n">
        <v>0</v>
      </c>
      <c r="L612" t="n">
        <v>0</v>
      </c>
      <c r="M612" t="n">
        <v>0</v>
      </c>
      <c r="N612" t="n">
        <v>0</v>
      </c>
      <c r="O612" t="n">
        <v>0</v>
      </c>
      <c r="P612" t="n">
        <v>0</v>
      </c>
      <c r="Q612" t="n">
        <v>0</v>
      </c>
      <c r="R612" s="2" t="inlineStr"/>
    </row>
    <row r="613" ht="15" customHeight="1">
      <c r="A613" t="inlineStr">
        <is>
          <t>A 12539-2024</t>
        </is>
      </c>
      <c r="B613" s="1" t="n">
        <v>45379</v>
      </c>
      <c r="C613" s="1" t="n">
        <v>45976</v>
      </c>
      <c r="D613" t="inlineStr">
        <is>
          <t>NORRBOTTENS LÄN</t>
        </is>
      </c>
      <c r="E613" t="inlineStr">
        <is>
          <t>LULEÅ</t>
        </is>
      </c>
      <c r="G613" t="n">
        <v>0.6</v>
      </c>
      <c r="H613" t="n">
        <v>0</v>
      </c>
      <c r="I613" t="n">
        <v>0</v>
      </c>
      <c r="J613" t="n">
        <v>0</v>
      </c>
      <c r="K613" t="n">
        <v>0</v>
      </c>
      <c r="L613" t="n">
        <v>0</v>
      </c>
      <c r="M613" t="n">
        <v>0</v>
      </c>
      <c r="N613" t="n">
        <v>0</v>
      </c>
      <c r="O613" t="n">
        <v>0</v>
      </c>
      <c r="P613" t="n">
        <v>0</v>
      </c>
      <c r="Q613" t="n">
        <v>0</v>
      </c>
      <c r="R613" s="2" t="inlineStr"/>
    </row>
    <row r="614" ht="15" customHeight="1">
      <c r="A614" t="inlineStr">
        <is>
          <t>A 30727-2023</t>
        </is>
      </c>
      <c r="B614" s="1" t="n">
        <v>45112</v>
      </c>
      <c r="C614" s="1" t="n">
        <v>45976</v>
      </c>
      <c r="D614" t="inlineStr">
        <is>
          <t>NORRBOTTENS LÄN</t>
        </is>
      </c>
      <c r="E614" t="inlineStr">
        <is>
          <t>LULEÅ</t>
        </is>
      </c>
      <c r="G614" t="n">
        <v>1.8</v>
      </c>
      <c r="H614" t="n">
        <v>0</v>
      </c>
      <c r="I614" t="n">
        <v>0</v>
      </c>
      <c r="J614" t="n">
        <v>0</v>
      </c>
      <c r="K614" t="n">
        <v>0</v>
      </c>
      <c r="L614" t="n">
        <v>0</v>
      </c>
      <c r="M614" t="n">
        <v>0</v>
      </c>
      <c r="N614" t="n">
        <v>0</v>
      </c>
      <c r="O614" t="n">
        <v>0</v>
      </c>
      <c r="P614" t="n">
        <v>0</v>
      </c>
      <c r="Q614" t="n">
        <v>0</v>
      </c>
      <c r="R614" s="2" t="inlineStr"/>
    </row>
    <row r="615" ht="15" customHeight="1">
      <c r="A615" t="inlineStr">
        <is>
          <t>A 29332-2025</t>
        </is>
      </c>
      <c r="B615" s="1" t="n">
        <v>45824</v>
      </c>
      <c r="C615" s="1" t="n">
        <v>45976</v>
      </c>
      <c r="D615" t="inlineStr">
        <is>
          <t>NORRBOTTENS LÄN</t>
        </is>
      </c>
      <c r="E615" t="inlineStr">
        <is>
          <t>LULEÅ</t>
        </is>
      </c>
      <c r="G615" t="n">
        <v>3</v>
      </c>
      <c r="H615" t="n">
        <v>0</v>
      </c>
      <c r="I615" t="n">
        <v>0</v>
      </c>
      <c r="J615" t="n">
        <v>0</v>
      </c>
      <c r="K615" t="n">
        <v>0</v>
      </c>
      <c r="L615" t="n">
        <v>0</v>
      </c>
      <c r="M615" t="n">
        <v>0</v>
      </c>
      <c r="N615" t="n">
        <v>0</v>
      </c>
      <c r="O615" t="n">
        <v>0</v>
      </c>
      <c r="P615" t="n">
        <v>0</v>
      </c>
      <c r="Q615" t="n">
        <v>0</v>
      </c>
      <c r="R615" s="2" t="inlineStr"/>
    </row>
    <row r="616" ht="15" customHeight="1">
      <c r="A616" t="inlineStr">
        <is>
          <t>A 29530-2025</t>
        </is>
      </c>
      <c r="B616" s="1" t="n">
        <v>45825.3443287037</v>
      </c>
      <c r="C616" s="1" t="n">
        <v>45976</v>
      </c>
      <c r="D616" t="inlineStr">
        <is>
          <t>NORRBOTTENS LÄN</t>
        </is>
      </c>
      <c r="E616" t="inlineStr">
        <is>
          <t>LULEÅ</t>
        </is>
      </c>
      <c r="F616" t="inlineStr">
        <is>
          <t>SCA</t>
        </is>
      </c>
      <c r="G616" t="n">
        <v>17.5</v>
      </c>
      <c r="H616" t="n">
        <v>0</v>
      </c>
      <c r="I616" t="n">
        <v>0</v>
      </c>
      <c r="J616" t="n">
        <v>0</v>
      </c>
      <c r="K616" t="n">
        <v>0</v>
      </c>
      <c r="L616" t="n">
        <v>0</v>
      </c>
      <c r="M616" t="n">
        <v>0</v>
      </c>
      <c r="N616" t="n">
        <v>0</v>
      </c>
      <c r="O616" t="n">
        <v>0</v>
      </c>
      <c r="P616" t="n">
        <v>0</v>
      </c>
      <c r="Q616" t="n">
        <v>0</v>
      </c>
      <c r="R616" s="2" t="inlineStr"/>
    </row>
    <row r="617" ht="15" customHeight="1">
      <c r="A617" t="inlineStr">
        <is>
          <t>A 47849-2025</t>
        </is>
      </c>
      <c r="B617" s="1" t="n">
        <v>45932.38608796296</v>
      </c>
      <c r="C617" s="1" t="n">
        <v>45976</v>
      </c>
      <c r="D617" t="inlineStr">
        <is>
          <t>NORRBOTTENS LÄN</t>
        </is>
      </c>
      <c r="E617" t="inlineStr">
        <is>
          <t>LULEÅ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59400-2024</t>
        </is>
      </c>
      <c r="B618" s="1" t="n">
        <v>45638</v>
      </c>
      <c r="C618" s="1" t="n">
        <v>45976</v>
      </c>
      <c r="D618" t="inlineStr">
        <is>
          <t>NORRBOTTENS LÄN</t>
        </is>
      </c>
      <c r="E618" t="inlineStr">
        <is>
          <t>LULEÅ</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29375-2025</t>
        </is>
      </c>
      <c r="B619" s="1" t="n">
        <v>45824.58546296296</v>
      </c>
      <c r="C619" s="1" t="n">
        <v>45976</v>
      </c>
      <c r="D619" t="inlineStr">
        <is>
          <t>NORRBOTTENS LÄN</t>
        </is>
      </c>
      <c r="E619" t="inlineStr">
        <is>
          <t>LULEÅ</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56142-2025</t>
        </is>
      </c>
      <c r="B620" s="1" t="n">
        <v>45974.34443287037</v>
      </c>
      <c r="C620" s="1" t="n">
        <v>45976</v>
      </c>
      <c r="D620" t="inlineStr">
        <is>
          <t>NORRBOTTENS LÄN</t>
        </is>
      </c>
      <c r="E620" t="inlineStr">
        <is>
          <t>LULEÅ</t>
        </is>
      </c>
      <c r="F620" t="inlineStr">
        <is>
          <t>Naturvårdsverket</t>
        </is>
      </c>
      <c r="G620" t="n">
        <v>2.5</v>
      </c>
      <c r="H620" t="n">
        <v>0</v>
      </c>
      <c r="I620" t="n">
        <v>0</v>
      </c>
      <c r="J620" t="n">
        <v>0</v>
      </c>
      <c r="K620" t="n">
        <v>0</v>
      </c>
      <c r="L620" t="n">
        <v>0</v>
      </c>
      <c r="M620" t="n">
        <v>0</v>
      </c>
      <c r="N620" t="n">
        <v>0</v>
      </c>
      <c r="O620" t="n">
        <v>0</v>
      </c>
      <c r="P620" t="n">
        <v>0</v>
      </c>
      <c r="Q620" t="n">
        <v>0</v>
      </c>
      <c r="R620" s="2" t="inlineStr"/>
    </row>
    <row r="621" ht="15" customHeight="1">
      <c r="A621" t="inlineStr">
        <is>
          <t>A 30035-2025</t>
        </is>
      </c>
      <c r="B621" s="1" t="n">
        <v>45826.57041666667</v>
      </c>
      <c r="C621" s="1" t="n">
        <v>45976</v>
      </c>
      <c r="D621" t="inlineStr">
        <is>
          <t>NORRBOTTENS LÄN</t>
        </is>
      </c>
      <c r="E621" t="inlineStr">
        <is>
          <t>LULEÅ</t>
        </is>
      </c>
      <c r="G621" t="n">
        <v>16.6</v>
      </c>
      <c r="H621" t="n">
        <v>0</v>
      </c>
      <c r="I621" t="n">
        <v>0</v>
      </c>
      <c r="J621" t="n">
        <v>0</v>
      </c>
      <c r="K621" t="n">
        <v>0</v>
      </c>
      <c r="L621" t="n">
        <v>0</v>
      </c>
      <c r="M621" t="n">
        <v>0</v>
      </c>
      <c r="N621" t="n">
        <v>0</v>
      </c>
      <c r="O621" t="n">
        <v>0</v>
      </c>
      <c r="P621" t="n">
        <v>0</v>
      </c>
      <c r="Q621" t="n">
        <v>0</v>
      </c>
      <c r="R621" s="2" t="inlineStr"/>
    </row>
    <row r="622" ht="15" customHeight="1">
      <c r="A622" t="inlineStr">
        <is>
          <t>A 30091-2025</t>
        </is>
      </c>
      <c r="B622" s="1" t="n">
        <v>45826</v>
      </c>
      <c r="C622" s="1" t="n">
        <v>45976</v>
      </c>
      <c r="D622" t="inlineStr">
        <is>
          <t>NORRBOTTENS LÄN</t>
        </is>
      </c>
      <c r="E622" t="inlineStr">
        <is>
          <t>LULEÅ</t>
        </is>
      </c>
      <c r="G622" t="n">
        <v>1.3</v>
      </c>
      <c r="H622" t="n">
        <v>0</v>
      </c>
      <c r="I622" t="n">
        <v>0</v>
      </c>
      <c r="J622" t="n">
        <v>0</v>
      </c>
      <c r="K622" t="n">
        <v>0</v>
      </c>
      <c r="L622" t="n">
        <v>0</v>
      </c>
      <c r="M622" t="n">
        <v>0</v>
      </c>
      <c r="N622" t="n">
        <v>0</v>
      </c>
      <c r="O622" t="n">
        <v>0</v>
      </c>
      <c r="P622" t="n">
        <v>0</v>
      </c>
      <c r="Q622" t="n">
        <v>0</v>
      </c>
      <c r="R622" s="2" t="inlineStr"/>
    </row>
    <row r="623" ht="15" customHeight="1">
      <c r="A623" t="inlineStr">
        <is>
          <t>A 47928-2025</t>
        </is>
      </c>
      <c r="B623" s="1" t="n">
        <v>45932.54988425926</v>
      </c>
      <c r="C623" s="1" t="n">
        <v>45976</v>
      </c>
      <c r="D623" t="inlineStr">
        <is>
          <t>NORRBOTTENS LÄN</t>
        </is>
      </c>
      <c r="E623" t="inlineStr">
        <is>
          <t>LULEÅ</t>
        </is>
      </c>
      <c r="G623" t="n">
        <v>4.4</v>
      </c>
      <c r="H623" t="n">
        <v>0</v>
      </c>
      <c r="I623" t="n">
        <v>0</v>
      </c>
      <c r="J623" t="n">
        <v>0</v>
      </c>
      <c r="K623" t="n">
        <v>0</v>
      </c>
      <c r="L623" t="n">
        <v>0</v>
      </c>
      <c r="M623" t="n">
        <v>0</v>
      </c>
      <c r="N623" t="n">
        <v>0</v>
      </c>
      <c r="O623" t="n">
        <v>0</v>
      </c>
      <c r="P623" t="n">
        <v>0</v>
      </c>
      <c r="Q623" t="n">
        <v>0</v>
      </c>
      <c r="R623" s="2" t="inlineStr"/>
    </row>
    <row r="624" ht="15" customHeight="1">
      <c r="A624" t="inlineStr">
        <is>
          <t>A 47937-2025</t>
        </is>
      </c>
      <c r="B624" s="1" t="n">
        <v>45932.56042824074</v>
      </c>
      <c r="C624" s="1" t="n">
        <v>45976</v>
      </c>
      <c r="D624" t="inlineStr">
        <is>
          <t>NORRBOTTENS LÄN</t>
        </is>
      </c>
      <c r="E624" t="inlineStr">
        <is>
          <t>LULEÅ</t>
        </is>
      </c>
      <c r="G624" t="n">
        <v>7</v>
      </c>
      <c r="H624" t="n">
        <v>0</v>
      </c>
      <c r="I624" t="n">
        <v>0</v>
      </c>
      <c r="J624" t="n">
        <v>0</v>
      </c>
      <c r="K624" t="n">
        <v>0</v>
      </c>
      <c r="L624" t="n">
        <v>0</v>
      </c>
      <c r="M624" t="n">
        <v>0</v>
      </c>
      <c r="N624" t="n">
        <v>0</v>
      </c>
      <c r="O624" t="n">
        <v>0</v>
      </c>
      <c r="P624" t="n">
        <v>0</v>
      </c>
      <c r="Q624" t="n">
        <v>0</v>
      </c>
      <c r="R624" s="2" t="inlineStr"/>
    </row>
    <row r="625" ht="15" customHeight="1">
      <c r="A625" t="inlineStr">
        <is>
          <t>A 29896-2025</t>
        </is>
      </c>
      <c r="B625" s="1" t="n">
        <v>45826.38290509259</v>
      </c>
      <c r="C625" s="1" t="n">
        <v>45976</v>
      </c>
      <c r="D625" t="inlineStr">
        <is>
          <t>NORRBOTTENS LÄN</t>
        </is>
      </c>
      <c r="E625" t="inlineStr">
        <is>
          <t>LULEÅ</t>
        </is>
      </c>
      <c r="G625" t="n">
        <v>17.9</v>
      </c>
      <c r="H625" t="n">
        <v>0</v>
      </c>
      <c r="I625" t="n">
        <v>0</v>
      </c>
      <c r="J625" t="n">
        <v>0</v>
      </c>
      <c r="K625" t="n">
        <v>0</v>
      </c>
      <c r="L625" t="n">
        <v>0</v>
      </c>
      <c r="M625" t="n">
        <v>0</v>
      </c>
      <c r="N625" t="n">
        <v>0</v>
      </c>
      <c r="O625" t="n">
        <v>0</v>
      </c>
      <c r="P625" t="n">
        <v>0</v>
      </c>
      <c r="Q625" t="n">
        <v>0</v>
      </c>
      <c r="R625" s="2" t="inlineStr"/>
    </row>
    <row r="626" ht="15" customHeight="1">
      <c r="A626" t="inlineStr">
        <is>
          <t>A 30241-2025</t>
        </is>
      </c>
      <c r="B626" s="1" t="n">
        <v>45827.40512731481</v>
      </c>
      <c r="C626" s="1" t="n">
        <v>45976</v>
      </c>
      <c r="D626" t="inlineStr">
        <is>
          <t>NORRBOTTENS LÄN</t>
        </is>
      </c>
      <c r="E626" t="inlineStr">
        <is>
          <t>LULEÅ</t>
        </is>
      </c>
      <c r="G626" t="n">
        <v>3</v>
      </c>
      <c r="H626" t="n">
        <v>0</v>
      </c>
      <c r="I626" t="n">
        <v>0</v>
      </c>
      <c r="J626" t="n">
        <v>0</v>
      </c>
      <c r="K626" t="n">
        <v>0</v>
      </c>
      <c r="L626" t="n">
        <v>0</v>
      </c>
      <c r="M626" t="n">
        <v>0</v>
      </c>
      <c r="N626" t="n">
        <v>0</v>
      </c>
      <c r="O626" t="n">
        <v>0</v>
      </c>
      <c r="P626" t="n">
        <v>0</v>
      </c>
      <c r="Q626" t="n">
        <v>0</v>
      </c>
      <c r="R626" s="2" t="inlineStr"/>
    </row>
    <row r="627" ht="15" customHeight="1">
      <c r="A627" t="inlineStr">
        <is>
          <t>A 30059-2025</t>
        </is>
      </c>
      <c r="B627" s="1" t="n">
        <v>45826.61388888889</v>
      </c>
      <c r="C627" s="1" t="n">
        <v>45976</v>
      </c>
      <c r="D627" t="inlineStr">
        <is>
          <t>NORRBOTTENS LÄN</t>
        </is>
      </c>
      <c r="E627" t="inlineStr">
        <is>
          <t>LULEÅ</t>
        </is>
      </c>
      <c r="G627" t="n">
        <v>1.2</v>
      </c>
      <c r="H627" t="n">
        <v>0</v>
      </c>
      <c r="I627" t="n">
        <v>0</v>
      </c>
      <c r="J627" t="n">
        <v>0</v>
      </c>
      <c r="K627" t="n">
        <v>0</v>
      </c>
      <c r="L627" t="n">
        <v>0</v>
      </c>
      <c r="M627" t="n">
        <v>0</v>
      </c>
      <c r="N627" t="n">
        <v>0</v>
      </c>
      <c r="O627" t="n">
        <v>0</v>
      </c>
      <c r="P627" t="n">
        <v>0</v>
      </c>
      <c r="Q627" t="n">
        <v>0</v>
      </c>
      <c r="R627" s="2" t="inlineStr"/>
    </row>
    <row r="628" ht="15" customHeight="1">
      <c r="A628" t="inlineStr">
        <is>
          <t>A 30065-2025</t>
        </is>
      </c>
      <c r="B628" s="1" t="n">
        <v>45826.6207175926</v>
      </c>
      <c r="C628" s="1" t="n">
        <v>45976</v>
      </c>
      <c r="D628" t="inlineStr">
        <is>
          <t>NORRBOTTENS LÄN</t>
        </is>
      </c>
      <c r="E628" t="inlineStr">
        <is>
          <t>LULEÅ</t>
        </is>
      </c>
      <c r="G628" t="n">
        <v>4</v>
      </c>
      <c r="H628" t="n">
        <v>0</v>
      </c>
      <c r="I628" t="n">
        <v>0</v>
      </c>
      <c r="J628" t="n">
        <v>0</v>
      </c>
      <c r="K628" t="n">
        <v>0</v>
      </c>
      <c r="L628" t="n">
        <v>0</v>
      </c>
      <c r="M628" t="n">
        <v>0</v>
      </c>
      <c r="N628" t="n">
        <v>0</v>
      </c>
      <c r="O628" t="n">
        <v>0</v>
      </c>
      <c r="P628" t="n">
        <v>0</v>
      </c>
      <c r="Q628" t="n">
        <v>0</v>
      </c>
      <c r="R628" s="2" t="inlineStr"/>
    </row>
    <row r="629" ht="15" customHeight="1">
      <c r="A629" t="inlineStr">
        <is>
          <t>A 30080-2025</t>
        </is>
      </c>
      <c r="B629" s="1" t="n">
        <v>45826.65047453704</v>
      </c>
      <c r="C629" s="1" t="n">
        <v>45976</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30245-2025</t>
        </is>
      </c>
      <c r="B630" s="1" t="n">
        <v>45827.4106712963</v>
      </c>
      <c r="C630" s="1" t="n">
        <v>45976</v>
      </c>
      <c r="D630" t="inlineStr">
        <is>
          <t>NORRBOTTENS LÄN</t>
        </is>
      </c>
      <c r="E630" t="inlineStr">
        <is>
          <t>LULEÅ</t>
        </is>
      </c>
      <c r="G630" t="n">
        <v>1.9</v>
      </c>
      <c r="H630" t="n">
        <v>0</v>
      </c>
      <c r="I630" t="n">
        <v>0</v>
      </c>
      <c r="J630" t="n">
        <v>0</v>
      </c>
      <c r="K630" t="n">
        <v>0</v>
      </c>
      <c r="L630" t="n">
        <v>0</v>
      </c>
      <c r="M630" t="n">
        <v>0</v>
      </c>
      <c r="N630" t="n">
        <v>0</v>
      </c>
      <c r="O630" t="n">
        <v>0</v>
      </c>
      <c r="P630" t="n">
        <v>0</v>
      </c>
      <c r="Q630" t="n">
        <v>0</v>
      </c>
      <c r="R630" s="2" t="inlineStr"/>
    </row>
    <row r="631" ht="15" customHeight="1">
      <c r="A631" t="inlineStr">
        <is>
          <t>A 30048-2025</t>
        </is>
      </c>
      <c r="B631" s="1" t="n">
        <v>45826.58424768518</v>
      </c>
      <c r="C631" s="1" t="n">
        <v>45976</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30052-2025</t>
        </is>
      </c>
      <c r="B632" s="1" t="n">
        <v>45826.59502314815</v>
      </c>
      <c r="C632" s="1" t="n">
        <v>45976</v>
      </c>
      <c r="D632" t="inlineStr">
        <is>
          <t>NORRBOTTENS LÄN</t>
        </is>
      </c>
      <c r="E632" t="inlineStr">
        <is>
          <t>LULEÅ</t>
        </is>
      </c>
      <c r="G632" t="n">
        <v>1.2</v>
      </c>
      <c r="H632" t="n">
        <v>0</v>
      </c>
      <c r="I632" t="n">
        <v>0</v>
      </c>
      <c r="J632" t="n">
        <v>0</v>
      </c>
      <c r="K632" t="n">
        <v>0</v>
      </c>
      <c r="L632" t="n">
        <v>0</v>
      </c>
      <c r="M632" t="n">
        <v>0</v>
      </c>
      <c r="N632" t="n">
        <v>0</v>
      </c>
      <c r="O632" t="n">
        <v>0</v>
      </c>
      <c r="P632" t="n">
        <v>0</v>
      </c>
      <c r="Q632" t="n">
        <v>0</v>
      </c>
      <c r="R632" s="2" t="inlineStr"/>
    </row>
    <row r="633" ht="15" customHeight="1">
      <c r="A633" t="inlineStr">
        <is>
          <t>A 56649-2025</t>
        </is>
      </c>
      <c r="B633" s="1" t="n">
        <v>45975.63708333333</v>
      </c>
      <c r="C633" s="1" t="n">
        <v>45976</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30237-2025</t>
        </is>
      </c>
      <c r="B634" s="1" t="n">
        <v>45827.39997685186</v>
      </c>
      <c r="C634" s="1" t="n">
        <v>45976</v>
      </c>
      <c r="D634" t="inlineStr">
        <is>
          <t>NORRBOTTENS LÄN</t>
        </is>
      </c>
      <c r="E634" t="inlineStr">
        <is>
          <t>LULEÅ</t>
        </is>
      </c>
      <c r="G634" t="n">
        <v>17.6</v>
      </c>
      <c r="H634" t="n">
        <v>0</v>
      </c>
      <c r="I634" t="n">
        <v>0</v>
      </c>
      <c r="J634" t="n">
        <v>0</v>
      </c>
      <c r="K634" t="n">
        <v>0</v>
      </c>
      <c r="L634" t="n">
        <v>0</v>
      </c>
      <c r="M634" t="n">
        <v>0</v>
      </c>
      <c r="N634" t="n">
        <v>0</v>
      </c>
      <c r="O634" t="n">
        <v>0</v>
      </c>
      <c r="P634" t="n">
        <v>0</v>
      </c>
      <c r="Q634" t="n">
        <v>0</v>
      </c>
      <c r="R634" s="2" t="inlineStr"/>
    </row>
    <row r="635" ht="15" customHeight="1">
      <c r="A635" t="inlineStr">
        <is>
          <t>A 30238-2025</t>
        </is>
      </c>
      <c r="B635" s="1" t="n">
        <v>45827.40238425926</v>
      </c>
      <c r="C635" s="1" t="n">
        <v>45976</v>
      </c>
      <c r="D635" t="inlineStr">
        <is>
          <t>NORRBOTTENS LÄN</t>
        </is>
      </c>
      <c r="E635" t="inlineStr">
        <is>
          <t>LULEÅ</t>
        </is>
      </c>
      <c r="G635" t="n">
        <v>10.2</v>
      </c>
      <c r="H635" t="n">
        <v>0</v>
      </c>
      <c r="I635" t="n">
        <v>0</v>
      </c>
      <c r="J635" t="n">
        <v>0</v>
      </c>
      <c r="K635" t="n">
        <v>0</v>
      </c>
      <c r="L635" t="n">
        <v>0</v>
      </c>
      <c r="M635" t="n">
        <v>0</v>
      </c>
      <c r="N635" t="n">
        <v>0</v>
      </c>
      <c r="O635" t="n">
        <v>0</v>
      </c>
      <c r="P635" t="n">
        <v>0</v>
      </c>
      <c r="Q635" t="n">
        <v>0</v>
      </c>
      <c r="R635" s="2" t="inlineStr"/>
    </row>
    <row r="636" ht="15" customHeight="1">
      <c r="A636" t="inlineStr">
        <is>
          <t>A 30056-2025</t>
        </is>
      </c>
      <c r="B636" s="1" t="n">
        <v>45826.6047800926</v>
      </c>
      <c r="C636" s="1" t="n">
        <v>45976</v>
      </c>
      <c r="D636" t="inlineStr">
        <is>
          <t>NORRBOTTENS LÄN</t>
        </is>
      </c>
      <c r="E636" t="inlineStr">
        <is>
          <t>LULEÅ</t>
        </is>
      </c>
      <c r="G636" t="n">
        <v>3.6</v>
      </c>
      <c r="H636" t="n">
        <v>0</v>
      </c>
      <c r="I636" t="n">
        <v>0</v>
      </c>
      <c r="J636" t="n">
        <v>0</v>
      </c>
      <c r="K636" t="n">
        <v>0</v>
      </c>
      <c r="L636" t="n">
        <v>0</v>
      </c>
      <c r="M636" t="n">
        <v>0</v>
      </c>
      <c r="N636" t="n">
        <v>0</v>
      </c>
      <c r="O636" t="n">
        <v>0</v>
      </c>
      <c r="P636" t="n">
        <v>0</v>
      </c>
      <c r="Q636" t="n">
        <v>0</v>
      </c>
      <c r="R636" s="2" t="inlineStr"/>
    </row>
    <row r="637" ht="15" customHeight="1">
      <c r="A637" t="inlineStr">
        <is>
          <t>A 29975-2025</t>
        </is>
      </c>
      <c r="B637" s="1" t="n">
        <v>45826</v>
      </c>
      <c r="C637" s="1" t="n">
        <v>45976</v>
      </c>
      <c r="D637" t="inlineStr">
        <is>
          <t>NORRBOTTENS LÄN</t>
        </is>
      </c>
      <c r="E637" t="inlineStr">
        <is>
          <t>LULEÅ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30569-2025</t>
        </is>
      </c>
      <c r="B638" s="1" t="n">
        <v>45831</v>
      </c>
      <c r="C638" s="1" t="n">
        <v>45976</v>
      </c>
      <c r="D638" t="inlineStr">
        <is>
          <t>NORRBOTTENS LÄN</t>
        </is>
      </c>
      <c r="E638" t="inlineStr">
        <is>
          <t>LULEÅ</t>
        </is>
      </c>
      <c r="G638" t="n">
        <v>4.1</v>
      </c>
      <c r="H638" t="n">
        <v>0</v>
      </c>
      <c r="I638" t="n">
        <v>0</v>
      </c>
      <c r="J638" t="n">
        <v>0</v>
      </c>
      <c r="K638" t="n">
        <v>0</v>
      </c>
      <c r="L638" t="n">
        <v>0</v>
      </c>
      <c r="M638" t="n">
        <v>0</v>
      </c>
      <c r="N638" t="n">
        <v>0</v>
      </c>
      <c r="O638" t="n">
        <v>0</v>
      </c>
      <c r="P638" t="n">
        <v>0</v>
      </c>
      <c r="Q638" t="n">
        <v>0</v>
      </c>
      <c r="R638" s="2" t="inlineStr"/>
    </row>
    <row r="639" ht="15" customHeight="1">
      <c r="A639" t="inlineStr">
        <is>
          <t>A 30570-2025</t>
        </is>
      </c>
      <c r="B639" s="1" t="n">
        <v>45831.40694444445</v>
      </c>
      <c r="C639" s="1" t="n">
        <v>45976</v>
      </c>
      <c r="D639" t="inlineStr">
        <is>
          <t>NORRBOTTENS LÄN</t>
        </is>
      </c>
      <c r="E639" t="inlineStr">
        <is>
          <t>LULEÅ</t>
        </is>
      </c>
      <c r="G639" t="n">
        <v>4.8</v>
      </c>
      <c r="H639" t="n">
        <v>0</v>
      </c>
      <c r="I639" t="n">
        <v>0</v>
      </c>
      <c r="J639" t="n">
        <v>0</v>
      </c>
      <c r="K639" t="n">
        <v>0</v>
      </c>
      <c r="L639" t="n">
        <v>0</v>
      </c>
      <c r="M639" t="n">
        <v>0</v>
      </c>
      <c r="N639" t="n">
        <v>0</v>
      </c>
      <c r="O639" t="n">
        <v>0</v>
      </c>
      <c r="P639" t="n">
        <v>0</v>
      </c>
      <c r="Q639" t="n">
        <v>0</v>
      </c>
      <c r="R639" s="2" t="inlineStr"/>
    </row>
    <row r="640" ht="15" customHeight="1">
      <c r="A640" t="inlineStr">
        <is>
          <t>A 35249-2021</t>
        </is>
      </c>
      <c r="B640" s="1" t="n">
        <v>44384</v>
      </c>
      <c r="C640" s="1" t="n">
        <v>45976</v>
      </c>
      <c r="D640" t="inlineStr">
        <is>
          <t>NORRBOTTENS LÄN</t>
        </is>
      </c>
      <c r="E640" t="inlineStr">
        <is>
          <t>LULEÅ</t>
        </is>
      </c>
      <c r="G640" t="n">
        <v>2.4</v>
      </c>
      <c r="H640" t="n">
        <v>0</v>
      </c>
      <c r="I640" t="n">
        <v>0</v>
      </c>
      <c r="J640" t="n">
        <v>0</v>
      </c>
      <c r="K640" t="n">
        <v>0</v>
      </c>
      <c r="L640" t="n">
        <v>0</v>
      </c>
      <c r="M640" t="n">
        <v>0</v>
      </c>
      <c r="N640" t="n">
        <v>0</v>
      </c>
      <c r="O640" t="n">
        <v>0</v>
      </c>
      <c r="P640" t="n">
        <v>0</v>
      </c>
      <c r="Q640" t="n">
        <v>0</v>
      </c>
      <c r="R640" s="2" t="inlineStr"/>
    </row>
    <row r="641" ht="15" customHeight="1">
      <c r="A641" t="inlineStr">
        <is>
          <t>A 35962-2021</t>
        </is>
      </c>
      <c r="B641" s="1" t="n">
        <v>44385</v>
      </c>
      <c r="C641" s="1" t="n">
        <v>45976</v>
      </c>
      <c r="D641" t="inlineStr">
        <is>
          <t>NORRBOTTENS LÄN</t>
        </is>
      </c>
      <c r="E641" t="inlineStr">
        <is>
          <t>LULEÅ</t>
        </is>
      </c>
      <c r="G641" t="n">
        <v>0.9</v>
      </c>
      <c r="H641" t="n">
        <v>0</v>
      </c>
      <c r="I641" t="n">
        <v>0</v>
      </c>
      <c r="J641" t="n">
        <v>0</v>
      </c>
      <c r="K641" t="n">
        <v>0</v>
      </c>
      <c r="L641" t="n">
        <v>0</v>
      </c>
      <c r="M641" t="n">
        <v>0</v>
      </c>
      <c r="N641" t="n">
        <v>0</v>
      </c>
      <c r="O641" t="n">
        <v>0</v>
      </c>
      <c r="P641" t="n">
        <v>0</v>
      </c>
      <c r="Q641" t="n">
        <v>0</v>
      </c>
      <c r="R641" s="2" t="inlineStr"/>
    </row>
    <row r="642" ht="15" customHeight="1">
      <c r="A642" t="inlineStr">
        <is>
          <t>A 31025-2025</t>
        </is>
      </c>
      <c r="B642" s="1" t="n">
        <v>45831</v>
      </c>
      <c r="C642" s="1" t="n">
        <v>45976</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30907-2025</t>
        </is>
      </c>
      <c r="B643" s="1" t="n">
        <v>45832.36484953704</v>
      </c>
      <c r="C643" s="1" t="n">
        <v>45976</v>
      </c>
      <c r="D643" t="inlineStr">
        <is>
          <t>NORRBOTTENS LÄN</t>
        </is>
      </c>
      <c r="E643" t="inlineStr">
        <is>
          <t>LULEÅ</t>
        </is>
      </c>
      <c r="G643" t="n">
        <v>2</v>
      </c>
      <c r="H643" t="n">
        <v>0</v>
      </c>
      <c r="I643" t="n">
        <v>0</v>
      </c>
      <c r="J643" t="n">
        <v>0</v>
      </c>
      <c r="K643" t="n">
        <v>0</v>
      </c>
      <c r="L643" t="n">
        <v>0</v>
      </c>
      <c r="M643" t="n">
        <v>0</v>
      </c>
      <c r="N643" t="n">
        <v>0</v>
      </c>
      <c r="O643" t="n">
        <v>0</v>
      </c>
      <c r="P643" t="n">
        <v>0</v>
      </c>
      <c r="Q643" t="n">
        <v>0</v>
      </c>
      <c r="R643" s="2" t="inlineStr"/>
    </row>
    <row r="644" ht="15" customHeight="1">
      <c r="A644" t="inlineStr">
        <is>
          <t>A 7306-2024</t>
        </is>
      </c>
      <c r="B644" s="1" t="n">
        <v>45344</v>
      </c>
      <c r="C644" s="1" t="n">
        <v>45976</v>
      </c>
      <c r="D644" t="inlineStr">
        <is>
          <t>NORRBOTTENS LÄN</t>
        </is>
      </c>
      <c r="E644" t="inlineStr">
        <is>
          <t>LULEÅ</t>
        </is>
      </c>
      <c r="G644" t="n">
        <v>29.2</v>
      </c>
      <c r="H644" t="n">
        <v>0</v>
      </c>
      <c r="I644" t="n">
        <v>0</v>
      </c>
      <c r="J644" t="n">
        <v>0</v>
      </c>
      <c r="K644" t="n">
        <v>0</v>
      </c>
      <c r="L644" t="n">
        <v>0</v>
      </c>
      <c r="M644" t="n">
        <v>0</v>
      </c>
      <c r="N644" t="n">
        <v>0</v>
      </c>
      <c r="O644" t="n">
        <v>0</v>
      </c>
      <c r="P644" t="n">
        <v>0</v>
      </c>
      <c r="Q644" t="n">
        <v>0</v>
      </c>
      <c r="R644" s="2" t="inlineStr"/>
    </row>
    <row r="645" ht="15" customHeight="1">
      <c r="A645" t="inlineStr">
        <is>
          <t>A 10183-2025</t>
        </is>
      </c>
      <c r="B645" s="1" t="n">
        <v>45719</v>
      </c>
      <c r="C645" s="1" t="n">
        <v>45976</v>
      </c>
      <c r="D645" t="inlineStr">
        <is>
          <t>NORRBOTTENS LÄN</t>
        </is>
      </c>
      <c r="E645" t="inlineStr">
        <is>
          <t>LULEÅ</t>
        </is>
      </c>
      <c r="G645" t="n">
        <v>2.4</v>
      </c>
      <c r="H645" t="n">
        <v>0</v>
      </c>
      <c r="I645" t="n">
        <v>0</v>
      </c>
      <c r="J645" t="n">
        <v>0</v>
      </c>
      <c r="K645" t="n">
        <v>0</v>
      </c>
      <c r="L645" t="n">
        <v>0</v>
      </c>
      <c r="M645" t="n">
        <v>0</v>
      </c>
      <c r="N645" t="n">
        <v>0</v>
      </c>
      <c r="O645" t="n">
        <v>0</v>
      </c>
      <c r="P645" t="n">
        <v>0</v>
      </c>
      <c r="Q645" t="n">
        <v>0</v>
      </c>
      <c r="R645" s="2" t="inlineStr"/>
    </row>
    <row r="646" ht="15" customHeight="1">
      <c r="A646" t="inlineStr">
        <is>
          <t>A 5822-2025</t>
        </is>
      </c>
      <c r="B646" s="1" t="n">
        <v>45694</v>
      </c>
      <c r="C646" s="1" t="n">
        <v>45976</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32223-2025</t>
        </is>
      </c>
      <c r="B647" s="1" t="n">
        <v>45835.59313657408</v>
      </c>
      <c r="C647" s="1" t="n">
        <v>45976</v>
      </c>
      <c r="D647" t="inlineStr">
        <is>
          <t>NORRBOTTENS LÄN</t>
        </is>
      </c>
      <c r="E647" t="inlineStr">
        <is>
          <t>LULEÅ</t>
        </is>
      </c>
      <c r="G647" t="n">
        <v>6.3</v>
      </c>
      <c r="H647" t="n">
        <v>0</v>
      </c>
      <c r="I647" t="n">
        <v>0</v>
      </c>
      <c r="J647" t="n">
        <v>0</v>
      </c>
      <c r="K647" t="n">
        <v>0</v>
      </c>
      <c r="L647" t="n">
        <v>0</v>
      </c>
      <c r="M647" t="n">
        <v>0</v>
      </c>
      <c r="N647" t="n">
        <v>0</v>
      </c>
      <c r="O647" t="n">
        <v>0</v>
      </c>
      <c r="P647" t="n">
        <v>0</v>
      </c>
      <c r="Q647" t="n">
        <v>0</v>
      </c>
      <c r="R647" s="2" t="inlineStr"/>
    </row>
    <row r="648" ht="15" customHeight="1">
      <c r="A648" t="inlineStr">
        <is>
          <t>A 61866-2023</t>
        </is>
      </c>
      <c r="B648" s="1" t="n">
        <v>45264</v>
      </c>
      <c r="C648" s="1" t="n">
        <v>45976</v>
      </c>
      <c r="D648" t="inlineStr">
        <is>
          <t>NORRBOTTENS LÄN</t>
        </is>
      </c>
      <c r="E648" t="inlineStr">
        <is>
          <t>LULEÅ</t>
        </is>
      </c>
      <c r="G648" t="n">
        <v>0.8</v>
      </c>
      <c r="H648" t="n">
        <v>0</v>
      </c>
      <c r="I648" t="n">
        <v>0</v>
      </c>
      <c r="J648" t="n">
        <v>0</v>
      </c>
      <c r="K648" t="n">
        <v>0</v>
      </c>
      <c r="L648" t="n">
        <v>0</v>
      </c>
      <c r="M648" t="n">
        <v>0</v>
      </c>
      <c r="N648" t="n">
        <v>0</v>
      </c>
      <c r="O648" t="n">
        <v>0</v>
      </c>
      <c r="P648" t="n">
        <v>0</v>
      </c>
      <c r="Q648" t="n">
        <v>0</v>
      </c>
      <c r="R648" s="2" t="inlineStr"/>
    </row>
    <row r="649" ht="15" customHeight="1">
      <c r="A649" t="inlineStr">
        <is>
          <t>A 32255-2025</t>
        </is>
      </c>
      <c r="B649" s="1" t="n">
        <v>45835.63332175926</v>
      </c>
      <c r="C649" s="1" t="n">
        <v>45976</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32127-2025</t>
        </is>
      </c>
      <c r="B650" s="1" t="n">
        <v>45835.49930555555</v>
      </c>
      <c r="C650" s="1" t="n">
        <v>45976</v>
      </c>
      <c r="D650" t="inlineStr">
        <is>
          <t>NORRBOTTENS LÄN</t>
        </is>
      </c>
      <c r="E650" t="inlineStr">
        <is>
          <t>LULEÅ</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31620-2025</t>
        </is>
      </c>
      <c r="B651" s="1" t="n">
        <v>45833.87428240741</v>
      </c>
      <c r="C651" s="1" t="n">
        <v>45976</v>
      </c>
      <c r="D651" t="inlineStr">
        <is>
          <t>NORRBOTTENS LÄN</t>
        </is>
      </c>
      <c r="E651" t="inlineStr">
        <is>
          <t>LULEÅ</t>
        </is>
      </c>
      <c r="G651" t="n">
        <v>7.7</v>
      </c>
      <c r="H651" t="n">
        <v>0</v>
      </c>
      <c r="I651" t="n">
        <v>0</v>
      </c>
      <c r="J651" t="n">
        <v>0</v>
      </c>
      <c r="K651" t="n">
        <v>0</v>
      </c>
      <c r="L651" t="n">
        <v>0</v>
      </c>
      <c r="M651" t="n">
        <v>0</v>
      </c>
      <c r="N651" t="n">
        <v>0</v>
      </c>
      <c r="O651" t="n">
        <v>0</v>
      </c>
      <c r="P651" t="n">
        <v>0</v>
      </c>
      <c r="Q651" t="n">
        <v>0</v>
      </c>
      <c r="R651" s="2" t="inlineStr"/>
    </row>
    <row r="652" ht="15" customHeight="1">
      <c r="A652" t="inlineStr">
        <is>
          <t>A 32154-2025</t>
        </is>
      </c>
      <c r="B652" s="1" t="n">
        <v>45835.53480324074</v>
      </c>
      <c r="C652" s="1" t="n">
        <v>45976</v>
      </c>
      <c r="D652" t="inlineStr">
        <is>
          <t>NORRBOTTENS LÄN</t>
        </is>
      </c>
      <c r="E652" t="inlineStr">
        <is>
          <t>LULEÅ</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3693-2025</t>
        </is>
      </c>
      <c r="B653" s="1" t="n">
        <v>45681.46563657407</v>
      </c>
      <c r="C653" s="1" t="n">
        <v>45976</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32264-2025</t>
        </is>
      </c>
      <c r="B654" s="1" t="n">
        <v>45835.64934027778</v>
      </c>
      <c r="C654" s="1" t="n">
        <v>45976</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23819-2023</t>
        </is>
      </c>
      <c r="B655" s="1" t="n">
        <v>45075</v>
      </c>
      <c r="C655" s="1" t="n">
        <v>45976</v>
      </c>
      <c r="D655" t="inlineStr">
        <is>
          <t>NORRBOTTENS LÄN</t>
        </is>
      </c>
      <c r="E655" t="inlineStr">
        <is>
          <t>LULEÅ</t>
        </is>
      </c>
      <c r="G655" t="n">
        <v>1.3</v>
      </c>
      <c r="H655" t="n">
        <v>0</v>
      </c>
      <c r="I655" t="n">
        <v>0</v>
      </c>
      <c r="J655" t="n">
        <v>0</v>
      </c>
      <c r="K655" t="n">
        <v>0</v>
      </c>
      <c r="L655" t="n">
        <v>0</v>
      </c>
      <c r="M655" t="n">
        <v>0</v>
      </c>
      <c r="N655" t="n">
        <v>0</v>
      </c>
      <c r="O655" t="n">
        <v>0</v>
      </c>
      <c r="P655" t="n">
        <v>0</v>
      </c>
      <c r="Q655" t="n">
        <v>0</v>
      </c>
      <c r="R655" s="2" t="inlineStr"/>
    </row>
    <row r="656" ht="15" customHeight="1">
      <c r="A656" t="inlineStr">
        <is>
          <t>A 32253-2025</t>
        </is>
      </c>
      <c r="B656" s="1" t="n">
        <v>45835.63008101852</v>
      </c>
      <c r="C656" s="1" t="n">
        <v>45976</v>
      </c>
      <c r="D656" t="inlineStr">
        <is>
          <t>NORRBOTTENS LÄN</t>
        </is>
      </c>
      <c r="E656" t="inlineStr">
        <is>
          <t>LULEÅ</t>
        </is>
      </c>
      <c r="G656" t="n">
        <v>7.4</v>
      </c>
      <c r="H656" t="n">
        <v>0</v>
      </c>
      <c r="I656" t="n">
        <v>0</v>
      </c>
      <c r="J656" t="n">
        <v>0</v>
      </c>
      <c r="K656" t="n">
        <v>0</v>
      </c>
      <c r="L656" t="n">
        <v>0</v>
      </c>
      <c r="M656" t="n">
        <v>0</v>
      </c>
      <c r="N656" t="n">
        <v>0</v>
      </c>
      <c r="O656" t="n">
        <v>0</v>
      </c>
      <c r="P656" t="n">
        <v>0</v>
      </c>
      <c r="Q656" t="n">
        <v>0</v>
      </c>
      <c r="R656" s="2" t="inlineStr"/>
    </row>
    <row r="657" ht="15" customHeight="1">
      <c r="A657" t="inlineStr">
        <is>
          <t>A 14447-2023</t>
        </is>
      </c>
      <c r="B657" s="1" t="n">
        <v>45012</v>
      </c>
      <c r="C657" s="1" t="n">
        <v>45976</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32260-2025</t>
        </is>
      </c>
      <c r="B658" s="1" t="n">
        <v>45835.64260416666</v>
      </c>
      <c r="C658" s="1" t="n">
        <v>45976</v>
      </c>
      <c r="D658" t="inlineStr">
        <is>
          <t>NORRBOTTENS LÄN</t>
        </is>
      </c>
      <c r="E658" t="inlineStr">
        <is>
          <t>LULEÅ</t>
        </is>
      </c>
      <c r="G658" t="n">
        <v>0.7</v>
      </c>
      <c r="H658" t="n">
        <v>0</v>
      </c>
      <c r="I658" t="n">
        <v>0</v>
      </c>
      <c r="J658" t="n">
        <v>0</v>
      </c>
      <c r="K658" t="n">
        <v>0</v>
      </c>
      <c r="L658" t="n">
        <v>0</v>
      </c>
      <c r="M658" t="n">
        <v>0</v>
      </c>
      <c r="N658" t="n">
        <v>0</v>
      </c>
      <c r="O658" t="n">
        <v>0</v>
      </c>
      <c r="P658" t="n">
        <v>0</v>
      </c>
      <c r="Q658" t="n">
        <v>0</v>
      </c>
      <c r="R658" s="2" t="inlineStr"/>
    </row>
    <row r="659" ht="15" customHeight="1">
      <c r="A659" t="inlineStr">
        <is>
          <t>A 32460-2025</t>
        </is>
      </c>
      <c r="B659" s="1" t="n">
        <v>45838.41540509259</v>
      </c>
      <c r="C659" s="1" t="n">
        <v>45976</v>
      </c>
      <c r="D659" t="inlineStr">
        <is>
          <t>NORRBOTTENS LÄN</t>
        </is>
      </c>
      <c r="E659" t="inlineStr">
        <is>
          <t>LULEÅ</t>
        </is>
      </c>
      <c r="G659" t="n">
        <v>2.9</v>
      </c>
      <c r="H659" t="n">
        <v>0</v>
      </c>
      <c r="I659" t="n">
        <v>0</v>
      </c>
      <c r="J659" t="n">
        <v>0</v>
      </c>
      <c r="K659" t="n">
        <v>0</v>
      </c>
      <c r="L659" t="n">
        <v>0</v>
      </c>
      <c r="M659" t="n">
        <v>0</v>
      </c>
      <c r="N659" t="n">
        <v>0</v>
      </c>
      <c r="O659" t="n">
        <v>0</v>
      </c>
      <c r="P659" t="n">
        <v>0</v>
      </c>
      <c r="Q659" t="n">
        <v>0</v>
      </c>
      <c r="R659" s="2" t="inlineStr"/>
    </row>
    <row r="660" ht="15" customHeight="1">
      <c r="A660" t="inlineStr">
        <is>
          <t>A 32462-2025</t>
        </is>
      </c>
      <c r="B660" s="1" t="n">
        <v>45838.41660879629</v>
      </c>
      <c r="C660" s="1" t="n">
        <v>45976</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32458-2025</t>
        </is>
      </c>
      <c r="B661" s="1" t="n">
        <v>45838.41445601852</v>
      </c>
      <c r="C661" s="1" t="n">
        <v>45976</v>
      </c>
      <c r="D661" t="inlineStr">
        <is>
          <t>NORRBOTTENS LÄN</t>
        </is>
      </c>
      <c r="E661" t="inlineStr">
        <is>
          <t>LULEÅ</t>
        </is>
      </c>
      <c r="G661" t="n">
        <v>10.8</v>
      </c>
      <c r="H661" t="n">
        <v>0</v>
      </c>
      <c r="I661" t="n">
        <v>0</v>
      </c>
      <c r="J661" t="n">
        <v>0</v>
      </c>
      <c r="K661" t="n">
        <v>0</v>
      </c>
      <c r="L661" t="n">
        <v>0</v>
      </c>
      <c r="M661" t="n">
        <v>0</v>
      </c>
      <c r="N661" t="n">
        <v>0</v>
      </c>
      <c r="O661" t="n">
        <v>0</v>
      </c>
      <c r="P661" t="n">
        <v>0</v>
      </c>
      <c r="Q661" t="n">
        <v>0</v>
      </c>
      <c r="R661" s="2" t="inlineStr"/>
    </row>
    <row r="662" ht="15" customHeight="1">
      <c r="A662" t="inlineStr">
        <is>
          <t>A 33692-2025</t>
        </is>
      </c>
      <c r="B662" s="1" t="n">
        <v>45841.69819444444</v>
      </c>
      <c r="C662" s="1" t="n">
        <v>45976</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33608-2025</t>
        </is>
      </c>
      <c r="B663" s="1" t="n">
        <v>45841.61747685185</v>
      </c>
      <c r="C663" s="1" t="n">
        <v>45976</v>
      </c>
      <c r="D663" t="inlineStr">
        <is>
          <t>NORRBOTTENS LÄN</t>
        </is>
      </c>
      <c r="E663" t="inlineStr">
        <is>
          <t>LULEÅ</t>
        </is>
      </c>
      <c r="G663" t="n">
        <v>3.8</v>
      </c>
      <c r="H663" t="n">
        <v>0</v>
      </c>
      <c r="I663" t="n">
        <v>0</v>
      </c>
      <c r="J663" t="n">
        <v>0</v>
      </c>
      <c r="K663" t="n">
        <v>0</v>
      </c>
      <c r="L663" t="n">
        <v>0</v>
      </c>
      <c r="M663" t="n">
        <v>0</v>
      </c>
      <c r="N663" t="n">
        <v>0</v>
      </c>
      <c r="O663" t="n">
        <v>0</v>
      </c>
      <c r="P663" t="n">
        <v>0</v>
      </c>
      <c r="Q663" t="n">
        <v>0</v>
      </c>
      <c r="R663" s="2" t="inlineStr"/>
    </row>
    <row r="664" ht="15" customHeight="1">
      <c r="A664" t="inlineStr">
        <is>
          <t>A 17304-2025</t>
        </is>
      </c>
      <c r="B664" s="1" t="n">
        <v>45756</v>
      </c>
      <c r="C664" s="1" t="n">
        <v>45976</v>
      </c>
      <c r="D664" t="inlineStr">
        <is>
          <t>NORRBOTTENS LÄN</t>
        </is>
      </c>
      <c r="E664" t="inlineStr">
        <is>
          <t>LULEÅ</t>
        </is>
      </c>
      <c r="G664" t="n">
        <v>2.8</v>
      </c>
      <c r="H664" t="n">
        <v>0</v>
      </c>
      <c r="I664" t="n">
        <v>0</v>
      </c>
      <c r="J664" t="n">
        <v>0</v>
      </c>
      <c r="K664" t="n">
        <v>0</v>
      </c>
      <c r="L664" t="n">
        <v>0</v>
      </c>
      <c r="M664" t="n">
        <v>0</v>
      </c>
      <c r="N664" t="n">
        <v>0</v>
      </c>
      <c r="O664" t="n">
        <v>0</v>
      </c>
      <c r="P664" t="n">
        <v>0</v>
      </c>
      <c r="Q664" t="n">
        <v>0</v>
      </c>
      <c r="R664" s="2" t="inlineStr"/>
    </row>
    <row r="665" ht="15" customHeight="1">
      <c r="A665" t="inlineStr">
        <is>
          <t>A 17306-2025</t>
        </is>
      </c>
      <c r="B665" s="1" t="n">
        <v>45756.60434027778</v>
      </c>
      <c r="C665" s="1" t="n">
        <v>45976</v>
      </c>
      <c r="D665" t="inlineStr">
        <is>
          <t>NORRBOTTENS LÄN</t>
        </is>
      </c>
      <c r="E665" t="inlineStr">
        <is>
          <t>LULEÅ</t>
        </is>
      </c>
      <c r="G665" t="n">
        <v>0.8</v>
      </c>
      <c r="H665" t="n">
        <v>0</v>
      </c>
      <c r="I665" t="n">
        <v>0</v>
      </c>
      <c r="J665" t="n">
        <v>0</v>
      </c>
      <c r="K665" t="n">
        <v>0</v>
      </c>
      <c r="L665" t="n">
        <v>0</v>
      </c>
      <c r="M665" t="n">
        <v>0</v>
      </c>
      <c r="N665" t="n">
        <v>0</v>
      </c>
      <c r="O665" t="n">
        <v>0</v>
      </c>
      <c r="P665" t="n">
        <v>0</v>
      </c>
      <c r="Q665" t="n">
        <v>0</v>
      </c>
      <c r="R665" s="2" t="inlineStr"/>
    </row>
    <row r="666" ht="15" customHeight="1">
      <c r="A666" t="inlineStr">
        <is>
          <t>A 57826-2022</t>
        </is>
      </c>
      <c r="B666" s="1" t="n">
        <v>44897</v>
      </c>
      <c r="C666" s="1" t="n">
        <v>45976</v>
      </c>
      <c r="D666" t="inlineStr">
        <is>
          <t>NORRBOTTENS LÄN</t>
        </is>
      </c>
      <c r="E666" t="inlineStr">
        <is>
          <t>LULEÅ</t>
        </is>
      </c>
      <c r="G666" t="n">
        <v>1.1</v>
      </c>
      <c r="H666" t="n">
        <v>0</v>
      </c>
      <c r="I666" t="n">
        <v>0</v>
      </c>
      <c r="J666" t="n">
        <v>0</v>
      </c>
      <c r="K666" t="n">
        <v>0</v>
      </c>
      <c r="L666" t="n">
        <v>0</v>
      </c>
      <c r="M666" t="n">
        <v>0</v>
      </c>
      <c r="N666" t="n">
        <v>0</v>
      </c>
      <c r="O666" t="n">
        <v>0</v>
      </c>
      <c r="P666" t="n">
        <v>0</v>
      </c>
      <c r="Q666" t="n">
        <v>0</v>
      </c>
      <c r="R666" s="2" t="inlineStr"/>
    </row>
    <row r="667" ht="15" customHeight="1">
      <c r="A667" t="inlineStr">
        <is>
          <t>A 33651-2025</t>
        </is>
      </c>
      <c r="B667" s="1" t="n">
        <v>45841.65722222222</v>
      </c>
      <c r="C667" s="1" t="n">
        <v>45976</v>
      </c>
      <c r="D667" t="inlineStr">
        <is>
          <t>NORRBOTTENS LÄN</t>
        </is>
      </c>
      <c r="E667" t="inlineStr">
        <is>
          <t>LULEÅ</t>
        </is>
      </c>
      <c r="G667" t="n">
        <v>15.5</v>
      </c>
      <c r="H667" t="n">
        <v>0</v>
      </c>
      <c r="I667" t="n">
        <v>0</v>
      </c>
      <c r="J667" t="n">
        <v>0</v>
      </c>
      <c r="K667" t="n">
        <v>0</v>
      </c>
      <c r="L667" t="n">
        <v>0</v>
      </c>
      <c r="M667" t="n">
        <v>0</v>
      </c>
      <c r="N667" t="n">
        <v>0</v>
      </c>
      <c r="O667" t="n">
        <v>0</v>
      </c>
      <c r="P667" t="n">
        <v>0</v>
      </c>
      <c r="Q667" t="n">
        <v>0</v>
      </c>
      <c r="R667" s="2" t="inlineStr"/>
    </row>
    <row r="668" ht="15" customHeight="1">
      <c r="A668" t="inlineStr">
        <is>
          <t>A 42102-2024</t>
        </is>
      </c>
      <c r="B668" s="1" t="n">
        <v>45562.35875</v>
      </c>
      <c r="C668" s="1" t="n">
        <v>45976</v>
      </c>
      <c r="D668" t="inlineStr">
        <is>
          <t>NORRBOTTENS LÄN</t>
        </is>
      </c>
      <c r="E668" t="inlineStr">
        <is>
          <t>LULEÅ</t>
        </is>
      </c>
      <c r="G668" t="n">
        <v>0.8</v>
      </c>
      <c r="H668" t="n">
        <v>0</v>
      </c>
      <c r="I668" t="n">
        <v>0</v>
      </c>
      <c r="J668" t="n">
        <v>0</v>
      </c>
      <c r="K668" t="n">
        <v>0</v>
      </c>
      <c r="L668" t="n">
        <v>0</v>
      </c>
      <c r="M668" t="n">
        <v>0</v>
      </c>
      <c r="N668" t="n">
        <v>0</v>
      </c>
      <c r="O668" t="n">
        <v>0</v>
      </c>
      <c r="P668" t="n">
        <v>0</v>
      </c>
      <c r="Q668" t="n">
        <v>0</v>
      </c>
      <c r="R668" s="2" t="inlineStr"/>
    </row>
    <row r="669" ht="15" customHeight="1">
      <c r="A669" t="inlineStr">
        <is>
          <t>A 34655-2025</t>
        </is>
      </c>
      <c r="B669" s="1" t="n">
        <v>45847</v>
      </c>
      <c r="C669" s="1" t="n">
        <v>45976</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23744-2023</t>
        </is>
      </c>
      <c r="B670" s="1" t="n">
        <v>45077.82532407407</v>
      </c>
      <c r="C670" s="1" t="n">
        <v>45976</v>
      </c>
      <c r="D670" t="inlineStr">
        <is>
          <t>NORRBOTTENS LÄN</t>
        </is>
      </c>
      <c r="E670" t="inlineStr">
        <is>
          <t>LULEÅ</t>
        </is>
      </c>
      <c r="G670" t="n">
        <v>3.9</v>
      </c>
      <c r="H670" t="n">
        <v>0</v>
      </c>
      <c r="I670" t="n">
        <v>0</v>
      </c>
      <c r="J670" t="n">
        <v>0</v>
      </c>
      <c r="K670" t="n">
        <v>0</v>
      </c>
      <c r="L670" t="n">
        <v>0</v>
      </c>
      <c r="M670" t="n">
        <v>0</v>
      </c>
      <c r="N670" t="n">
        <v>0</v>
      </c>
      <c r="O670" t="n">
        <v>0</v>
      </c>
      <c r="P670" t="n">
        <v>0</v>
      </c>
      <c r="Q670" t="n">
        <v>0</v>
      </c>
      <c r="R670" s="2" t="inlineStr"/>
    </row>
    <row r="671" ht="15" customHeight="1">
      <c r="A671" t="inlineStr">
        <is>
          <t>A 1572-2025</t>
        </is>
      </c>
      <c r="B671" s="1" t="n">
        <v>45670.55724537037</v>
      </c>
      <c r="C671" s="1" t="n">
        <v>45976</v>
      </c>
      <c r="D671" t="inlineStr">
        <is>
          <t>NORRBOTTENS LÄN</t>
        </is>
      </c>
      <c r="E671" t="inlineStr">
        <is>
          <t>LULEÅ</t>
        </is>
      </c>
      <c r="G671" t="n">
        <v>5.2</v>
      </c>
      <c r="H671" t="n">
        <v>0</v>
      </c>
      <c r="I671" t="n">
        <v>0</v>
      </c>
      <c r="J671" t="n">
        <v>0</v>
      </c>
      <c r="K671" t="n">
        <v>0</v>
      </c>
      <c r="L671" t="n">
        <v>0</v>
      </c>
      <c r="M671" t="n">
        <v>0</v>
      </c>
      <c r="N671" t="n">
        <v>0</v>
      </c>
      <c r="O671" t="n">
        <v>0</v>
      </c>
      <c r="P671" t="n">
        <v>0</v>
      </c>
      <c r="Q671" t="n">
        <v>0</v>
      </c>
      <c r="R671" s="2" t="inlineStr"/>
    </row>
    <row r="672" ht="15" customHeight="1">
      <c r="A672" t="inlineStr">
        <is>
          <t>A 34565-2025</t>
        </is>
      </c>
      <c r="B672" s="1" t="n">
        <v>45847</v>
      </c>
      <c r="C672" s="1" t="n">
        <v>45976</v>
      </c>
      <c r="D672" t="inlineStr">
        <is>
          <t>NORRBOTTENS LÄN</t>
        </is>
      </c>
      <c r="E672" t="inlineStr">
        <is>
          <t>LULEÅ</t>
        </is>
      </c>
      <c r="G672" t="n">
        <v>10.2</v>
      </c>
      <c r="H672" t="n">
        <v>0</v>
      </c>
      <c r="I672" t="n">
        <v>0</v>
      </c>
      <c r="J672" t="n">
        <v>0</v>
      </c>
      <c r="K672" t="n">
        <v>0</v>
      </c>
      <c r="L672" t="n">
        <v>0</v>
      </c>
      <c r="M672" t="n">
        <v>0</v>
      </c>
      <c r="N672" t="n">
        <v>0</v>
      </c>
      <c r="O672" t="n">
        <v>0</v>
      </c>
      <c r="P672" t="n">
        <v>0</v>
      </c>
      <c r="Q672" t="n">
        <v>0</v>
      </c>
      <c r="R672" s="2" t="inlineStr"/>
    </row>
    <row r="673" ht="15" customHeight="1">
      <c r="A673" t="inlineStr">
        <is>
          <t>A 4940-2025</t>
        </is>
      </c>
      <c r="B673" s="1" t="n">
        <v>45688.69949074074</v>
      </c>
      <c r="C673" s="1" t="n">
        <v>45976</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59681-2023</t>
        </is>
      </c>
      <c r="B674" s="1" t="n">
        <v>45255</v>
      </c>
      <c r="C674" s="1" t="n">
        <v>45976</v>
      </c>
      <c r="D674" t="inlineStr">
        <is>
          <t>NORRBOTTENS LÄN</t>
        </is>
      </c>
      <c r="E674" t="inlineStr">
        <is>
          <t>LULEÅ</t>
        </is>
      </c>
      <c r="G674" t="n">
        <v>0.6</v>
      </c>
      <c r="H674" t="n">
        <v>0</v>
      </c>
      <c r="I674" t="n">
        <v>0</v>
      </c>
      <c r="J674" t="n">
        <v>0</v>
      </c>
      <c r="K674" t="n">
        <v>0</v>
      </c>
      <c r="L674" t="n">
        <v>0</v>
      </c>
      <c r="M674" t="n">
        <v>0</v>
      </c>
      <c r="N674" t="n">
        <v>0</v>
      </c>
      <c r="O674" t="n">
        <v>0</v>
      </c>
      <c r="P674" t="n">
        <v>0</v>
      </c>
      <c r="Q674" t="n">
        <v>0</v>
      </c>
      <c r="R674" s="2" t="inlineStr"/>
    </row>
    <row r="675" ht="15" customHeight="1">
      <c r="A675" t="inlineStr">
        <is>
          <t>A 4347-2025</t>
        </is>
      </c>
      <c r="B675" s="1" t="n">
        <v>45685.92931712963</v>
      </c>
      <c r="C675" s="1" t="n">
        <v>45976</v>
      </c>
      <c r="D675" t="inlineStr">
        <is>
          <t>NORRBOTTENS LÄN</t>
        </is>
      </c>
      <c r="E675" t="inlineStr">
        <is>
          <t>LULEÅ</t>
        </is>
      </c>
      <c r="G675" t="n">
        <v>1.4</v>
      </c>
      <c r="H675" t="n">
        <v>0</v>
      </c>
      <c r="I675" t="n">
        <v>0</v>
      </c>
      <c r="J675" t="n">
        <v>0</v>
      </c>
      <c r="K675" t="n">
        <v>0</v>
      </c>
      <c r="L675" t="n">
        <v>0</v>
      </c>
      <c r="M675" t="n">
        <v>0</v>
      </c>
      <c r="N675" t="n">
        <v>0</v>
      </c>
      <c r="O675" t="n">
        <v>0</v>
      </c>
      <c r="P675" t="n">
        <v>0</v>
      </c>
      <c r="Q675" t="n">
        <v>0</v>
      </c>
      <c r="R675" s="2" t="inlineStr"/>
    </row>
    <row r="676" ht="15" customHeight="1">
      <c r="A676" t="inlineStr">
        <is>
          <t>A 49648-2024</t>
        </is>
      </c>
      <c r="B676" s="1" t="n">
        <v>45596</v>
      </c>
      <c r="C676" s="1" t="n">
        <v>45976</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1017-2025</t>
        </is>
      </c>
      <c r="B677" s="1" t="n">
        <v>45665</v>
      </c>
      <c r="C677" s="1" t="n">
        <v>45976</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12282-2024</t>
        </is>
      </c>
      <c r="B678" s="1" t="n">
        <v>45378</v>
      </c>
      <c r="C678" s="1" t="n">
        <v>45976</v>
      </c>
      <c r="D678" t="inlineStr">
        <is>
          <t>NORRBOTTENS LÄN</t>
        </is>
      </c>
      <c r="E678" t="inlineStr">
        <is>
          <t>LULEÅ</t>
        </is>
      </c>
      <c r="G678" t="n">
        <v>1.9</v>
      </c>
      <c r="H678" t="n">
        <v>0</v>
      </c>
      <c r="I678" t="n">
        <v>0</v>
      </c>
      <c r="J678" t="n">
        <v>0</v>
      </c>
      <c r="K678" t="n">
        <v>0</v>
      </c>
      <c r="L678" t="n">
        <v>0</v>
      </c>
      <c r="M678" t="n">
        <v>0</v>
      </c>
      <c r="N678" t="n">
        <v>0</v>
      </c>
      <c r="O678" t="n">
        <v>0</v>
      </c>
      <c r="P678" t="n">
        <v>0</v>
      </c>
      <c r="Q678" t="n">
        <v>0</v>
      </c>
      <c r="R678" s="2" t="inlineStr"/>
    </row>
    <row r="679" ht="15" customHeight="1">
      <c r="A679" t="inlineStr">
        <is>
          <t>A 35682-2025</t>
        </is>
      </c>
      <c r="B679" s="1" t="n">
        <v>45859</v>
      </c>
      <c r="C679" s="1" t="n">
        <v>45976</v>
      </c>
      <c r="D679" t="inlineStr">
        <is>
          <t>NORRBOTTENS LÄN</t>
        </is>
      </c>
      <c r="E679" t="inlineStr">
        <is>
          <t>LULEÅ</t>
        </is>
      </c>
      <c r="G679" t="n">
        <v>5.2</v>
      </c>
      <c r="H679" t="n">
        <v>0</v>
      </c>
      <c r="I679" t="n">
        <v>0</v>
      </c>
      <c r="J679" t="n">
        <v>0</v>
      </c>
      <c r="K679" t="n">
        <v>0</v>
      </c>
      <c r="L679" t="n">
        <v>0</v>
      </c>
      <c r="M679" t="n">
        <v>0</v>
      </c>
      <c r="N679" t="n">
        <v>0</v>
      </c>
      <c r="O679" t="n">
        <v>0</v>
      </c>
      <c r="P679" t="n">
        <v>0</v>
      </c>
      <c r="Q679" t="n">
        <v>0</v>
      </c>
      <c r="R679" s="2" t="inlineStr"/>
    </row>
    <row r="680" ht="15" customHeight="1">
      <c r="A680" t="inlineStr">
        <is>
          <t>A 12551-2024</t>
        </is>
      </c>
      <c r="B680" s="1" t="n">
        <v>45379</v>
      </c>
      <c r="C680" s="1" t="n">
        <v>45976</v>
      </c>
      <c r="D680" t="inlineStr">
        <is>
          <t>NORRBOTTENS LÄN</t>
        </is>
      </c>
      <c r="E680" t="inlineStr">
        <is>
          <t>LULEÅ</t>
        </is>
      </c>
      <c r="G680" t="n">
        <v>0.6</v>
      </c>
      <c r="H680" t="n">
        <v>0</v>
      </c>
      <c r="I680" t="n">
        <v>0</v>
      </c>
      <c r="J680" t="n">
        <v>0</v>
      </c>
      <c r="K680" t="n">
        <v>0</v>
      </c>
      <c r="L680" t="n">
        <v>0</v>
      </c>
      <c r="M680" t="n">
        <v>0</v>
      </c>
      <c r="N680" t="n">
        <v>0</v>
      </c>
      <c r="O680" t="n">
        <v>0</v>
      </c>
      <c r="P680" t="n">
        <v>0</v>
      </c>
      <c r="Q680" t="n">
        <v>0</v>
      </c>
      <c r="R680" s="2" t="inlineStr"/>
    </row>
    <row r="681" ht="15" customHeight="1">
      <c r="A681" t="inlineStr">
        <is>
          <t>A 17175-2024</t>
        </is>
      </c>
      <c r="B681" s="1" t="n">
        <v>45412</v>
      </c>
      <c r="C681" s="1" t="n">
        <v>45976</v>
      </c>
      <c r="D681" t="inlineStr">
        <is>
          <t>NORRBOTTENS LÄN</t>
        </is>
      </c>
      <c r="E681" t="inlineStr">
        <is>
          <t>LULEÅ</t>
        </is>
      </c>
      <c r="F681" t="inlineStr">
        <is>
          <t>SCA</t>
        </is>
      </c>
      <c r="G681" t="n">
        <v>18.5</v>
      </c>
      <c r="H681" t="n">
        <v>0</v>
      </c>
      <c r="I681" t="n">
        <v>0</v>
      </c>
      <c r="J681" t="n">
        <v>0</v>
      </c>
      <c r="K681" t="n">
        <v>0</v>
      </c>
      <c r="L681" t="n">
        <v>0</v>
      </c>
      <c r="M681" t="n">
        <v>0</v>
      </c>
      <c r="N681" t="n">
        <v>0</v>
      </c>
      <c r="O681" t="n">
        <v>0</v>
      </c>
      <c r="P681" t="n">
        <v>0</v>
      </c>
      <c r="Q681" t="n">
        <v>0</v>
      </c>
      <c r="R681" s="2" t="inlineStr"/>
    </row>
    <row r="682" ht="15" customHeight="1">
      <c r="A682" t="inlineStr">
        <is>
          <t>A 35234-2021</t>
        </is>
      </c>
      <c r="B682" s="1" t="n">
        <v>44384</v>
      </c>
      <c r="C682" s="1" t="n">
        <v>45976</v>
      </c>
      <c r="D682" t="inlineStr">
        <is>
          <t>NORRBOTTENS LÄN</t>
        </is>
      </c>
      <c r="E682" t="inlineStr">
        <is>
          <t>LULEÅ</t>
        </is>
      </c>
      <c r="G682" t="n">
        <v>1.4</v>
      </c>
      <c r="H682" t="n">
        <v>0</v>
      </c>
      <c r="I682" t="n">
        <v>0</v>
      </c>
      <c r="J682" t="n">
        <v>0</v>
      </c>
      <c r="K682" t="n">
        <v>0</v>
      </c>
      <c r="L682" t="n">
        <v>0</v>
      </c>
      <c r="M682" t="n">
        <v>0</v>
      </c>
      <c r="N682" t="n">
        <v>0</v>
      </c>
      <c r="O682" t="n">
        <v>0</v>
      </c>
      <c r="P682" t="n">
        <v>0</v>
      </c>
      <c r="Q682" t="n">
        <v>0</v>
      </c>
      <c r="R682" s="2" t="inlineStr"/>
    </row>
    <row r="683" ht="15" customHeight="1">
      <c r="A683" t="inlineStr">
        <is>
          <t>A 35686-2025</t>
        </is>
      </c>
      <c r="B683" s="1" t="n">
        <v>45859.92579861111</v>
      </c>
      <c r="C683" s="1" t="n">
        <v>45976</v>
      </c>
      <c r="D683" t="inlineStr">
        <is>
          <t>NORRBOTTENS LÄN</t>
        </is>
      </c>
      <c r="E683" t="inlineStr">
        <is>
          <t>LULEÅ</t>
        </is>
      </c>
      <c r="G683" t="n">
        <v>1.5</v>
      </c>
      <c r="H683" t="n">
        <v>0</v>
      </c>
      <c r="I683" t="n">
        <v>0</v>
      </c>
      <c r="J683" t="n">
        <v>0</v>
      </c>
      <c r="K683" t="n">
        <v>0</v>
      </c>
      <c r="L683" t="n">
        <v>0</v>
      </c>
      <c r="M683" t="n">
        <v>0</v>
      </c>
      <c r="N683" t="n">
        <v>0</v>
      </c>
      <c r="O683" t="n">
        <v>0</v>
      </c>
      <c r="P683" t="n">
        <v>0</v>
      </c>
      <c r="Q683" t="n">
        <v>0</v>
      </c>
      <c r="R683" s="2" t="inlineStr"/>
    </row>
    <row r="684" ht="15" customHeight="1">
      <c r="A684" t="inlineStr">
        <is>
          <t>A 35595-2025</t>
        </is>
      </c>
      <c r="B684" s="1" t="n">
        <v>45858.32641203704</v>
      </c>
      <c r="C684" s="1" t="n">
        <v>45976</v>
      </c>
      <c r="D684" t="inlineStr">
        <is>
          <t>NORRBOTTENS LÄN</t>
        </is>
      </c>
      <c r="E684" t="inlineStr">
        <is>
          <t>LULEÅ</t>
        </is>
      </c>
      <c r="G684" t="n">
        <v>13.1</v>
      </c>
      <c r="H684" t="n">
        <v>0</v>
      </c>
      <c r="I684" t="n">
        <v>0</v>
      </c>
      <c r="J684" t="n">
        <v>0</v>
      </c>
      <c r="K684" t="n">
        <v>0</v>
      </c>
      <c r="L684" t="n">
        <v>0</v>
      </c>
      <c r="M684" t="n">
        <v>0</v>
      </c>
      <c r="N684" t="n">
        <v>0</v>
      </c>
      <c r="O684" t="n">
        <v>0</v>
      </c>
      <c r="P684" t="n">
        <v>0</v>
      </c>
      <c r="Q684" t="n">
        <v>0</v>
      </c>
      <c r="R684" s="2" t="inlineStr"/>
    </row>
    <row r="685" ht="15" customHeight="1">
      <c r="A685" t="inlineStr">
        <is>
          <t>A 54213-2023</t>
        </is>
      </c>
      <c r="B685" s="1" t="n">
        <v>45232</v>
      </c>
      <c r="C685" s="1" t="n">
        <v>45976</v>
      </c>
      <c r="D685" t="inlineStr">
        <is>
          <t>NORRBOTTENS LÄN</t>
        </is>
      </c>
      <c r="E685" t="inlineStr">
        <is>
          <t>LULEÅ</t>
        </is>
      </c>
      <c r="G685" t="n">
        <v>0.2</v>
      </c>
      <c r="H685" t="n">
        <v>0</v>
      </c>
      <c r="I685" t="n">
        <v>0</v>
      </c>
      <c r="J685" t="n">
        <v>0</v>
      </c>
      <c r="K685" t="n">
        <v>0</v>
      </c>
      <c r="L685" t="n">
        <v>0</v>
      </c>
      <c r="M685" t="n">
        <v>0</v>
      </c>
      <c r="N685" t="n">
        <v>0</v>
      </c>
      <c r="O685" t="n">
        <v>0</v>
      </c>
      <c r="P685" t="n">
        <v>0</v>
      </c>
      <c r="Q685" t="n">
        <v>0</v>
      </c>
      <c r="R685" s="2" t="inlineStr"/>
    </row>
    <row r="686" ht="15" customHeight="1">
      <c r="A686" t="inlineStr">
        <is>
          <t>A 11135-2025</t>
        </is>
      </c>
      <c r="B686" s="1" t="n">
        <v>45723.65663194445</v>
      </c>
      <c r="C686" s="1" t="n">
        <v>45976</v>
      </c>
      <c r="D686" t="inlineStr">
        <is>
          <t>NORRBOTTENS LÄN</t>
        </is>
      </c>
      <c r="E686" t="inlineStr">
        <is>
          <t>LULEÅ</t>
        </is>
      </c>
      <c r="G686" t="n">
        <v>16.7</v>
      </c>
      <c r="H686" t="n">
        <v>0</v>
      </c>
      <c r="I686" t="n">
        <v>0</v>
      </c>
      <c r="J686" t="n">
        <v>0</v>
      </c>
      <c r="K686" t="n">
        <v>0</v>
      </c>
      <c r="L686" t="n">
        <v>0</v>
      </c>
      <c r="M686" t="n">
        <v>0</v>
      </c>
      <c r="N686" t="n">
        <v>0</v>
      </c>
      <c r="O686" t="n">
        <v>0</v>
      </c>
      <c r="P686" t="n">
        <v>0</v>
      </c>
      <c r="Q686" t="n">
        <v>0</v>
      </c>
      <c r="R686" s="2" t="inlineStr"/>
    </row>
    <row r="687" ht="15" customHeight="1">
      <c r="A687" t="inlineStr">
        <is>
          <t>A 60954-2021</t>
        </is>
      </c>
      <c r="B687" s="1" t="n">
        <v>44496</v>
      </c>
      <c r="C687" s="1" t="n">
        <v>45976</v>
      </c>
      <c r="D687" t="inlineStr">
        <is>
          <t>NORRBOTTENS LÄN</t>
        </is>
      </c>
      <c r="E687" t="inlineStr">
        <is>
          <t>LULEÅ</t>
        </is>
      </c>
      <c r="G687" t="n">
        <v>1.9</v>
      </c>
      <c r="H687" t="n">
        <v>0</v>
      </c>
      <c r="I687" t="n">
        <v>0</v>
      </c>
      <c r="J687" t="n">
        <v>0</v>
      </c>
      <c r="K687" t="n">
        <v>0</v>
      </c>
      <c r="L687" t="n">
        <v>0</v>
      </c>
      <c r="M687" t="n">
        <v>0</v>
      </c>
      <c r="N687" t="n">
        <v>0</v>
      </c>
      <c r="O687" t="n">
        <v>0</v>
      </c>
      <c r="P687" t="n">
        <v>0</v>
      </c>
      <c r="Q687" t="n">
        <v>0</v>
      </c>
      <c r="R687" s="2" t="inlineStr"/>
    </row>
    <row r="688" ht="15" customHeight="1">
      <c r="A688" t="inlineStr">
        <is>
          <t>A 20063-2023</t>
        </is>
      </c>
      <c r="B688" s="1" t="n">
        <v>45054</v>
      </c>
      <c r="C688" s="1" t="n">
        <v>45976</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26253-2023</t>
        </is>
      </c>
      <c r="B689" s="1" t="n">
        <v>45091</v>
      </c>
      <c r="C689" s="1" t="n">
        <v>45976</v>
      </c>
      <c r="D689" t="inlineStr">
        <is>
          <t>NORRBOTTENS LÄN</t>
        </is>
      </c>
      <c r="E689" t="inlineStr">
        <is>
          <t>LULEÅ</t>
        </is>
      </c>
      <c r="G689" t="n">
        <v>4.9</v>
      </c>
      <c r="H689" t="n">
        <v>0</v>
      </c>
      <c r="I689" t="n">
        <v>0</v>
      </c>
      <c r="J689" t="n">
        <v>0</v>
      </c>
      <c r="K689" t="n">
        <v>0</v>
      </c>
      <c r="L689" t="n">
        <v>0</v>
      </c>
      <c r="M689" t="n">
        <v>0</v>
      </c>
      <c r="N689" t="n">
        <v>0</v>
      </c>
      <c r="O689" t="n">
        <v>0</v>
      </c>
      <c r="P689" t="n">
        <v>0</v>
      </c>
      <c r="Q689" t="n">
        <v>0</v>
      </c>
      <c r="R689" s="2" t="inlineStr"/>
    </row>
    <row r="690" ht="15" customHeight="1">
      <c r="A690" t="inlineStr">
        <is>
          <t>A 49857-2023</t>
        </is>
      </c>
      <c r="B690" s="1" t="n">
        <v>45212</v>
      </c>
      <c r="C690" s="1" t="n">
        <v>45976</v>
      </c>
      <c r="D690" t="inlineStr">
        <is>
          <t>NORRBOTTENS LÄN</t>
        </is>
      </c>
      <c r="E690" t="inlineStr">
        <is>
          <t>LULEÅ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49858-2023</t>
        </is>
      </c>
      <c r="B691" s="1" t="n">
        <v>45212.95483796296</v>
      </c>
      <c r="C691" s="1" t="n">
        <v>45976</v>
      </c>
      <c r="D691" t="inlineStr">
        <is>
          <t>NORRBOTTENS LÄN</t>
        </is>
      </c>
      <c r="E691" t="inlineStr">
        <is>
          <t>LULEÅ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44330-2024</t>
        </is>
      </c>
      <c r="B692" s="1" t="n">
        <v>45573.60027777778</v>
      </c>
      <c r="C692" s="1" t="n">
        <v>45976</v>
      </c>
      <c r="D692" t="inlineStr">
        <is>
          <t>NORRBOTTENS LÄN</t>
        </is>
      </c>
      <c r="E692" t="inlineStr">
        <is>
          <t>LULEÅ</t>
        </is>
      </c>
      <c r="G692" t="n">
        <v>1</v>
      </c>
      <c r="H692" t="n">
        <v>0</v>
      </c>
      <c r="I692" t="n">
        <v>0</v>
      </c>
      <c r="J692" t="n">
        <v>0</v>
      </c>
      <c r="K692" t="n">
        <v>0</v>
      </c>
      <c r="L692" t="n">
        <v>0</v>
      </c>
      <c r="M692" t="n">
        <v>0</v>
      </c>
      <c r="N692" t="n">
        <v>0</v>
      </c>
      <c r="O692" t="n">
        <v>0</v>
      </c>
      <c r="P692" t="n">
        <v>0</v>
      </c>
      <c r="Q692" t="n">
        <v>0</v>
      </c>
      <c r="R692" s="2" t="inlineStr"/>
    </row>
    <row r="693" ht="15" customHeight="1">
      <c r="A693" t="inlineStr">
        <is>
          <t>A 42103-2024</t>
        </is>
      </c>
      <c r="B693" s="1" t="n">
        <v>45562</v>
      </c>
      <c r="C693" s="1" t="n">
        <v>45976</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18208-2023</t>
        </is>
      </c>
      <c r="B694" s="1" t="n">
        <v>45040</v>
      </c>
      <c r="C694" s="1" t="n">
        <v>45976</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704-2025</t>
        </is>
      </c>
      <c r="B695" s="1" t="n">
        <v>45663</v>
      </c>
      <c r="C695" s="1" t="n">
        <v>45976</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731-2025</t>
        </is>
      </c>
      <c r="B696" s="1" t="n">
        <v>45664</v>
      </c>
      <c r="C696" s="1" t="n">
        <v>45976</v>
      </c>
      <c r="D696" t="inlineStr">
        <is>
          <t>NORRBOTTENS LÄN</t>
        </is>
      </c>
      <c r="E696" t="inlineStr">
        <is>
          <t>LULEÅ</t>
        </is>
      </c>
      <c r="G696" t="n">
        <v>0.4</v>
      </c>
      <c r="H696" t="n">
        <v>0</v>
      </c>
      <c r="I696" t="n">
        <v>0</v>
      </c>
      <c r="J696" t="n">
        <v>0</v>
      </c>
      <c r="K696" t="n">
        <v>0</v>
      </c>
      <c r="L696" t="n">
        <v>0</v>
      </c>
      <c r="M696" t="n">
        <v>0</v>
      </c>
      <c r="N696" t="n">
        <v>0</v>
      </c>
      <c r="O696" t="n">
        <v>0</v>
      </c>
      <c r="P696" t="n">
        <v>0</v>
      </c>
      <c r="Q696" t="n">
        <v>0</v>
      </c>
      <c r="R696" s="2" t="inlineStr"/>
    </row>
    <row r="697" ht="15" customHeight="1">
      <c r="A697" t="inlineStr">
        <is>
          <t>A 23730-2023</t>
        </is>
      </c>
      <c r="B697" s="1" t="n">
        <v>45077</v>
      </c>
      <c r="C697" s="1" t="n">
        <v>45976</v>
      </c>
      <c r="D697" t="inlineStr">
        <is>
          <t>NORRBOTTENS LÄN</t>
        </is>
      </c>
      <c r="E697" t="inlineStr">
        <is>
          <t>LULEÅ</t>
        </is>
      </c>
      <c r="G697" t="n">
        <v>2.1</v>
      </c>
      <c r="H697" t="n">
        <v>0</v>
      </c>
      <c r="I697" t="n">
        <v>0</v>
      </c>
      <c r="J697" t="n">
        <v>0</v>
      </c>
      <c r="K697" t="n">
        <v>0</v>
      </c>
      <c r="L697" t="n">
        <v>0</v>
      </c>
      <c r="M697" t="n">
        <v>0</v>
      </c>
      <c r="N697" t="n">
        <v>0</v>
      </c>
      <c r="O697" t="n">
        <v>0</v>
      </c>
      <c r="P697" t="n">
        <v>0</v>
      </c>
      <c r="Q697" t="n">
        <v>0</v>
      </c>
      <c r="R697" s="2" t="inlineStr"/>
    </row>
    <row r="698" ht="15" customHeight="1">
      <c r="A698" t="inlineStr">
        <is>
          <t>A 63024-2020</t>
        </is>
      </c>
      <c r="B698" s="1" t="n">
        <v>44162</v>
      </c>
      <c r="C698" s="1" t="n">
        <v>45976</v>
      </c>
      <c r="D698" t="inlineStr">
        <is>
          <t>NORRBOTTENS LÄN</t>
        </is>
      </c>
      <c r="E698" t="inlineStr">
        <is>
          <t>LULEÅ</t>
        </is>
      </c>
      <c r="F698" t="inlineStr">
        <is>
          <t>Kyrkan</t>
        </is>
      </c>
      <c r="G698" t="n">
        <v>27.4</v>
      </c>
      <c r="H698" t="n">
        <v>0</v>
      </c>
      <c r="I698" t="n">
        <v>0</v>
      </c>
      <c r="J698" t="n">
        <v>0</v>
      </c>
      <c r="K698" t="n">
        <v>0</v>
      </c>
      <c r="L698" t="n">
        <v>0</v>
      </c>
      <c r="M698" t="n">
        <v>0</v>
      </c>
      <c r="N698" t="n">
        <v>0</v>
      </c>
      <c r="O698" t="n">
        <v>0</v>
      </c>
      <c r="P698" t="n">
        <v>0</v>
      </c>
      <c r="Q698" t="n">
        <v>0</v>
      </c>
      <c r="R698" s="2" t="inlineStr"/>
    </row>
    <row r="699" ht="15" customHeight="1">
      <c r="A699" t="inlineStr">
        <is>
          <t>A 53985-2023</t>
        </is>
      </c>
      <c r="B699" s="1" t="n">
        <v>45225</v>
      </c>
      <c r="C699" s="1" t="n">
        <v>45976</v>
      </c>
      <c r="D699" t="inlineStr">
        <is>
          <t>NORRBOTTENS LÄN</t>
        </is>
      </c>
      <c r="E699" t="inlineStr">
        <is>
          <t>LULEÅ</t>
        </is>
      </c>
      <c r="G699" t="n">
        <v>3.2</v>
      </c>
      <c r="H699" t="n">
        <v>0</v>
      </c>
      <c r="I699" t="n">
        <v>0</v>
      </c>
      <c r="J699" t="n">
        <v>0</v>
      </c>
      <c r="K699" t="n">
        <v>0</v>
      </c>
      <c r="L699" t="n">
        <v>0</v>
      </c>
      <c r="M699" t="n">
        <v>0</v>
      </c>
      <c r="N699" t="n">
        <v>0</v>
      </c>
      <c r="O699" t="n">
        <v>0</v>
      </c>
      <c r="P699" t="n">
        <v>0</v>
      </c>
      <c r="Q699" t="n">
        <v>0</v>
      </c>
      <c r="R699" s="2" t="inlineStr"/>
    </row>
    <row r="700" ht="15" customHeight="1">
      <c r="A700" t="inlineStr">
        <is>
          <t>A 58831-2024</t>
        </is>
      </c>
      <c r="B700" s="1" t="n">
        <v>45635</v>
      </c>
      <c r="C700" s="1" t="n">
        <v>45976</v>
      </c>
      <c r="D700" t="inlineStr">
        <is>
          <t>NORRBOTTENS LÄN</t>
        </is>
      </c>
      <c r="E700" t="inlineStr">
        <is>
          <t>LULEÅ</t>
        </is>
      </c>
      <c r="G700" t="n">
        <v>0.3</v>
      </c>
      <c r="H700" t="n">
        <v>0</v>
      </c>
      <c r="I700" t="n">
        <v>0</v>
      </c>
      <c r="J700" t="n">
        <v>0</v>
      </c>
      <c r="K700" t="n">
        <v>0</v>
      </c>
      <c r="L700" t="n">
        <v>0</v>
      </c>
      <c r="M700" t="n">
        <v>0</v>
      </c>
      <c r="N700" t="n">
        <v>0</v>
      </c>
      <c r="O700" t="n">
        <v>0</v>
      </c>
      <c r="P700" t="n">
        <v>0</v>
      </c>
      <c r="Q700" t="n">
        <v>0</v>
      </c>
      <c r="R700" s="2" t="inlineStr"/>
    </row>
    <row r="701" ht="15" customHeight="1">
      <c r="A701" t="inlineStr">
        <is>
          <t>A 2561-2022</t>
        </is>
      </c>
      <c r="B701" s="1" t="n">
        <v>44579</v>
      </c>
      <c r="C701" s="1" t="n">
        <v>45976</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48059-2023</t>
        </is>
      </c>
      <c r="B702" s="1" t="n">
        <v>45204</v>
      </c>
      <c r="C702" s="1" t="n">
        <v>45976</v>
      </c>
      <c r="D702" t="inlineStr">
        <is>
          <t>NORRBOTTENS LÄN</t>
        </is>
      </c>
      <c r="E702" t="inlineStr">
        <is>
          <t>LULEÅ</t>
        </is>
      </c>
      <c r="G702" t="n">
        <v>2</v>
      </c>
      <c r="H702" t="n">
        <v>0</v>
      </c>
      <c r="I702" t="n">
        <v>0</v>
      </c>
      <c r="J702" t="n">
        <v>0</v>
      </c>
      <c r="K702" t="n">
        <v>0</v>
      </c>
      <c r="L702" t="n">
        <v>0</v>
      </c>
      <c r="M702" t="n">
        <v>0</v>
      </c>
      <c r="N702" t="n">
        <v>0</v>
      </c>
      <c r="O702" t="n">
        <v>0</v>
      </c>
      <c r="P702" t="n">
        <v>0</v>
      </c>
      <c r="Q702" t="n">
        <v>0</v>
      </c>
      <c r="R702" s="2" t="inlineStr"/>
    </row>
    <row r="703">
      <c r="A703" t="inlineStr">
        <is>
          <t>A 14196-2025</t>
        </is>
      </c>
      <c r="B703" s="1" t="n">
        <v>45740.56502314815</v>
      </c>
      <c r="C703" s="1" t="n">
        <v>45976</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2025-11-15T10:13:20Z</dcterms:created>
  <dcterms:modified xmlns:dcterms="http://purl.org/dc/terms/" xmlns:xsi="http://www.w3.org/2001/XMLSchema-instance" xsi:type="dcterms:W3CDTF">2025-11-15T10:13:21Z</dcterms:modified>
</cp:coreProperties>
</file>