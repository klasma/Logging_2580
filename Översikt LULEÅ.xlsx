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45834</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45834</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45834</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45834</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45834</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45834</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45834</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45834</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45834</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45834</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45834</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45834</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45834</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45834</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45834</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45834</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45834</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45834</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45834</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45834</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45834</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45834</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45834</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45834</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45834</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45834</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45834</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45834</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45834</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45834</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45834</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45834</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45834</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45834</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45834</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45834</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45834</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45834</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45834</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45834</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45834</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45834</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45834</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45834</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45834</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45834</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45834</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45834</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45834</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45834</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45834</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45834</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45834</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45834</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45834</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45834</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45834</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45834</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45834</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45834</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45834</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45834</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45834</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45834</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45834</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45834</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45834</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45834</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45834</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45834</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45834</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45834</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45834</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45834</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45834</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45834</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45834</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45834</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45834</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45834</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45834</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45834</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45834</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45834</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45834</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45834</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45834</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45834</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45834</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45834</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45834</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45834</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45834</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45834</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45834</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45834</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45834</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45834</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45834</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45834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45834</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45834</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45834</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45834</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45834</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45834</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45834</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45834</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45834</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45834</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45834</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45834</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45834</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45834</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45834</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45834</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45834</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45834</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45834</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45834</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45834</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45834</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45834</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45834</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45834</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45834</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45834</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45834</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45834</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45834</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45834</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45834</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45834</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45834</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45834</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45834</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45834</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45834</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45834</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45834</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45834</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45834</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45834</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45834</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45834</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45834</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45834</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45834</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45834</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45834</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45834</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45834</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45834</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45834</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45834</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45834</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45834</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45834</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45834</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45834</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45834</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45834</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45834</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45834</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45834</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45834</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45834</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45834</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45834</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45834</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45834</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45834</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45834</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45834</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45834</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45834</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45834</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45834</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45834</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45834</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45834</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45834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45834</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45834</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45834</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45834</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45834</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45834</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45834</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45834</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45834</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45834</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45834</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45834</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45834</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45834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45834</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45834</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45834</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45834</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45834</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45834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45834</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45834</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45834</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45834</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45834</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45834</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45834</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45834</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45834</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45834</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45834</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45834</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45834</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45834</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45834</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45834</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45834</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45834</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45834</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45834</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45834</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45834</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45834</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45834</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45834</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45834</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45834</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45834</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45834</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45834</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45834</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45834</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45834</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45834</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45834</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45834</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45834</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45834</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45834</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45834</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45834</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45834</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45834</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45834</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45834</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45834</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45834</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45834</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45834</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45834</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45834</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45834</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45834</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45834</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45834</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45834</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45834</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45834</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45834</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45834</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45834</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45834</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45834</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45834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45834</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45834</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45834</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45834</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45834</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45834</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45834</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45834</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45834</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45834</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45834</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45834</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45834</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45834</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45834</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45834</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45834</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45834</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45834</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45834</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45834</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45834</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45834</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45834</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45834</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45834</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45834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45834</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45834</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45834</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45834</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45834</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45834</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45834</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45834</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45834</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45834</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45834</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45834</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45834</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45834</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45834</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45834</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45834</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45834</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45834</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45834</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45834</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45834</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45834</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45834</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45834</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45834</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45834</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45834</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45834</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45834</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45834</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45834</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45834</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45834</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45834</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45834</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45834</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45834</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45834</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45834</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45834</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45834</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45834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45834</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45834</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45834</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45834</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45834</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45834</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45834</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45834</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45834</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45834</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45834</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45834</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45834</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45834</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45834</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45834</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45834</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45834</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45834</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45834</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45834</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45834</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45834</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45834</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45834</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45834</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45834</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45834</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45834</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45834</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45834</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45834</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45834</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45834</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45834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45834</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45834</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45834</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45834</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45834</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45834</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45834</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45834</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45834</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45834</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45834</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45834</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45834</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45834</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45834</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45834</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45834</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45834</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45834</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45834</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45834</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45834</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45834</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45834</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45834</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45834</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45834</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45834</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45834</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45834</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45834</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45834</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45834</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45834</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45834</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45834</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45834</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45834</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45834</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45834</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45834</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45834</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45834</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45834</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45834</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45834</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45834</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45834</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45834</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45834</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45834</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45834</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45834</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45834</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45834</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45834</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45834</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45834</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45834</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45834</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45834</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45834</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45834</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45834</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45834</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45834</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45834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45834</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45834</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45834</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45834</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45834</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45834</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45834</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45834</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45834</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45834</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45834</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45834</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45834</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45834</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45834</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45834</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45834</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45834</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45834</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45834</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45834</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45834</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45834</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45834</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45834</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45834</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45834</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45834</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45834</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45834</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45834</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45834</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45834</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45834</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45834</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45834</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45834</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45834</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45834</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45834</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45834</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45834</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45834</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45834</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45834</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45834</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45834</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45834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45834</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45834</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45834</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45834</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45834</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45834</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45834</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45834</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45834</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45834</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45834</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45834</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45834</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45834</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45834</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45834</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45834</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45834</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45834</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45834</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45834</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45834</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45834</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45834</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45834</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45834</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45834</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45834</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45834</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45834</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45834</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45834</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45834</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45834</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45834</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45834</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45834</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45834</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45834</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45834</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45834</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45834</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45834</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45834</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45834</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45834</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45834</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45834</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45834</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45834</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45834</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45834</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45834</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45834</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45834</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45834</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45834</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45834</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45834</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45834</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45834</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45834</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45834</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45834</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45834</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45834</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45834</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45834</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45834</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45834</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45834</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45834</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45834</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45834</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45834</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45834</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45834</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45834</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45834</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45834</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45834</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45834</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45834</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45834</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45834</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45834</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45834</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45834</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45834</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45834</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45834</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45834</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45834</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45834</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45834</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45834</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45834</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45834</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45834</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45834</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45834</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45834</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45834</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45834</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45834</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45834</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45834</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45834</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45834</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45834</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45834</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45834</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45834</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45834</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45834</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45834</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45834</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45834</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45834</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45834</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45834</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45834</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45834</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45834</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45834</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45834</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45834</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45834</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45834</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45834</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45834</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45834</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45834</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45834</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45834</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45834</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45834</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45834</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45834</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45834</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45834</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45834</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45834</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45834</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45834</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45834</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45834</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45834</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45834</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45834</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45834</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45834</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45834</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45834</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45834</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45834</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45834</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45834</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45834</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45834</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45834</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45834</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45834</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45834</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45834</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45834</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45834</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45834</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45834</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45834</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45834</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45834</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45834</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45834</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45834</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45834</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45834</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45834</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45834</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45834</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45834</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45834</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45834</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45834</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45834</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45834</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45834</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45834</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45834</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45834</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45834</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45834</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45834</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45834</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45834</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45834</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45834</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45834</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45834</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45834</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45834</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45834</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45834</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45834</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45834</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45834</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45834</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45834</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45834</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45834</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45834</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45834</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45834</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45834</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45834</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45834</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45834</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45834</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45834</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45834</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45834</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45834</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45834</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45834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45834</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45834</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45834</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45834</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45834</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45834</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45834</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45834</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45834</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45834</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45834</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45834</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45834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45834</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45834</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45834</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45834</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45834</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45834</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45834</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45834</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45834</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45834</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45834</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45834</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45834</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45834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45834</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45834</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45834</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45834</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45834</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45834</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45834</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45834</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45834</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45834</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45834</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45834</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45834</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45834</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45834</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45834</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45834</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45834</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45834</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45834</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45834</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45834</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45834</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45834</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45834</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45834</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45834</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45834</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45834</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45834</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45834</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45834</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45834</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45834</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45834</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45834</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45834</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45834</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45834</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45834</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45834</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45834</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45834</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45834</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45834</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45834</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45834</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45834</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45834</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45834</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45834</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45834</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45834</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45834</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45834</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45834</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45834</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45834</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45834</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45834</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45834</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45834</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45834</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45834</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45834</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45834</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45834</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45834</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45834</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45834</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45834</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45834</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45834</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45834</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45834</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45834</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45834</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45834</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45834</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45834</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45834</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45834</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45834</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45834</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45834</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45834</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45834</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45834</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45834</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45834</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45834</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45834</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45834</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45834</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45834</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45834</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45834</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45834</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45834</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45834</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45834</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45834</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45834</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45834</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45834</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45834</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45834</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45834</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45834</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45834</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45834</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45834</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45834</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45834</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45834</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45834</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45834</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45834</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45834</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45834</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45834</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45834</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45834</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45834</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45834</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45834</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45834</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45834</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45834</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45834</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45834</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45834</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45834</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45834</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45834</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45834</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45834</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45834</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45834</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45834</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45834</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45834</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45834</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45834</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45834</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45834</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45834</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45834</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45834</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45834</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45834</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45834</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45834</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45834</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45834</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45834</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45834</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45834</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45834</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45834</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45834</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45834</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45834</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45834</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45834</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45834</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45834</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45834</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45834</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45834</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45834</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45834</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45834</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45834</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45834</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45834</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45834</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45834</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45834</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45834</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45834</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45834</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45834</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45834</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45834</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45834</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45834</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45834</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45834</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45834</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45834</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45834</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45834</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45834</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45834</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45834</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45834</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45834</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45834</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45834</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45834</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45834</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45834</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45834</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45834</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45834</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45834</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45834</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45834</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45834</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45834</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45834</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45834</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45834</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45834</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45834</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45834</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45834</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45834</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45834</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45834</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45834</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45834</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45834</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45834</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45834</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45834</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45834</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45834</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45834</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45834</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45834</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45834</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45834</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45834</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45834</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45834</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45834</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45834</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45834</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45834</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45834</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45834</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45834</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45834</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45834</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45834</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45834</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45834</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45834</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45834</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45834</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45834</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45834</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45834</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45834</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45834</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45834</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45834</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45834</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45834</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45834</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45834</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45834</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45834</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45834</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45834</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45834</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45834</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45834</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45834</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45834</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45834</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45834</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45834</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45834</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45834</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45834</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45834</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45834</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45834</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45834</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45834</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45834</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45834</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45834</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45834</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45834</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45834</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45834</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45834</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45834</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45834</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45834</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45834</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45834</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45834</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45834</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45834</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45834</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45834</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45834</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45834</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45834</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45834</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45834</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45834</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45834</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45834</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45834</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45834</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45834</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45834</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45834</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45834</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45834</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45834</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45834</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45834</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45834</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45834</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45834</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45834</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45834</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45834</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45834</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45834</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45834</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45834</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45834</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45834</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45834</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45834</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45834</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45834</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45834</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45834</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45834</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45834</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45834</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45834</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45834</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45834</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45834</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45834</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45834</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45834</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45834</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45834</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45834</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45834</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45834</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45834</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45834</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45834</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45834</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45834</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45834</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45834</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45834</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45834</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45834</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45834</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45834</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45834</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45834</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45834</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45834</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45834</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29375-2025</t>
        </is>
      </c>
      <c r="B1122" s="1" t="n">
        <v>45824</v>
      </c>
      <c r="C1122" s="1" t="n">
        <v>45834</v>
      </c>
      <c r="D1122" t="inlineStr">
        <is>
          <t>NORRBOTTENS LÄN</t>
        </is>
      </c>
      <c r="E1122" t="inlineStr">
        <is>
          <t>LULEÅ</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29417-2025</t>
        </is>
      </c>
      <c r="B1123" s="1" t="n">
        <v>45824</v>
      </c>
      <c r="C1123" s="1" t="n">
        <v>45834</v>
      </c>
      <c r="D1123" t="inlineStr">
        <is>
          <t>NORRBOTTENS LÄN</t>
        </is>
      </c>
      <c r="E1123" t="inlineStr">
        <is>
          <t>LULEÅ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29332-2025</t>
        </is>
      </c>
      <c r="B1124" s="1" t="n">
        <v>45824</v>
      </c>
      <c r="C1124" s="1" t="n">
        <v>45834</v>
      </c>
      <c r="D1124" t="inlineStr">
        <is>
          <t>NORRBOTTENS LÄN</t>
        </is>
      </c>
      <c r="E1124" t="inlineStr">
        <is>
          <t>LULEÅ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45834</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30035-2025</t>
        </is>
      </c>
      <c r="B1126" s="1" t="n">
        <v>45826</v>
      </c>
      <c r="C1126" s="1" t="n">
        <v>45834</v>
      </c>
      <c r="D1126" t="inlineStr">
        <is>
          <t>NORRBOTTENS LÄN</t>
        </is>
      </c>
      <c r="E1126" t="inlineStr">
        <is>
          <t>LULEÅ</t>
        </is>
      </c>
      <c r="G1126" t="n">
        <v>16.6</v>
      </c>
      <c r="H1126" t="n">
        <v>0</v>
      </c>
      <c r="I1126" t="n">
        <v>0</v>
      </c>
      <c r="J1126" t="n">
        <v>0</v>
      </c>
      <c r="K1126" t="n">
        <v>0</v>
      </c>
      <c r="L1126" t="n">
        <v>0</v>
      </c>
      <c r="M1126" t="n">
        <v>0</v>
      </c>
      <c r="N1126" t="n">
        <v>0</v>
      </c>
      <c r="O1126" t="n">
        <v>0</v>
      </c>
      <c r="P1126" t="n">
        <v>0</v>
      </c>
      <c r="Q1126" t="n">
        <v>0</v>
      </c>
      <c r="R1126" s="2" t="inlineStr"/>
    </row>
    <row r="1127" ht="15" customHeight="1">
      <c r="A1127" t="inlineStr">
        <is>
          <t>A 30065-2025</t>
        </is>
      </c>
      <c r="B1127" s="1" t="n">
        <v>45826</v>
      </c>
      <c r="C1127" s="1" t="n">
        <v>45834</v>
      </c>
      <c r="D1127" t="inlineStr">
        <is>
          <t>NORRBOTTENS LÄN</t>
        </is>
      </c>
      <c r="E1127" t="inlineStr">
        <is>
          <t>LULEÅ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30056-2025</t>
        </is>
      </c>
      <c r="B1128" s="1" t="n">
        <v>45826</v>
      </c>
      <c r="C1128" s="1" t="n">
        <v>45834</v>
      </c>
      <c r="D1128" t="inlineStr">
        <is>
          <t>NORRBOTTENS LÄN</t>
        </is>
      </c>
      <c r="E1128" t="inlineStr">
        <is>
          <t>LULEÅ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30048-2025</t>
        </is>
      </c>
      <c r="B1129" s="1" t="n">
        <v>45826</v>
      </c>
      <c r="C1129" s="1" t="n">
        <v>45834</v>
      </c>
      <c r="D1129" t="inlineStr">
        <is>
          <t>NORRBOTTENS LÄN</t>
        </is>
      </c>
      <c r="E1129" t="inlineStr">
        <is>
          <t>LULEÅ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30091-2025</t>
        </is>
      </c>
      <c r="B1130" s="1" t="n">
        <v>45826</v>
      </c>
      <c r="C1130" s="1" t="n">
        <v>45834</v>
      </c>
      <c r="D1130" t="inlineStr">
        <is>
          <t>NORRBOTTENS LÄN</t>
        </is>
      </c>
      <c r="E1130" t="inlineStr">
        <is>
          <t>LULEÅ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30052-2025</t>
        </is>
      </c>
      <c r="B1131" s="1" t="n">
        <v>45826</v>
      </c>
      <c r="C1131" s="1" t="n">
        <v>45834</v>
      </c>
      <c r="D1131" t="inlineStr">
        <is>
          <t>NORRBOTTENS LÄN</t>
        </is>
      </c>
      <c r="E1131" t="inlineStr">
        <is>
          <t>LULEÅ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29896-2025</t>
        </is>
      </c>
      <c r="B1132" s="1" t="n">
        <v>45826</v>
      </c>
      <c r="C1132" s="1" t="n">
        <v>45834</v>
      </c>
      <c r="D1132" t="inlineStr">
        <is>
          <t>NORRBOTTENS LÄN</t>
        </is>
      </c>
      <c r="E1132" t="inlineStr">
        <is>
          <t>LULEÅ</t>
        </is>
      </c>
      <c r="G1132" t="n">
        <v>17.9</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45834</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30120-2025</t>
        </is>
      </c>
      <c r="B1134" s="1" t="n">
        <v>45826</v>
      </c>
      <c r="C1134" s="1" t="n">
        <v>45834</v>
      </c>
      <c r="D1134" t="inlineStr">
        <is>
          <t>NORRBOTTENS LÄN</t>
        </is>
      </c>
      <c r="E1134" t="inlineStr">
        <is>
          <t>LULEÅ</t>
        </is>
      </c>
      <c r="G1134" t="n">
        <v>1.1</v>
      </c>
      <c r="H1134" t="n">
        <v>0</v>
      </c>
      <c r="I1134" t="n">
        <v>0</v>
      </c>
      <c r="J1134" t="n">
        <v>0</v>
      </c>
      <c r="K1134" t="n">
        <v>0</v>
      </c>
      <c r="L1134" t="n">
        <v>0</v>
      </c>
      <c r="M1134" t="n">
        <v>0</v>
      </c>
      <c r="N1134" t="n">
        <v>0</v>
      </c>
      <c r="O1134" t="n">
        <v>0</v>
      </c>
      <c r="P1134" t="n">
        <v>0</v>
      </c>
      <c r="Q1134" t="n">
        <v>0</v>
      </c>
      <c r="R1134" s="2" t="inlineStr"/>
      <c r="U1134">
        <f>HYPERLINK("https://klasma.github.io/Logging_252580/knärot/A 30120-2025 karta knärot.png", "A 30120-2025")</f>
        <v/>
      </c>
      <c r="V1134">
        <f>HYPERLINK("https://klasma.github.io/Logging_252580/klagomål/A 30120-2025 FSC-klagomål.docx", "A 30120-2025")</f>
        <v/>
      </c>
      <c r="W1134">
        <f>HYPERLINK("https://klasma.github.io/Logging_252580/klagomålsmail/A 30120-2025 FSC-klagomål mail.docx", "A 30120-2025")</f>
        <v/>
      </c>
      <c r="X1134">
        <f>HYPERLINK("https://klasma.github.io/Logging_252580/tillsyn/A 30120-2025 tillsynsbegäran.docx", "A 30120-2025")</f>
        <v/>
      </c>
      <c r="Y1134">
        <f>HYPERLINK("https://klasma.github.io/Logging_252580/tillsynsmail/A 30120-2025 tillsynsbegäran mail.docx", "A 30120-2025")</f>
        <v/>
      </c>
    </row>
    <row r="1135" ht="15" customHeight="1">
      <c r="A1135" t="inlineStr">
        <is>
          <t>A 30080-2025</t>
        </is>
      </c>
      <c r="B1135" s="1" t="n">
        <v>45826</v>
      </c>
      <c r="C1135" s="1" t="n">
        <v>45834</v>
      </c>
      <c r="D1135" t="inlineStr">
        <is>
          <t>NORRBOTTENS LÄN</t>
        </is>
      </c>
      <c r="E1135" t="inlineStr">
        <is>
          <t>LULEÅ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29975-2025</t>
        </is>
      </c>
      <c r="B1136" s="1" t="n">
        <v>45826</v>
      </c>
      <c r="C1136" s="1" t="n">
        <v>45834</v>
      </c>
      <c r="D1136" t="inlineStr">
        <is>
          <t>NORRBOTTENS LÄN</t>
        </is>
      </c>
      <c r="E1136" t="inlineStr">
        <is>
          <t>LULEÅ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30238-2025</t>
        </is>
      </c>
      <c r="B1137" s="1" t="n">
        <v>45827</v>
      </c>
      <c r="C1137" s="1" t="n">
        <v>45834</v>
      </c>
      <c r="D1137" t="inlineStr">
        <is>
          <t>NORRBOTTENS LÄN</t>
        </is>
      </c>
      <c r="E1137" t="inlineStr">
        <is>
          <t>LULEÅ</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30241-2025</t>
        </is>
      </c>
      <c r="B1138" s="1" t="n">
        <v>45827</v>
      </c>
      <c r="C1138" s="1" t="n">
        <v>45834</v>
      </c>
      <c r="D1138" t="inlineStr">
        <is>
          <t>NORRBOTTENS LÄN</t>
        </is>
      </c>
      <c r="E1138" t="inlineStr">
        <is>
          <t>LULEÅ</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30245-2025</t>
        </is>
      </c>
      <c r="B1139" s="1" t="n">
        <v>45827</v>
      </c>
      <c r="C1139" s="1" t="n">
        <v>45834</v>
      </c>
      <c r="D1139" t="inlineStr">
        <is>
          <t>NORRBOTTENS LÄN</t>
        </is>
      </c>
      <c r="E1139" t="inlineStr">
        <is>
          <t>LULEÅ</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30237-2025</t>
        </is>
      </c>
      <c r="B1140" s="1" t="n">
        <v>45827</v>
      </c>
      <c r="C1140" s="1" t="n">
        <v>45834</v>
      </c>
      <c r="D1140" t="inlineStr">
        <is>
          <t>NORRBOTTENS LÄN</t>
        </is>
      </c>
      <c r="E1140" t="inlineStr">
        <is>
          <t>LULEÅ</t>
        </is>
      </c>
      <c r="G1140" t="n">
        <v>17.6</v>
      </c>
      <c r="H1140" t="n">
        <v>0</v>
      </c>
      <c r="I1140" t="n">
        <v>0</v>
      </c>
      <c r="J1140" t="n">
        <v>0</v>
      </c>
      <c r="K1140" t="n">
        <v>0</v>
      </c>
      <c r="L1140" t="n">
        <v>0</v>
      </c>
      <c r="M1140" t="n">
        <v>0</v>
      </c>
      <c r="N1140" t="n">
        <v>0</v>
      </c>
      <c r="O1140" t="n">
        <v>0</v>
      </c>
      <c r="P1140" t="n">
        <v>0</v>
      </c>
      <c r="Q1140" t="n">
        <v>0</v>
      </c>
      <c r="R1140" s="2" t="inlineStr"/>
    </row>
    <row r="1141" ht="15" customHeight="1">
      <c r="A1141" t="inlineStr">
        <is>
          <t>A 30570-2025</t>
        </is>
      </c>
      <c r="B1141" s="1" t="n">
        <v>45831</v>
      </c>
      <c r="C1141" s="1" t="n">
        <v>45834</v>
      </c>
      <c r="D1141" t="inlineStr">
        <is>
          <t>NORRBOTTENS LÄN</t>
        </is>
      </c>
      <c r="E1141" t="inlineStr">
        <is>
          <t>LULEÅ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30569-2025</t>
        </is>
      </c>
      <c r="B1142" s="1" t="n">
        <v>45831</v>
      </c>
      <c r="C1142" s="1" t="n">
        <v>45834</v>
      </c>
      <c r="D1142" t="inlineStr">
        <is>
          <t>NORRBOTTENS LÄN</t>
        </is>
      </c>
      <c r="E1142" t="inlineStr">
        <is>
          <t>LULEÅ</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31025-2025</t>
        </is>
      </c>
      <c r="B1143" s="1" t="n">
        <v>45831</v>
      </c>
      <c r="C1143" s="1" t="n">
        <v>45834</v>
      </c>
      <c r="D1143" t="inlineStr">
        <is>
          <t>NORRBOTTENS LÄN</t>
        </is>
      </c>
      <c r="E1143" t="inlineStr">
        <is>
          <t>LULEÅ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30907-2025</t>
        </is>
      </c>
      <c r="B1144" s="1" t="n">
        <v>45832</v>
      </c>
      <c r="C1144" s="1" t="n">
        <v>45834</v>
      </c>
      <c r="D1144" t="inlineStr">
        <is>
          <t>NORRBOTTENS LÄN</t>
        </is>
      </c>
      <c r="E1144" t="inlineStr">
        <is>
          <t>LULEÅ</t>
        </is>
      </c>
      <c r="G1144" t="n">
        <v>2</v>
      </c>
      <c r="H1144" t="n">
        <v>0</v>
      </c>
      <c r="I1144" t="n">
        <v>0</v>
      </c>
      <c r="J1144" t="n">
        <v>0</v>
      </c>
      <c r="K1144" t="n">
        <v>0</v>
      </c>
      <c r="L1144" t="n">
        <v>0</v>
      </c>
      <c r="M1144" t="n">
        <v>0</v>
      </c>
      <c r="N1144" t="n">
        <v>0</v>
      </c>
      <c r="O1144" t="n">
        <v>0</v>
      </c>
      <c r="P1144" t="n">
        <v>0</v>
      </c>
      <c r="Q1144" t="n">
        <v>0</v>
      </c>
      <c r="R1144" s="2" t="inlineStr"/>
    </row>
    <row r="1145">
      <c r="A1145" t="inlineStr">
        <is>
          <t>A 31620-2025</t>
        </is>
      </c>
      <c r="B1145" s="1" t="n">
        <v>45833</v>
      </c>
      <c r="C1145" s="1" t="n">
        <v>45834</v>
      </c>
      <c r="D1145" t="inlineStr">
        <is>
          <t>NORRBOTTENS LÄN</t>
        </is>
      </c>
      <c r="E1145" t="inlineStr">
        <is>
          <t>LULEÅ</t>
        </is>
      </c>
      <c r="G1145" t="n">
        <v>7.7</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2025-06-26T19:21:27Z</dcterms:created>
  <dcterms:modified xmlns:dcterms="http://purl.org/dc/terms/" xmlns:xsi="http://www.w3.org/2001/XMLSchema-instance" xsi:type="dcterms:W3CDTF">2025-06-26T19:21:28Z</dcterms:modified>
</cp:coreProperties>
</file>