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45935</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45935</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45935</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45935</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45935</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45935</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45935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45935</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14184-2025</t>
        </is>
      </c>
      <c r="B20" s="1" t="n">
        <v>45740.54351851852</v>
      </c>
      <c r="C20" s="1" t="n">
        <v>45935</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45935</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55908-2023</t>
        </is>
      </c>
      <c r="B22" s="1" t="n">
        <v>45239</v>
      </c>
      <c r="C22" s="1" t="n">
        <v>45935</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45935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45935</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45935</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45935</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17428-2023</t>
        </is>
      </c>
      <c r="B28" s="1" t="n">
        <v>45035.9266087963</v>
      </c>
      <c r="C28" s="1" t="n">
        <v>45935</v>
      </c>
      <c r="D28" t="inlineStr">
        <is>
          <t>NORRBOTTENS LÄN</t>
        </is>
      </c>
      <c r="E28" t="inlineStr">
        <is>
          <t>LULEÅ</t>
        </is>
      </c>
      <c r="G28" t="n">
        <v>2</v>
      </c>
      <c r="H28" t="n">
        <v>0</v>
      </c>
      <c r="I28" t="n">
        <v>1</v>
      </c>
      <c r="J28" t="n">
        <v>0</v>
      </c>
      <c r="K28" t="n">
        <v>0</v>
      </c>
      <c r="L28" t="n">
        <v>0</v>
      </c>
      <c r="M28" t="n">
        <v>0</v>
      </c>
      <c r="N28" t="n">
        <v>0</v>
      </c>
      <c r="O28" t="n">
        <v>0</v>
      </c>
      <c r="P28" t="n">
        <v>0</v>
      </c>
      <c r="Q28" t="n">
        <v>1</v>
      </c>
      <c r="R28" s="2" t="inlineStr">
        <is>
          <t>Mindre märgborre</t>
        </is>
      </c>
      <c r="S28">
        <f>HYPERLINK("https://klasma.github.io/Logging_2580/artfynd/A 17428-2023 artfynd.xlsx", "A 17428-2023")</f>
        <v/>
      </c>
      <c r="T28">
        <f>HYPERLINK("https://klasma.github.io/Logging_2580/kartor/A 17428-2023 karta.png", "A 17428-2023")</f>
        <v/>
      </c>
      <c r="V28">
        <f>HYPERLINK("https://klasma.github.io/Logging_2580/klagomål/A 17428-2023 FSC-klagomål.docx", "A 17428-2023")</f>
        <v/>
      </c>
      <c r="W28">
        <f>HYPERLINK("https://klasma.github.io/Logging_2580/klagomålsmail/A 17428-2023 FSC-klagomål mail.docx", "A 17428-2023")</f>
        <v/>
      </c>
      <c r="X28">
        <f>HYPERLINK("https://klasma.github.io/Logging_2580/tillsyn/A 17428-2023 tillsynsbegäran.docx", "A 17428-2023")</f>
        <v/>
      </c>
      <c r="Y28">
        <f>HYPERLINK("https://klasma.github.io/Logging_2580/tillsynsmail/A 17428-2023 tillsynsbegäran mail.docx", "A 17428-2023")</f>
        <v/>
      </c>
    </row>
    <row r="29" ht="15" customHeight="1">
      <c r="A29" t="inlineStr">
        <is>
          <t>A 739-2025</t>
        </is>
      </c>
      <c r="B29" s="1" t="n">
        <v>45664</v>
      </c>
      <c r="C29" s="1" t="n">
        <v>45935</v>
      </c>
      <c r="D29" t="inlineStr">
        <is>
          <t>NORRBOTTENS LÄN</t>
        </is>
      </c>
      <c r="E29" t="inlineStr">
        <is>
          <t>LULEÅ</t>
        </is>
      </c>
      <c r="G29" t="n">
        <v>1.8</v>
      </c>
      <c r="H29" t="n">
        <v>0</v>
      </c>
      <c r="I29" t="n">
        <v>0</v>
      </c>
      <c r="J29" t="n">
        <v>1</v>
      </c>
      <c r="K29" t="n">
        <v>0</v>
      </c>
      <c r="L29" t="n">
        <v>0</v>
      </c>
      <c r="M29" t="n">
        <v>0</v>
      </c>
      <c r="N29" t="n">
        <v>0</v>
      </c>
      <c r="O29" t="n">
        <v>1</v>
      </c>
      <c r="P29" t="n">
        <v>0</v>
      </c>
      <c r="Q29" t="n">
        <v>1</v>
      </c>
      <c r="R29" s="2" t="inlineStr">
        <is>
          <t>Garnlav</t>
        </is>
      </c>
      <c r="S29">
        <f>HYPERLINK("https://klasma.github.io/Logging_2580/artfynd/A 739-2025 artfynd.xlsx", "A 739-2025")</f>
        <v/>
      </c>
      <c r="T29">
        <f>HYPERLINK("https://klasma.github.io/Logging_2580/kartor/A 739-2025 karta.png", "A 739-2025")</f>
        <v/>
      </c>
      <c r="U29">
        <f>HYPERLINK("https://klasma.github.io/Logging_2580/knärot/A 739-2025 karta knärot.png", "A 739-2025")</f>
        <v/>
      </c>
      <c r="V29">
        <f>HYPERLINK("https://klasma.github.io/Logging_2580/klagomål/A 739-2025 FSC-klagomål.docx", "A 739-2025")</f>
        <v/>
      </c>
      <c r="W29">
        <f>HYPERLINK("https://klasma.github.io/Logging_2580/klagomålsmail/A 739-2025 FSC-klagomål mail.docx", "A 739-2025")</f>
        <v/>
      </c>
      <c r="X29">
        <f>HYPERLINK("https://klasma.github.io/Logging_2580/tillsyn/A 739-2025 tillsynsbegäran.docx", "A 739-2025")</f>
        <v/>
      </c>
      <c r="Y29">
        <f>HYPERLINK("https://klasma.github.io/Logging_2580/tillsynsmail/A 739-2025 tillsynsbegäran mail.docx", "A 739-2025")</f>
        <v/>
      </c>
    </row>
    <row r="30" ht="15" customHeight="1">
      <c r="A30" t="inlineStr">
        <is>
          <t>A 59466-2023</t>
        </is>
      </c>
      <c r="B30" s="1" t="n">
        <v>45254.4122337963</v>
      </c>
      <c r="C30" s="1" t="n">
        <v>45935</v>
      </c>
      <c r="D30" t="inlineStr">
        <is>
          <t>NORRBOTTENS LÄN</t>
        </is>
      </c>
      <c r="E30" t="inlineStr">
        <is>
          <t>LULEÅ</t>
        </is>
      </c>
      <c r="F30" t="inlineStr">
        <is>
          <t>Sveaskog</t>
        </is>
      </c>
      <c r="G30" t="n">
        <v>0.4</v>
      </c>
      <c r="H30" t="n">
        <v>0</v>
      </c>
      <c r="I30" t="n">
        <v>0</v>
      </c>
      <c r="J30" t="n">
        <v>1</v>
      </c>
      <c r="K30" t="n">
        <v>0</v>
      </c>
      <c r="L30" t="n">
        <v>0</v>
      </c>
      <c r="M30" t="n">
        <v>0</v>
      </c>
      <c r="N30" t="n">
        <v>0</v>
      </c>
      <c r="O30" t="n">
        <v>1</v>
      </c>
      <c r="P30" t="n">
        <v>0</v>
      </c>
      <c r="Q30" t="n">
        <v>1</v>
      </c>
      <c r="R30" s="2" t="inlineStr">
        <is>
          <t>Motaggsvamp</t>
        </is>
      </c>
      <c r="S30">
        <f>HYPERLINK("https://klasma.github.io/Logging_2580/artfynd/A 59466-2023 artfynd.xlsx", "A 59466-2023")</f>
        <v/>
      </c>
      <c r="T30">
        <f>HYPERLINK("https://klasma.github.io/Logging_2580/kartor/A 59466-2023 karta.png", "A 59466-2023")</f>
        <v/>
      </c>
      <c r="V30">
        <f>HYPERLINK("https://klasma.github.io/Logging_2580/klagomål/A 59466-2023 FSC-klagomål.docx", "A 59466-2023")</f>
        <v/>
      </c>
      <c r="W30">
        <f>HYPERLINK("https://klasma.github.io/Logging_2580/klagomålsmail/A 59466-2023 FSC-klagomål mail.docx", "A 59466-2023")</f>
        <v/>
      </c>
      <c r="X30">
        <f>HYPERLINK("https://klasma.github.io/Logging_2580/tillsyn/A 59466-2023 tillsynsbegäran.docx", "A 59466-2023")</f>
        <v/>
      </c>
      <c r="Y30">
        <f>HYPERLINK("https://klasma.github.io/Logging_2580/tillsynsmail/A 59466-2023 tillsynsbegäran mail.docx", "A 59466-2023")</f>
        <v/>
      </c>
    </row>
    <row r="31" ht="15" customHeight="1">
      <c r="A31" t="inlineStr">
        <is>
          <t>A 43978-2025</t>
        </is>
      </c>
      <c r="B31" s="1" t="n">
        <v>45915</v>
      </c>
      <c r="C31" s="1" t="n">
        <v>45935</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45935</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59395-2024</t>
        </is>
      </c>
      <c r="B33" s="1" t="n">
        <v>45638</v>
      </c>
      <c r="C33" s="1" t="n">
        <v>45935</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25528-2024</t>
        </is>
      </c>
      <c r="B34" s="1" t="n">
        <v>45463</v>
      </c>
      <c r="C34" s="1" t="n">
        <v>45935</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60002-2024</t>
        </is>
      </c>
      <c r="B35" s="1" t="n">
        <v>45642.41423611111</v>
      </c>
      <c r="C35" s="1" t="n">
        <v>45935</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38889-2025</t>
        </is>
      </c>
      <c r="B36" s="1" t="n">
        <v>45887.58668981482</v>
      </c>
      <c r="C36" s="1" t="n">
        <v>45935</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733-2025</t>
        </is>
      </c>
      <c r="B37" s="1" t="n">
        <v>45664</v>
      </c>
      <c r="C37" s="1" t="n">
        <v>45935</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45935</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55720-2024</t>
        </is>
      </c>
      <c r="B39" s="1" t="n">
        <v>45622.7453125</v>
      </c>
      <c r="C39" s="1" t="n">
        <v>45935</v>
      </c>
      <c r="D39" t="inlineStr">
        <is>
          <t>NORRBOTTENS LÄN</t>
        </is>
      </c>
      <c r="E39" t="inlineStr">
        <is>
          <t>LULEÅ</t>
        </is>
      </c>
      <c r="G39" t="n">
        <v>11.6</v>
      </c>
      <c r="H39" t="n">
        <v>0</v>
      </c>
      <c r="I39" t="n">
        <v>0</v>
      </c>
      <c r="J39" t="n">
        <v>1</v>
      </c>
      <c r="K39" t="n">
        <v>0</v>
      </c>
      <c r="L39" t="n">
        <v>0</v>
      </c>
      <c r="M39" t="n">
        <v>0</v>
      </c>
      <c r="N39" t="n">
        <v>0</v>
      </c>
      <c r="O39" t="n">
        <v>1</v>
      </c>
      <c r="P39" t="n">
        <v>0</v>
      </c>
      <c r="Q39" t="n">
        <v>1</v>
      </c>
      <c r="R39" s="2" t="inlineStr">
        <is>
          <t>Igelkott</t>
        </is>
      </c>
      <c r="S39">
        <f>HYPERLINK("https://klasma.github.io/Logging_2580/artfynd/A 55720-2024 artfynd.xlsx", "A 55720-2024")</f>
        <v/>
      </c>
      <c r="T39">
        <f>HYPERLINK("https://klasma.github.io/Logging_2580/kartor/A 55720-2024 karta.png", "A 55720-2024")</f>
        <v/>
      </c>
      <c r="V39">
        <f>HYPERLINK("https://klasma.github.io/Logging_2580/klagomål/A 55720-2024 FSC-klagomål.docx", "A 55720-2024")</f>
        <v/>
      </c>
      <c r="W39">
        <f>HYPERLINK("https://klasma.github.io/Logging_2580/klagomålsmail/A 55720-2024 FSC-klagomål mail.docx", "A 55720-2024")</f>
        <v/>
      </c>
      <c r="X39">
        <f>HYPERLINK("https://klasma.github.io/Logging_2580/tillsyn/A 55720-2024 tillsynsbegäran.docx", "A 55720-2024")</f>
        <v/>
      </c>
      <c r="Y39">
        <f>HYPERLINK("https://klasma.github.io/Logging_2580/tillsynsmail/A 55720-2024 tillsynsbegäran mail.docx", "A 55720-2024")</f>
        <v/>
      </c>
    </row>
    <row r="40" ht="15" customHeight="1">
      <c r="A40" t="inlineStr">
        <is>
          <t>A 6527-2021</t>
        </is>
      </c>
      <c r="B40" s="1" t="n">
        <v>44236</v>
      </c>
      <c r="C40" s="1" t="n">
        <v>45935</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45935</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29381-2025</t>
        </is>
      </c>
      <c r="B42" s="1" t="n">
        <v>45824.59027777778</v>
      </c>
      <c r="C42" s="1" t="n">
        <v>45935</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32148-2025</t>
        </is>
      </c>
      <c r="B43" s="1" t="n">
        <v>45835.52969907408</v>
      </c>
      <c r="C43" s="1" t="n">
        <v>45935</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31900-2025</t>
        </is>
      </c>
      <c r="B44" s="1" t="n">
        <v>45834</v>
      </c>
      <c r="C44" s="1" t="n">
        <v>45935</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33514-2025</t>
        </is>
      </c>
      <c r="B45" s="1" t="n">
        <v>45841.52672453703</v>
      </c>
      <c r="C45" s="1" t="n">
        <v>45935</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4561-2023</t>
        </is>
      </c>
      <c r="B46" s="1" t="n">
        <v>44951</v>
      </c>
      <c r="C46" s="1" t="n">
        <v>45935</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38333-2024</t>
        </is>
      </c>
      <c r="B47" s="1" t="n">
        <v>45545</v>
      </c>
      <c r="C47" s="1" t="n">
        <v>45935</v>
      </c>
      <c r="D47" t="inlineStr">
        <is>
          <t>NORRBOTTENS LÄN</t>
        </is>
      </c>
      <c r="E47" t="inlineStr">
        <is>
          <t>LULEÅ</t>
        </is>
      </c>
      <c r="F47" t="inlineStr">
        <is>
          <t>Sveaskog</t>
        </is>
      </c>
      <c r="G47" t="n">
        <v>2.9</v>
      </c>
      <c r="H47" t="n">
        <v>1</v>
      </c>
      <c r="I47" t="n">
        <v>0</v>
      </c>
      <c r="J47" t="n">
        <v>0</v>
      </c>
      <c r="K47" t="n">
        <v>1</v>
      </c>
      <c r="L47" t="n">
        <v>0</v>
      </c>
      <c r="M47" t="n">
        <v>0</v>
      </c>
      <c r="N47" t="n">
        <v>0</v>
      </c>
      <c r="O47" t="n">
        <v>1</v>
      </c>
      <c r="P47" t="n">
        <v>1</v>
      </c>
      <c r="Q47" t="n">
        <v>1</v>
      </c>
      <c r="R47" s="2" t="inlineStr">
        <is>
          <t>Knärot</t>
        </is>
      </c>
      <c r="S47">
        <f>HYPERLINK("https://klasma.github.io/Logging_2580/artfynd/A 38333-2024 artfynd.xlsx", "A 38333-2024")</f>
        <v/>
      </c>
      <c r="T47">
        <f>HYPERLINK("https://klasma.github.io/Logging_2580/kartor/A 38333-2024 karta.png", "A 38333-2024")</f>
        <v/>
      </c>
      <c r="U47">
        <f>HYPERLINK("https://klasma.github.io/Logging_2580/knärot/A 38333-2024 karta knärot.png", "A 38333-2024")</f>
        <v/>
      </c>
      <c r="V47">
        <f>HYPERLINK("https://klasma.github.io/Logging_2580/klagomål/A 38333-2024 FSC-klagomål.docx", "A 38333-2024")</f>
        <v/>
      </c>
      <c r="W47">
        <f>HYPERLINK("https://klasma.github.io/Logging_2580/klagomålsmail/A 38333-2024 FSC-klagomål mail.docx", "A 38333-2024")</f>
        <v/>
      </c>
      <c r="X47">
        <f>HYPERLINK("https://klasma.github.io/Logging_2580/tillsyn/A 38333-2024 tillsynsbegäran.docx", "A 38333-2024")</f>
        <v/>
      </c>
      <c r="Y47">
        <f>HYPERLINK("https://klasma.github.io/Logging_2580/tillsynsmail/A 38333-2024 tillsynsbegäran mail.docx", "A 38333-2024")</f>
        <v/>
      </c>
    </row>
    <row r="48" ht="15" customHeight="1">
      <c r="A48" t="inlineStr">
        <is>
          <t>A 48323-2022</t>
        </is>
      </c>
      <c r="B48" s="1" t="n">
        <v>44854</v>
      </c>
      <c r="C48" s="1" t="n">
        <v>45935</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45935</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45935</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45935</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45935</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45935</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45935</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45935</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45935</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45935</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45935</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45935</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45935</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45935</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45935</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45935</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45935</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45935</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45935</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45935</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45935</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45935</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45935</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45935</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45935</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45935</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45935</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45935</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45935</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45935</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45935</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45935</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45935</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45935</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45935</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45935</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45935</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45935</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45935</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45935</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45935</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45935</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45935</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45935</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45935</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45935</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45935</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45935</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45935</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45935</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45935</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45935</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45935</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45935</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45935</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73539-2021</t>
        </is>
      </c>
      <c r="B105" s="1" t="n">
        <v>44550</v>
      </c>
      <c r="C105" s="1" t="n">
        <v>45935</v>
      </c>
      <c r="D105" t="inlineStr">
        <is>
          <t>NORRBOTTENS LÄN</t>
        </is>
      </c>
      <c r="E105" t="inlineStr">
        <is>
          <t>LULEÅ</t>
        </is>
      </c>
      <c r="G105" t="n">
        <v>7.1</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45935</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13248-2021</t>
        </is>
      </c>
      <c r="B107" s="1" t="n">
        <v>44272</v>
      </c>
      <c r="C107" s="1" t="n">
        <v>45935</v>
      </c>
      <c r="D107" t="inlineStr">
        <is>
          <t>NORRBOTTENS LÄN</t>
        </is>
      </c>
      <c r="E107" t="inlineStr">
        <is>
          <t>LULEÅ</t>
        </is>
      </c>
      <c r="G107" t="n">
        <v>9.9</v>
      </c>
      <c r="H107" t="n">
        <v>0</v>
      </c>
      <c r="I107" t="n">
        <v>0</v>
      </c>
      <c r="J107" t="n">
        <v>0</v>
      </c>
      <c r="K107" t="n">
        <v>0</v>
      </c>
      <c r="L107" t="n">
        <v>0</v>
      </c>
      <c r="M107" t="n">
        <v>0</v>
      </c>
      <c r="N107" t="n">
        <v>0</v>
      </c>
      <c r="O107" t="n">
        <v>0</v>
      </c>
      <c r="P107" t="n">
        <v>0</v>
      </c>
      <c r="Q107" t="n">
        <v>0</v>
      </c>
      <c r="R107" s="2" t="inlineStr"/>
    </row>
    <row r="108" ht="15" customHeight="1">
      <c r="A108" t="inlineStr">
        <is>
          <t>A 56465-2021</t>
        </is>
      </c>
      <c r="B108" s="1" t="n">
        <v>44480</v>
      </c>
      <c r="C108" s="1" t="n">
        <v>45935</v>
      </c>
      <c r="D108" t="inlineStr">
        <is>
          <t>NORRBOTTENS LÄN</t>
        </is>
      </c>
      <c r="E108" t="inlineStr">
        <is>
          <t>LULEÅ</t>
        </is>
      </c>
      <c r="G108" t="n">
        <v>6.6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45935</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45935</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45935</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45935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22656-2021</t>
        </is>
      </c>
      <c r="B113" s="1" t="n">
        <v>44327</v>
      </c>
      <c r="C113" s="1" t="n">
        <v>45935</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60642-2020</t>
        </is>
      </c>
      <c r="B114" s="1" t="n">
        <v>44152</v>
      </c>
      <c r="C114" s="1" t="n">
        <v>45935</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45935</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45935</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66925-2020</t>
        </is>
      </c>
      <c r="B117" s="1" t="n">
        <v>44176</v>
      </c>
      <c r="C117" s="1" t="n">
        <v>45935</v>
      </c>
      <c r="D117" t="inlineStr">
        <is>
          <t>NORRBOTTENS LÄN</t>
        </is>
      </c>
      <c r="E117" t="inlineStr">
        <is>
          <t>LULEÅ</t>
        </is>
      </c>
      <c r="G117" t="n">
        <v>1.8</v>
      </c>
      <c r="H117" t="n">
        <v>0</v>
      </c>
      <c r="I117" t="n">
        <v>0</v>
      </c>
      <c r="J117" t="n">
        <v>0</v>
      </c>
      <c r="K117" t="n">
        <v>0</v>
      </c>
      <c r="L117" t="n">
        <v>0</v>
      </c>
      <c r="M117" t="n">
        <v>0</v>
      </c>
      <c r="N117" t="n">
        <v>0</v>
      </c>
      <c r="O117" t="n">
        <v>0</v>
      </c>
      <c r="P117" t="n">
        <v>0</v>
      </c>
      <c r="Q117" t="n">
        <v>0</v>
      </c>
      <c r="R117" s="2" t="inlineStr"/>
    </row>
    <row r="118" ht="15" customHeight="1">
      <c r="A118" t="inlineStr">
        <is>
          <t>A 434-2022</t>
        </is>
      </c>
      <c r="B118" s="1" t="n">
        <v>44565.92913194445</v>
      </c>
      <c r="C118" s="1" t="n">
        <v>45935</v>
      </c>
      <c r="D118" t="inlineStr">
        <is>
          <t>NORRBOTTENS LÄN</t>
        </is>
      </c>
      <c r="E118" t="inlineStr">
        <is>
          <t>LULEÅ</t>
        </is>
      </c>
      <c r="G118" t="n">
        <v>0.4</v>
      </c>
      <c r="H118" t="n">
        <v>0</v>
      </c>
      <c r="I118" t="n">
        <v>0</v>
      </c>
      <c r="J118" t="n">
        <v>0</v>
      </c>
      <c r="K118" t="n">
        <v>0</v>
      </c>
      <c r="L118" t="n">
        <v>0</v>
      </c>
      <c r="M118" t="n">
        <v>0</v>
      </c>
      <c r="N118" t="n">
        <v>0</v>
      </c>
      <c r="O118" t="n">
        <v>0</v>
      </c>
      <c r="P118" t="n">
        <v>0</v>
      </c>
      <c r="Q118" t="n">
        <v>0</v>
      </c>
      <c r="R118" s="2" t="inlineStr"/>
    </row>
    <row r="119" ht="15" customHeight="1">
      <c r="A119" t="inlineStr">
        <is>
          <t>A 11734-2021</t>
        </is>
      </c>
      <c r="B119" s="1" t="n">
        <v>44264</v>
      </c>
      <c r="C119" s="1" t="n">
        <v>45935</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45935</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9929-2022</t>
        </is>
      </c>
      <c r="B121" s="1" t="n">
        <v>44620.92225694445</v>
      </c>
      <c r="C121" s="1" t="n">
        <v>45935</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9930-2022</t>
        </is>
      </c>
      <c r="B122" s="1" t="n">
        <v>44620.92230324074</v>
      </c>
      <c r="C122" s="1" t="n">
        <v>45935</v>
      </c>
      <c r="D122" t="inlineStr">
        <is>
          <t>NORRBOTTENS LÄN</t>
        </is>
      </c>
      <c r="E122" t="inlineStr">
        <is>
          <t>LULEÅ</t>
        </is>
      </c>
      <c r="G122" t="n">
        <v>0.8</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45935</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44987-2022</t>
        </is>
      </c>
      <c r="B124" s="1" t="n">
        <v>44841.59989583334</v>
      </c>
      <c r="C124" s="1" t="n">
        <v>45935</v>
      </c>
      <c r="D124" t="inlineStr">
        <is>
          <t>NORRBOTTENS LÄN</t>
        </is>
      </c>
      <c r="E124" t="inlineStr">
        <is>
          <t>LULEÅ</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45935</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45935</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45935</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45935</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45935</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45935</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61072-2020</t>
        </is>
      </c>
      <c r="B131" s="1" t="n">
        <v>44154.66923611111</v>
      </c>
      <c r="C131" s="1" t="n">
        <v>45935</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6718-2024</t>
        </is>
      </c>
      <c r="B132" s="1" t="n">
        <v>45342</v>
      </c>
      <c r="C132" s="1" t="n">
        <v>45935</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45935</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45935</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8834-2021</t>
        </is>
      </c>
      <c r="B135" s="1" t="n">
        <v>44245</v>
      </c>
      <c r="C135" s="1" t="n">
        <v>45935</v>
      </c>
      <c r="D135" t="inlineStr">
        <is>
          <t>NORRBOTTENS LÄN</t>
        </is>
      </c>
      <c r="E135" t="inlineStr">
        <is>
          <t>LULEÅ</t>
        </is>
      </c>
      <c r="G135" t="n">
        <v>7.7</v>
      </c>
      <c r="H135" t="n">
        <v>0</v>
      </c>
      <c r="I135" t="n">
        <v>0</v>
      </c>
      <c r="J135" t="n">
        <v>0</v>
      </c>
      <c r="K135" t="n">
        <v>0</v>
      </c>
      <c r="L135" t="n">
        <v>0</v>
      </c>
      <c r="M135" t="n">
        <v>0</v>
      </c>
      <c r="N135" t="n">
        <v>0</v>
      </c>
      <c r="O135" t="n">
        <v>0</v>
      </c>
      <c r="P135" t="n">
        <v>0</v>
      </c>
      <c r="Q135" t="n">
        <v>0</v>
      </c>
      <c r="R135" s="2" t="inlineStr"/>
    </row>
    <row r="136" ht="15" customHeight="1">
      <c r="A136" t="inlineStr">
        <is>
          <t>A 10815-2024</t>
        </is>
      </c>
      <c r="B136" s="1" t="n">
        <v>45369</v>
      </c>
      <c r="C136" s="1" t="n">
        <v>45935</v>
      </c>
      <c r="D136" t="inlineStr">
        <is>
          <t>NORRBOTTENS LÄN</t>
        </is>
      </c>
      <c r="E136" t="inlineStr">
        <is>
          <t>LULEÅ</t>
        </is>
      </c>
      <c r="G136" t="n">
        <v>2.5</v>
      </c>
      <c r="H136" t="n">
        <v>0</v>
      </c>
      <c r="I136" t="n">
        <v>0</v>
      </c>
      <c r="J136" t="n">
        <v>0</v>
      </c>
      <c r="K136" t="n">
        <v>0</v>
      </c>
      <c r="L136" t="n">
        <v>0</v>
      </c>
      <c r="M136" t="n">
        <v>0</v>
      </c>
      <c r="N136" t="n">
        <v>0</v>
      </c>
      <c r="O136" t="n">
        <v>0</v>
      </c>
      <c r="P136" t="n">
        <v>0</v>
      </c>
      <c r="Q136" t="n">
        <v>0</v>
      </c>
      <c r="R136" s="2" t="inlineStr"/>
    </row>
    <row r="137" ht="15" customHeight="1">
      <c r="A137" t="inlineStr">
        <is>
          <t>A 22007-2024</t>
        </is>
      </c>
      <c r="B137" s="1" t="n">
        <v>45443</v>
      </c>
      <c r="C137" s="1" t="n">
        <v>45935</v>
      </c>
      <c r="D137" t="inlineStr">
        <is>
          <t>NORRBOTTENS LÄN</t>
        </is>
      </c>
      <c r="E137" t="inlineStr">
        <is>
          <t>LULEÅ</t>
        </is>
      </c>
      <c r="G137" t="n">
        <v>1.4</v>
      </c>
      <c r="H137" t="n">
        <v>0</v>
      </c>
      <c r="I137" t="n">
        <v>0</v>
      </c>
      <c r="J137" t="n">
        <v>0</v>
      </c>
      <c r="K137" t="n">
        <v>0</v>
      </c>
      <c r="L137" t="n">
        <v>0</v>
      </c>
      <c r="M137" t="n">
        <v>0</v>
      </c>
      <c r="N137" t="n">
        <v>0</v>
      </c>
      <c r="O137" t="n">
        <v>0</v>
      </c>
      <c r="P137" t="n">
        <v>0</v>
      </c>
      <c r="Q137" t="n">
        <v>0</v>
      </c>
      <c r="R137" s="2" t="inlineStr"/>
    </row>
    <row r="138" ht="15" customHeight="1">
      <c r="A138" t="inlineStr">
        <is>
          <t>A 32378-2021</t>
        </is>
      </c>
      <c r="B138" s="1" t="n">
        <v>44371.61725694445</v>
      </c>
      <c r="C138" s="1" t="n">
        <v>45935</v>
      </c>
      <c r="D138" t="inlineStr">
        <is>
          <t>NORRBOTTENS LÄN</t>
        </is>
      </c>
      <c r="E138" t="inlineStr">
        <is>
          <t>LULEÅ</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45935</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3128-2023</t>
        </is>
      </c>
      <c r="B140" s="1" t="n">
        <v>44946</v>
      </c>
      <c r="C140" s="1" t="n">
        <v>45935</v>
      </c>
      <c r="D140" t="inlineStr">
        <is>
          <t>NORRBOTTENS LÄN</t>
        </is>
      </c>
      <c r="E140" t="inlineStr">
        <is>
          <t>LULEÅ</t>
        </is>
      </c>
      <c r="G140" t="n">
        <v>5</v>
      </c>
      <c r="H140" t="n">
        <v>0</v>
      </c>
      <c r="I140" t="n">
        <v>0</v>
      </c>
      <c r="J140" t="n">
        <v>0</v>
      </c>
      <c r="K140" t="n">
        <v>0</v>
      </c>
      <c r="L140" t="n">
        <v>0</v>
      </c>
      <c r="M140" t="n">
        <v>0</v>
      </c>
      <c r="N140" t="n">
        <v>0</v>
      </c>
      <c r="O140" t="n">
        <v>0</v>
      </c>
      <c r="P140" t="n">
        <v>0</v>
      </c>
      <c r="Q140" t="n">
        <v>0</v>
      </c>
      <c r="R140" s="2" t="inlineStr"/>
    </row>
    <row r="141" ht="15" customHeight="1">
      <c r="A141" t="inlineStr">
        <is>
          <t>A 26582-2024</t>
        </is>
      </c>
      <c r="B141" s="1" t="n">
        <v>45469.66545138889</v>
      </c>
      <c r="C141" s="1" t="n">
        <v>45935</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45935</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35766-2022</t>
        </is>
      </c>
      <c r="B143" s="1" t="n">
        <v>44800</v>
      </c>
      <c r="C143" s="1" t="n">
        <v>45935</v>
      </c>
      <c r="D143" t="inlineStr">
        <is>
          <t>NORRBOTTENS LÄN</t>
        </is>
      </c>
      <c r="E143" t="inlineStr">
        <is>
          <t>LULEÅ</t>
        </is>
      </c>
      <c r="G143" t="n">
        <v>0.7</v>
      </c>
      <c r="H143" t="n">
        <v>0</v>
      </c>
      <c r="I143" t="n">
        <v>0</v>
      </c>
      <c r="J143" t="n">
        <v>0</v>
      </c>
      <c r="K143" t="n">
        <v>0</v>
      </c>
      <c r="L143" t="n">
        <v>0</v>
      </c>
      <c r="M143" t="n">
        <v>0</v>
      </c>
      <c r="N143" t="n">
        <v>0</v>
      </c>
      <c r="O143" t="n">
        <v>0</v>
      </c>
      <c r="P143" t="n">
        <v>0</v>
      </c>
      <c r="Q143" t="n">
        <v>0</v>
      </c>
      <c r="R143" s="2" t="inlineStr"/>
    </row>
    <row r="144" ht="15" customHeight="1">
      <c r="A144" t="inlineStr">
        <is>
          <t>A 4768-2024</t>
        </is>
      </c>
      <c r="B144" s="1" t="n">
        <v>45328</v>
      </c>
      <c r="C144" s="1" t="n">
        <v>45935</v>
      </c>
      <c r="D144" t="inlineStr">
        <is>
          <t>NORRBOTTENS LÄN</t>
        </is>
      </c>
      <c r="E144" t="inlineStr">
        <is>
          <t>LULEÅ</t>
        </is>
      </c>
      <c r="G144" t="n">
        <v>4</v>
      </c>
      <c r="H144" t="n">
        <v>0</v>
      </c>
      <c r="I144" t="n">
        <v>0</v>
      </c>
      <c r="J144" t="n">
        <v>0</v>
      </c>
      <c r="K144" t="n">
        <v>0</v>
      </c>
      <c r="L144" t="n">
        <v>0</v>
      </c>
      <c r="M144" t="n">
        <v>0</v>
      </c>
      <c r="N144" t="n">
        <v>0</v>
      </c>
      <c r="O144" t="n">
        <v>0</v>
      </c>
      <c r="P144" t="n">
        <v>0</v>
      </c>
      <c r="Q144" t="n">
        <v>0</v>
      </c>
      <c r="R144" s="2" t="inlineStr"/>
    </row>
    <row r="145" ht="15" customHeight="1">
      <c r="A145" t="inlineStr">
        <is>
          <t>A 68808-2021</t>
        </is>
      </c>
      <c r="B145" s="1" t="n">
        <v>44529</v>
      </c>
      <c r="C145" s="1" t="n">
        <v>45935</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1144-2021</t>
        </is>
      </c>
      <c r="B146" s="1" t="n">
        <v>44207</v>
      </c>
      <c r="C146" s="1" t="n">
        <v>45935</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1147-2021</t>
        </is>
      </c>
      <c r="B147" s="1" t="n">
        <v>44207</v>
      </c>
      <c r="C147" s="1" t="n">
        <v>45935</v>
      </c>
      <c r="D147" t="inlineStr">
        <is>
          <t>NORRBOTTENS LÄN</t>
        </is>
      </c>
      <c r="E147" t="inlineStr">
        <is>
          <t>LULEÅ</t>
        </is>
      </c>
      <c r="G147" t="n">
        <v>6.5</v>
      </c>
      <c r="H147" t="n">
        <v>0</v>
      </c>
      <c r="I147" t="n">
        <v>0</v>
      </c>
      <c r="J147" t="n">
        <v>0</v>
      </c>
      <c r="K147" t="n">
        <v>0</v>
      </c>
      <c r="L147" t="n">
        <v>0</v>
      </c>
      <c r="M147" t="n">
        <v>0</v>
      </c>
      <c r="N147" t="n">
        <v>0</v>
      </c>
      <c r="O147" t="n">
        <v>0</v>
      </c>
      <c r="P147" t="n">
        <v>0</v>
      </c>
      <c r="Q147" t="n">
        <v>0</v>
      </c>
      <c r="R147" s="2" t="inlineStr"/>
    </row>
    <row r="148" ht="15" customHeight="1">
      <c r="A148" t="inlineStr">
        <is>
          <t>A 5559-2021</t>
        </is>
      </c>
      <c r="B148" s="1" t="n">
        <v>44229</v>
      </c>
      <c r="C148" s="1" t="n">
        <v>45935</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45935</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45935</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45935</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44205-2022</t>
        </is>
      </c>
      <c r="B152" s="1" t="n">
        <v>44837</v>
      </c>
      <c r="C152" s="1" t="n">
        <v>45935</v>
      </c>
      <c r="D152" t="inlineStr">
        <is>
          <t>NORRBOTTENS LÄN</t>
        </is>
      </c>
      <c r="E152" t="inlineStr">
        <is>
          <t>LULEÅ</t>
        </is>
      </c>
      <c r="G152" t="n">
        <v>4.9</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45935</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8228-2024</t>
        </is>
      </c>
      <c r="B154" s="1" t="n">
        <v>45351</v>
      </c>
      <c r="C154" s="1" t="n">
        <v>45935</v>
      </c>
      <c r="D154" t="inlineStr">
        <is>
          <t>NORRBOTTENS LÄN</t>
        </is>
      </c>
      <c r="E154" t="inlineStr">
        <is>
          <t>LULEÅ</t>
        </is>
      </c>
      <c r="G154" t="n">
        <v>10.1</v>
      </c>
      <c r="H154" t="n">
        <v>0</v>
      </c>
      <c r="I154" t="n">
        <v>0</v>
      </c>
      <c r="J154" t="n">
        <v>0</v>
      </c>
      <c r="K154" t="n">
        <v>0</v>
      </c>
      <c r="L154" t="n">
        <v>0</v>
      </c>
      <c r="M154" t="n">
        <v>0</v>
      </c>
      <c r="N154" t="n">
        <v>0</v>
      </c>
      <c r="O154" t="n">
        <v>0</v>
      </c>
      <c r="P154" t="n">
        <v>0</v>
      </c>
      <c r="Q154" t="n">
        <v>0</v>
      </c>
      <c r="R154" s="2" t="inlineStr"/>
    </row>
    <row r="155" ht="15" customHeight="1">
      <c r="A155" t="inlineStr">
        <is>
          <t>A 58469-2024</t>
        </is>
      </c>
      <c r="B155" s="1" t="n">
        <v>45632</v>
      </c>
      <c r="C155" s="1" t="n">
        <v>45935</v>
      </c>
      <c r="D155" t="inlineStr">
        <is>
          <t>NORRBOTTENS LÄN</t>
        </is>
      </c>
      <c r="E155" t="inlineStr">
        <is>
          <t>LULEÅ</t>
        </is>
      </c>
      <c r="G155" t="n">
        <v>9</v>
      </c>
      <c r="H155" t="n">
        <v>0</v>
      </c>
      <c r="I155" t="n">
        <v>0</v>
      </c>
      <c r="J155" t="n">
        <v>0</v>
      </c>
      <c r="K155" t="n">
        <v>0</v>
      </c>
      <c r="L155" t="n">
        <v>0</v>
      </c>
      <c r="M155" t="n">
        <v>0</v>
      </c>
      <c r="N155" t="n">
        <v>0</v>
      </c>
      <c r="O155" t="n">
        <v>0</v>
      </c>
      <c r="P155" t="n">
        <v>0</v>
      </c>
      <c r="Q155" t="n">
        <v>0</v>
      </c>
      <c r="R155" s="2" t="inlineStr"/>
    </row>
    <row r="156" ht="15" customHeight="1">
      <c r="A156" t="inlineStr">
        <is>
          <t>A 58827-2024</t>
        </is>
      </c>
      <c r="B156" s="1" t="n">
        <v>45635</v>
      </c>
      <c r="C156" s="1" t="n">
        <v>45935</v>
      </c>
      <c r="D156" t="inlineStr">
        <is>
          <t>NORRBOTTENS LÄN</t>
        </is>
      </c>
      <c r="E156" t="inlineStr">
        <is>
          <t>LULEÅ</t>
        </is>
      </c>
      <c r="G156" t="n">
        <v>0.9</v>
      </c>
      <c r="H156" t="n">
        <v>0</v>
      </c>
      <c r="I156" t="n">
        <v>0</v>
      </c>
      <c r="J156" t="n">
        <v>0</v>
      </c>
      <c r="K156" t="n">
        <v>0</v>
      </c>
      <c r="L156" t="n">
        <v>0</v>
      </c>
      <c r="M156" t="n">
        <v>0</v>
      </c>
      <c r="N156" t="n">
        <v>0</v>
      </c>
      <c r="O156" t="n">
        <v>0</v>
      </c>
      <c r="P156" t="n">
        <v>0</v>
      </c>
      <c r="Q156" t="n">
        <v>0</v>
      </c>
      <c r="R156" s="2" t="inlineStr"/>
    </row>
    <row r="157" ht="15" customHeight="1">
      <c r="A157" t="inlineStr">
        <is>
          <t>A 46826-2021</t>
        </is>
      </c>
      <c r="B157" s="1" t="n">
        <v>44446</v>
      </c>
      <c r="C157" s="1" t="n">
        <v>45935</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17438-2023</t>
        </is>
      </c>
      <c r="B158" s="1" t="n">
        <v>45035.92709490741</v>
      </c>
      <c r="C158" s="1" t="n">
        <v>45935</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30358-2023</t>
        </is>
      </c>
      <c r="B159" s="1" t="n">
        <v>45111</v>
      </c>
      <c r="C159" s="1" t="n">
        <v>45935</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38551-2023</t>
        </is>
      </c>
      <c r="B160" s="1" t="n">
        <v>45160</v>
      </c>
      <c r="C160" s="1" t="n">
        <v>45935</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48642-2023</t>
        </is>
      </c>
      <c r="B161" s="1" t="n">
        <v>45208</v>
      </c>
      <c r="C161" s="1" t="n">
        <v>45935</v>
      </c>
      <c r="D161" t="inlineStr">
        <is>
          <t>NORRBOTTENS LÄN</t>
        </is>
      </c>
      <c r="E161" t="inlineStr">
        <is>
          <t>LULEÅ</t>
        </is>
      </c>
      <c r="G161" t="n">
        <v>4.5</v>
      </c>
      <c r="H161" t="n">
        <v>0</v>
      </c>
      <c r="I161" t="n">
        <v>0</v>
      </c>
      <c r="J161" t="n">
        <v>0</v>
      </c>
      <c r="K161" t="n">
        <v>0</v>
      </c>
      <c r="L161" t="n">
        <v>0</v>
      </c>
      <c r="M161" t="n">
        <v>0</v>
      </c>
      <c r="N161" t="n">
        <v>0</v>
      </c>
      <c r="O161" t="n">
        <v>0</v>
      </c>
      <c r="P161" t="n">
        <v>0</v>
      </c>
      <c r="Q161" t="n">
        <v>0</v>
      </c>
      <c r="R161" s="2" t="inlineStr"/>
    </row>
    <row r="162" ht="15" customHeight="1">
      <c r="A162" t="inlineStr">
        <is>
          <t>A 61891-2023</t>
        </is>
      </c>
      <c r="B162" s="1" t="n">
        <v>45264</v>
      </c>
      <c r="C162" s="1" t="n">
        <v>45935</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44688-2022</t>
        </is>
      </c>
      <c r="B163" s="1" t="n">
        <v>44839</v>
      </c>
      <c r="C163" s="1" t="n">
        <v>45935</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26234-2023</t>
        </is>
      </c>
      <c r="B164" s="1" t="n">
        <v>45086</v>
      </c>
      <c r="C164" s="1" t="n">
        <v>45935</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4137-2024</t>
        </is>
      </c>
      <c r="B165" s="1" t="n">
        <v>45323</v>
      </c>
      <c r="C165" s="1" t="n">
        <v>45935</v>
      </c>
      <c r="D165" t="inlineStr">
        <is>
          <t>NORRBOTTENS LÄN</t>
        </is>
      </c>
      <c r="E165" t="inlineStr">
        <is>
          <t>LULEÅ</t>
        </is>
      </c>
      <c r="G165" t="n">
        <v>13.1</v>
      </c>
      <c r="H165" t="n">
        <v>0</v>
      </c>
      <c r="I165" t="n">
        <v>0</v>
      </c>
      <c r="J165" t="n">
        <v>0</v>
      </c>
      <c r="K165" t="n">
        <v>0</v>
      </c>
      <c r="L165" t="n">
        <v>0</v>
      </c>
      <c r="M165" t="n">
        <v>0</v>
      </c>
      <c r="N165" t="n">
        <v>0</v>
      </c>
      <c r="O165" t="n">
        <v>0</v>
      </c>
      <c r="P165" t="n">
        <v>0</v>
      </c>
      <c r="Q165" t="n">
        <v>0</v>
      </c>
      <c r="R165" s="2" t="inlineStr"/>
    </row>
    <row r="166" ht="15" customHeight="1">
      <c r="A166" t="inlineStr">
        <is>
          <t>A 1002-2025</t>
        </is>
      </c>
      <c r="B166" s="1" t="n">
        <v>45665</v>
      </c>
      <c r="C166" s="1" t="n">
        <v>45935</v>
      </c>
      <c r="D166" t="inlineStr">
        <is>
          <t>NORRBOTTENS LÄN</t>
        </is>
      </c>
      <c r="E166" t="inlineStr">
        <is>
          <t>LULEÅ</t>
        </is>
      </c>
      <c r="G166" t="n">
        <v>2.6</v>
      </c>
      <c r="H166" t="n">
        <v>0</v>
      </c>
      <c r="I166" t="n">
        <v>0</v>
      </c>
      <c r="J166" t="n">
        <v>0</v>
      </c>
      <c r="K166" t="n">
        <v>0</v>
      </c>
      <c r="L166" t="n">
        <v>0</v>
      </c>
      <c r="M166" t="n">
        <v>0</v>
      </c>
      <c r="N166" t="n">
        <v>0</v>
      </c>
      <c r="O166" t="n">
        <v>0</v>
      </c>
      <c r="P166" t="n">
        <v>0</v>
      </c>
      <c r="Q166" t="n">
        <v>0</v>
      </c>
      <c r="R166" s="2" t="inlineStr"/>
    </row>
    <row r="167" ht="15" customHeight="1">
      <c r="A167" t="inlineStr">
        <is>
          <t>A 29457-2023</t>
        </is>
      </c>
      <c r="B167" s="1" t="n">
        <v>45106</v>
      </c>
      <c r="C167" s="1" t="n">
        <v>45935</v>
      </c>
      <c r="D167" t="inlineStr">
        <is>
          <t>NORRBOTTENS LÄN</t>
        </is>
      </c>
      <c r="E167" t="inlineStr">
        <is>
          <t>LULEÅ</t>
        </is>
      </c>
      <c r="G167" t="n">
        <v>7</v>
      </c>
      <c r="H167" t="n">
        <v>0</v>
      </c>
      <c r="I167" t="n">
        <v>0</v>
      </c>
      <c r="J167" t="n">
        <v>0</v>
      </c>
      <c r="K167" t="n">
        <v>0</v>
      </c>
      <c r="L167" t="n">
        <v>0</v>
      </c>
      <c r="M167" t="n">
        <v>0</v>
      </c>
      <c r="N167" t="n">
        <v>0</v>
      </c>
      <c r="O167" t="n">
        <v>0</v>
      </c>
      <c r="P167" t="n">
        <v>0</v>
      </c>
      <c r="Q167" t="n">
        <v>0</v>
      </c>
      <c r="R167" s="2" t="inlineStr"/>
    </row>
    <row r="168" ht="15" customHeight="1">
      <c r="A168" t="inlineStr">
        <is>
          <t>A 7417-2021</t>
        </is>
      </c>
      <c r="B168" s="1" t="n">
        <v>44239</v>
      </c>
      <c r="C168" s="1" t="n">
        <v>45935</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60106-2024</t>
        </is>
      </c>
      <c r="B169" s="1" t="n">
        <v>45642.56950231481</v>
      </c>
      <c r="C169" s="1" t="n">
        <v>45935</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6739-2024</t>
        </is>
      </c>
      <c r="B170" s="1" t="n">
        <v>45342</v>
      </c>
      <c r="C170" s="1" t="n">
        <v>45935</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6386-2023</t>
        </is>
      </c>
      <c r="B171" s="1" t="n">
        <v>44960</v>
      </c>
      <c r="C171" s="1" t="n">
        <v>45935</v>
      </c>
      <c r="D171" t="inlineStr">
        <is>
          <t>NORRBOTTENS LÄN</t>
        </is>
      </c>
      <c r="E171" t="inlineStr">
        <is>
          <t>LULEÅ</t>
        </is>
      </c>
      <c r="G171" t="n">
        <v>3.9</v>
      </c>
      <c r="H171" t="n">
        <v>0</v>
      </c>
      <c r="I171" t="n">
        <v>0</v>
      </c>
      <c r="J171" t="n">
        <v>0</v>
      </c>
      <c r="K171" t="n">
        <v>0</v>
      </c>
      <c r="L171" t="n">
        <v>0</v>
      </c>
      <c r="M171" t="n">
        <v>0</v>
      </c>
      <c r="N171" t="n">
        <v>0</v>
      </c>
      <c r="O171" t="n">
        <v>0</v>
      </c>
      <c r="P171" t="n">
        <v>0</v>
      </c>
      <c r="Q171" t="n">
        <v>0</v>
      </c>
      <c r="R171" s="2" t="inlineStr"/>
    </row>
    <row r="172" ht="15" customHeight="1">
      <c r="A172" t="inlineStr">
        <is>
          <t>A 74274-2021</t>
        </is>
      </c>
      <c r="B172" s="1" t="n">
        <v>44558</v>
      </c>
      <c r="C172" s="1" t="n">
        <v>45935</v>
      </c>
      <c r="D172" t="inlineStr">
        <is>
          <t>NORRBOTTENS LÄN</t>
        </is>
      </c>
      <c r="E172" t="inlineStr">
        <is>
          <t>LULEÅ</t>
        </is>
      </c>
      <c r="G172" t="n">
        <v>1.5</v>
      </c>
      <c r="H172" t="n">
        <v>0</v>
      </c>
      <c r="I172" t="n">
        <v>0</v>
      </c>
      <c r="J172" t="n">
        <v>0</v>
      </c>
      <c r="K172" t="n">
        <v>0</v>
      </c>
      <c r="L172" t="n">
        <v>0</v>
      </c>
      <c r="M172" t="n">
        <v>0</v>
      </c>
      <c r="N172" t="n">
        <v>0</v>
      </c>
      <c r="O172" t="n">
        <v>0</v>
      </c>
      <c r="P172" t="n">
        <v>0</v>
      </c>
      <c r="Q172" t="n">
        <v>0</v>
      </c>
      <c r="R172" s="2" t="inlineStr"/>
    </row>
    <row r="173" ht="15" customHeight="1">
      <c r="A173" t="inlineStr">
        <is>
          <t>A 15127-2023</t>
        </is>
      </c>
      <c r="B173" s="1" t="n">
        <v>45016</v>
      </c>
      <c r="C173" s="1" t="n">
        <v>45935</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72752-2021</t>
        </is>
      </c>
      <c r="B174" s="1" t="n">
        <v>44546.92262731482</v>
      </c>
      <c r="C174" s="1" t="n">
        <v>45935</v>
      </c>
      <c r="D174" t="inlineStr">
        <is>
          <t>NORRBOTTENS LÄN</t>
        </is>
      </c>
      <c r="E174" t="inlineStr">
        <is>
          <t>LULEÅ</t>
        </is>
      </c>
      <c r="G174" t="n">
        <v>1.8</v>
      </c>
      <c r="H174" t="n">
        <v>0</v>
      </c>
      <c r="I174" t="n">
        <v>0</v>
      </c>
      <c r="J174" t="n">
        <v>0</v>
      </c>
      <c r="K174" t="n">
        <v>0</v>
      </c>
      <c r="L174" t="n">
        <v>0</v>
      </c>
      <c r="M174" t="n">
        <v>0</v>
      </c>
      <c r="N174" t="n">
        <v>0</v>
      </c>
      <c r="O174" t="n">
        <v>0</v>
      </c>
      <c r="P174" t="n">
        <v>0</v>
      </c>
      <c r="Q174" t="n">
        <v>0</v>
      </c>
      <c r="R174" s="2" t="inlineStr"/>
    </row>
    <row r="175" ht="15" customHeight="1">
      <c r="A175" t="inlineStr">
        <is>
          <t>A 14990-2024</t>
        </is>
      </c>
      <c r="B175" s="1" t="n">
        <v>45399.36019675926</v>
      </c>
      <c r="C175" s="1" t="n">
        <v>45935</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3185-2025</t>
        </is>
      </c>
      <c r="B176" s="1" t="n">
        <v>45679.40358796297</v>
      </c>
      <c r="C176" s="1" t="n">
        <v>45935</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50642-2024</t>
        </is>
      </c>
      <c r="B177" s="1" t="n">
        <v>45601.68076388889</v>
      </c>
      <c r="C177" s="1" t="n">
        <v>45935</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50645-2024</t>
        </is>
      </c>
      <c r="B178" s="1" t="n">
        <v>45601.68283564815</v>
      </c>
      <c r="C178" s="1" t="n">
        <v>45935</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4286-2025</t>
        </is>
      </c>
      <c r="B179" s="1" t="n">
        <v>45685</v>
      </c>
      <c r="C179" s="1" t="n">
        <v>45935</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53603-2024</t>
        </is>
      </c>
      <c r="B180" s="1" t="n">
        <v>45614.69736111111</v>
      </c>
      <c r="C180" s="1" t="n">
        <v>45935</v>
      </c>
      <c r="D180" t="inlineStr">
        <is>
          <t>NORRBOTTENS LÄN</t>
        </is>
      </c>
      <c r="E180" t="inlineStr">
        <is>
          <t>LULEÅ</t>
        </is>
      </c>
      <c r="G180" t="n">
        <v>3.2</v>
      </c>
      <c r="H180" t="n">
        <v>0</v>
      </c>
      <c r="I180" t="n">
        <v>0</v>
      </c>
      <c r="J180" t="n">
        <v>0</v>
      </c>
      <c r="K180" t="n">
        <v>0</v>
      </c>
      <c r="L180" t="n">
        <v>0</v>
      </c>
      <c r="M180" t="n">
        <v>0</v>
      </c>
      <c r="N180" t="n">
        <v>0</v>
      </c>
      <c r="O180" t="n">
        <v>0</v>
      </c>
      <c r="P180" t="n">
        <v>0</v>
      </c>
      <c r="Q180" t="n">
        <v>0</v>
      </c>
      <c r="R180" s="2" t="inlineStr"/>
    </row>
    <row r="181" ht="15" customHeight="1">
      <c r="A181" t="inlineStr">
        <is>
          <t>A 25791-2024</t>
        </is>
      </c>
      <c r="B181" s="1" t="n">
        <v>45463</v>
      </c>
      <c r="C181" s="1" t="n">
        <v>45935</v>
      </c>
      <c r="D181" t="inlineStr">
        <is>
          <t>NORRBOTTENS LÄN</t>
        </is>
      </c>
      <c r="E181" t="inlineStr">
        <is>
          <t>LULEÅ</t>
        </is>
      </c>
      <c r="G181" t="n">
        <v>3.6</v>
      </c>
      <c r="H181" t="n">
        <v>0</v>
      </c>
      <c r="I181" t="n">
        <v>0</v>
      </c>
      <c r="J181" t="n">
        <v>0</v>
      </c>
      <c r="K181" t="n">
        <v>0</v>
      </c>
      <c r="L181" t="n">
        <v>0</v>
      </c>
      <c r="M181" t="n">
        <v>0</v>
      </c>
      <c r="N181" t="n">
        <v>0</v>
      </c>
      <c r="O181" t="n">
        <v>0</v>
      </c>
      <c r="P181" t="n">
        <v>0</v>
      </c>
      <c r="Q181" t="n">
        <v>0</v>
      </c>
      <c r="R181" s="2" t="inlineStr"/>
    </row>
    <row r="182" ht="15" customHeight="1">
      <c r="A182" t="inlineStr">
        <is>
          <t>A 43953-2025</t>
        </is>
      </c>
      <c r="B182" s="1" t="n">
        <v>45915.38332175926</v>
      </c>
      <c r="C182" s="1" t="n">
        <v>45935</v>
      </c>
      <c r="D182" t="inlineStr">
        <is>
          <t>NORRBOTTENS LÄN</t>
        </is>
      </c>
      <c r="E182" t="inlineStr">
        <is>
          <t>LULEÅ</t>
        </is>
      </c>
      <c r="G182" t="n">
        <v>1.8</v>
      </c>
      <c r="H182" t="n">
        <v>0</v>
      </c>
      <c r="I182" t="n">
        <v>0</v>
      </c>
      <c r="J182" t="n">
        <v>0</v>
      </c>
      <c r="K182" t="n">
        <v>0</v>
      </c>
      <c r="L182" t="n">
        <v>0</v>
      </c>
      <c r="M182" t="n">
        <v>0</v>
      </c>
      <c r="N182" t="n">
        <v>0</v>
      </c>
      <c r="O182" t="n">
        <v>0</v>
      </c>
      <c r="P182" t="n">
        <v>0</v>
      </c>
      <c r="Q182" t="n">
        <v>0</v>
      </c>
      <c r="R182" s="2" t="inlineStr"/>
    </row>
    <row r="183" ht="15" customHeight="1">
      <c r="A183" t="inlineStr">
        <is>
          <t>A 16296-2025</t>
        </is>
      </c>
      <c r="B183" s="1" t="n">
        <v>45751.34513888889</v>
      </c>
      <c r="C183" s="1" t="n">
        <v>45935</v>
      </c>
      <c r="D183" t="inlineStr">
        <is>
          <t>NORRBOTTENS LÄN</t>
        </is>
      </c>
      <c r="E183" t="inlineStr">
        <is>
          <t>LULEÅ</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42422-2024</t>
        </is>
      </c>
      <c r="B184" s="1" t="n">
        <v>45565.38912037037</v>
      </c>
      <c r="C184" s="1" t="n">
        <v>45935</v>
      </c>
      <c r="D184" t="inlineStr">
        <is>
          <t>NORRBOTTENS LÄN</t>
        </is>
      </c>
      <c r="E184" t="inlineStr">
        <is>
          <t>LULEÅ</t>
        </is>
      </c>
      <c r="G184" t="n">
        <v>0.5</v>
      </c>
      <c r="H184" t="n">
        <v>0</v>
      </c>
      <c r="I184" t="n">
        <v>0</v>
      </c>
      <c r="J184" t="n">
        <v>0</v>
      </c>
      <c r="K184" t="n">
        <v>0</v>
      </c>
      <c r="L184" t="n">
        <v>0</v>
      </c>
      <c r="M184" t="n">
        <v>0</v>
      </c>
      <c r="N184" t="n">
        <v>0</v>
      </c>
      <c r="O184" t="n">
        <v>0</v>
      </c>
      <c r="P184" t="n">
        <v>0</v>
      </c>
      <c r="Q184" t="n">
        <v>0</v>
      </c>
      <c r="R184" s="2" t="inlineStr"/>
    </row>
    <row r="185" ht="15" customHeight="1">
      <c r="A185" t="inlineStr">
        <is>
          <t>A 42426-2024</t>
        </is>
      </c>
      <c r="B185" s="1" t="n">
        <v>45565.39958333333</v>
      </c>
      <c r="C185" s="1" t="n">
        <v>45935</v>
      </c>
      <c r="D185" t="inlineStr">
        <is>
          <t>NORRBOTTENS LÄN</t>
        </is>
      </c>
      <c r="E185" t="inlineStr">
        <is>
          <t>LULEÅ</t>
        </is>
      </c>
      <c r="G185" t="n">
        <v>0.5</v>
      </c>
      <c r="H185" t="n">
        <v>0</v>
      </c>
      <c r="I185" t="n">
        <v>0</v>
      </c>
      <c r="J185" t="n">
        <v>0</v>
      </c>
      <c r="K185" t="n">
        <v>0</v>
      </c>
      <c r="L185" t="n">
        <v>0</v>
      </c>
      <c r="M185" t="n">
        <v>0</v>
      </c>
      <c r="N185" t="n">
        <v>0</v>
      </c>
      <c r="O185" t="n">
        <v>0</v>
      </c>
      <c r="P185" t="n">
        <v>0</v>
      </c>
      <c r="Q185" t="n">
        <v>0</v>
      </c>
      <c r="R185" s="2" t="inlineStr"/>
    </row>
    <row r="186" ht="15" customHeight="1">
      <c r="A186" t="inlineStr">
        <is>
          <t>A 10608-2025</t>
        </is>
      </c>
      <c r="B186" s="1" t="n">
        <v>45721</v>
      </c>
      <c r="C186" s="1" t="n">
        <v>45935</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8862-2024</t>
        </is>
      </c>
      <c r="B187" s="1" t="n">
        <v>45356.96326388889</v>
      </c>
      <c r="C187" s="1" t="n">
        <v>45935</v>
      </c>
      <c r="D187" t="inlineStr">
        <is>
          <t>NORRBOTTENS LÄN</t>
        </is>
      </c>
      <c r="E187" t="inlineStr">
        <is>
          <t>LULEÅ</t>
        </is>
      </c>
      <c r="G187" t="n">
        <v>10.6</v>
      </c>
      <c r="H187" t="n">
        <v>0</v>
      </c>
      <c r="I187" t="n">
        <v>0</v>
      </c>
      <c r="J187" t="n">
        <v>0</v>
      </c>
      <c r="K187" t="n">
        <v>0</v>
      </c>
      <c r="L187" t="n">
        <v>0</v>
      </c>
      <c r="M187" t="n">
        <v>0</v>
      </c>
      <c r="N187" t="n">
        <v>0</v>
      </c>
      <c r="O187" t="n">
        <v>0</v>
      </c>
      <c r="P187" t="n">
        <v>0</v>
      </c>
      <c r="Q187" t="n">
        <v>0</v>
      </c>
      <c r="R187" s="2" t="inlineStr"/>
    </row>
    <row r="188" ht="15" customHeight="1">
      <c r="A188" t="inlineStr">
        <is>
          <t>A 9250-2025</t>
        </is>
      </c>
      <c r="B188" s="1" t="n">
        <v>45714</v>
      </c>
      <c r="C188" s="1" t="n">
        <v>45935</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37935-2024</t>
        </is>
      </c>
      <c r="B189" s="1" t="n">
        <v>45544</v>
      </c>
      <c r="C189" s="1" t="n">
        <v>45935</v>
      </c>
      <c r="D189" t="inlineStr">
        <is>
          <t>NORRBOTTENS LÄN</t>
        </is>
      </c>
      <c r="E189" t="inlineStr">
        <is>
          <t>LULEÅ</t>
        </is>
      </c>
      <c r="G189" t="n">
        <v>3.3</v>
      </c>
      <c r="H189" t="n">
        <v>0</v>
      </c>
      <c r="I189" t="n">
        <v>0</v>
      </c>
      <c r="J189" t="n">
        <v>0</v>
      </c>
      <c r="K189" t="n">
        <v>0</v>
      </c>
      <c r="L189" t="n">
        <v>0</v>
      </c>
      <c r="M189" t="n">
        <v>0</v>
      </c>
      <c r="N189" t="n">
        <v>0</v>
      </c>
      <c r="O189" t="n">
        <v>0</v>
      </c>
      <c r="P189" t="n">
        <v>0</v>
      </c>
      <c r="Q189" t="n">
        <v>0</v>
      </c>
      <c r="R189" s="2" t="inlineStr"/>
    </row>
    <row r="190" ht="15" customHeight="1">
      <c r="A190" t="inlineStr">
        <is>
          <t>A 55076-2024</t>
        </is>
      </c>
      <c r="B190" s="1" t="n">
        <v>45621.42574074074</v>
      </c>
      <c r="C190" s="1" t="n">
        <v>45935</v>
      </c>
      <c r="D190" t="inlineStr">
        <is>
          <t>NORRBOTTENS LÄN</t>
        </is>
      </c>
      <c r="E190" t="inlineStr">
        <is>
          <t>LULEÅ</t>
        </is>
      </c>
      <c r="G190" t="n">
        <v>6.2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45935</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11716-2023</t>
        </is>
      </c>
      <c r="B192" s="1" t="n">
        <v>44992</v>
      </c>
      <c r="C192" s="1" t="n">
        <v>45935</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43182-2025</t>
        </is>
      </c>
      <c r="B193" s="1" t="n">
        <v>45910.40729166667</v>
      </c>
      <c r="C193" s="1" t="n">
        <v>45935</v>
      </c>
      <c r="D193" t="inlineStr">
        <is>
          <t>NORRBOTTENS LÄN</t>
        </is>
      </c>
      <c r="E193" t="inlineStr">
        <is>
          <t>LULEÅ</t>
        </is>
      </c>
      <c r="G193" t="n">
        <v>17.7</v>
      </c>
      <c r="H193" t="n">
        <v>0</v>
      </c>
      <c r="I193" t="n">
        <v>0</v>
      </c>
      <c r="J193" t="n">
        <v>0</v>
      </c>
      <c r="K193" t="n">
        <v>0</v>
      </c>
      <c r="L193" t="n">
        <v>0</v>
      </c>
      <c r="M193" t="n">
        <v>0</v>
      </c>
      <c r="N193" t="n">
        <v>0</v>
      </c>
      <c r="O193" t="n">
        <v>0</v>
      </c>
      <c r="P193" t="n">
        <v>0</v>
      </c>
      <c r="Q193" t="n">
        <v>0</v>
      </c>
      <c r="R193" s="2" t="inlineStr"/>
    </row>
    <row r="194" ht="15" customHeight="1">
      <c r="A194" t="inlineStr">
        <is>
          <t>A 58823-2024</t>
        </is>
      </c>
      <c r="B194" s="1" t="n">
        <v>45635</v>
      </c>
      <c r="C194" s="1" t="n">
        <v>45935</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26587-2024</t>
        </is>
      </c>
      <c r="B195" s="1" t="n">
        <v>45469.67459490741</v>
      </c>
      <c r="C195" s="1" t="n">
        <v>45935</v>
      </c>
      <c r="D195" t="inlineStr">
        <is>
          <t>NORRBOTTENS LÄN</t>
        </is>
      </c>
      <c r="E195" t="inlineStr">
        <is>
          <t>LULEÅ</t>
        </is>
      </c>
      <c r="G195" t="n">
        <v>3.9</v>
      </c>
      <c r="H195" t="n">
        <v>0</v>
      </c>
      <c r="I195" t="n">
        <v>0</v>
      </c>
      <c r="J195" t="n">
        <v>0</v>
      </c>
      <c r="K195" t="n">
        <v>0</v>
      </c>
      <c r="L195" t="n">
        <v>0</v>
      </c>
      <c r="M195" t="n">
        <v>0</v>
      </c>
      <c r="N195" t="n">
        <v>0</v>
      </c>
      <c r="O195" t="n">
        <v>0</v>
      </c>
      <c r="P195" t="n">
        <v>0</v>
      </c>
      <c r="Q195" t="n">
        <v>0</v>
      </c>
      <c r="R195" s="2" t="inlineStr"/>
    </row>
    <row r="196" ht="15" customHeight="1">
      <c r="A196" t="inlineStr">
        <is>
          <t>A 28275-2022</t>
        </is>
      </c>
      <c r="B196" s="1" t="n">
        <v>44746</v>
      </c>
      <c r="C196" s="1" t="n">
        <v>45935</v>
      </c>
      <c r="D196" t="inlineStr">
        <is>
          <t>NORRBOTTENS LÄN</t>
        </is>
      </c>
      <c r="E196" t="inlineStr">
        <is>
          <t>LULEÅ</t>
        </is>
      </c>
      <c r="G196" t="n">
        <v>2.7</v>
      </c>
      <c r="H196" t="n">
        <v>0</v>
      </c>
      <c r="I196" t="n">
        <v>0</v>
      </c>
      <c r="J196" t="n">
        <v>0</v>
      </c>
      <c r="K196" t="n">
        <v>0</v>
      </c>
      <c r="L196" t="n">
        <v>0</v>
      </c>
      <c r="M196" t="n">
        <v>0</v>
      </c>
      <c r="N196" t="n">
        <v>0</v>
      </c>
      <c r="O196" t="n">
        <v>0</v>
      </c>
      <c r="P196" t="n">
        <v>0</v>
      </c>
      <c r="Q196" t="n">
        <v>0</v>
      </c>
      <c r="R196" s="2" t="inlineStr"/>
    </row>
    <row r="197" ht="15" customHeight="1">
      <c r="A197" t="inlineStr">
        <is>
          <t>A 52240-2023</t>
        </is>
      </c>
      <c r="B197" s="1" t="n">
        <v>45224</v>
      </c>
      <c r="C197" s="1" t="n">
        <v>45935</v>
      </c>
      <c r="D197" t="inlineStr">
        <is>
          <t>NORRBOTTENS LÄN</t>
        </is>
      </c>
      <c r="E197" t="inlineStr">
        <is>
          <t>LULEÅ</t>
        </is>
      </c>
      <c r="G197" t="n">
        <v>4.5</v>
      </c>
      <c r="H197" t="n">
        <v>0</v>
      </c>
      <c r="I197" t="n">
        <v>0</v>
      </c>
      <c r="J197" t="n">
        <v>0</v>
      </c>
      <c r="K197" t="n">
        <v>0</v>
      </c>
      <c r="L197" t="n">
        <v>0</v>
      </c>
      <c r="M197" t="n">
        <v>0</v>
      </c>
      <c r="N197" t="n">
        <v>0</v>
      </c>
      <c r="O197" t="n">
        <v>0</v>
      </c>
      <c r="P197" t="n">
        <v>0</v>
      </c>
      <c r="Q197" t="n">
        <v>0</v>
      </c>
      <c r="R197" s="2" t="inlineStr"/>
    </row>
    <row r="198" ht="15" customHeight="1">
      <c r="A198" t="inlineStr">
        <is>
          <t>A 6552-2024</t>
        </is>
      </c>
      <c r="B198" s="1" t="n">
        <v>45341</v>
      </c>
      <c r="C198" s="1" t="n">
        <v>45935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23632-2021</t>
        </is>
      </c>
      <c r="B199" s="1" t="n">
        <v>44334</v>
      </c>
      <c r="C199" s="1" t="n">
        <v>45935</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46869-2024</t>
        </is>
      </c>
      <c r="B200" s="1" t="n">
        <v>45583</v>
      </c>
      <c r="C200" s="1" t="n">
        <v>45935</v>
      </c>
      <c r="D200" t="inlineStr">
        <is>
          <t>NORRBOTTENS LÄN</t>
        </is>
      </c>
      <c r="E200" t="inlineStr">
        <is>
          <t>LULEÅ</t>
        </is>
      </c>
      <c r="G200" t="n">
        <v>4.4</v>
      </c>
      <c r="H200" t="n">
        <v>0</v>
      </c>
      <c r="I200" t="n">
        <v>0</v>
      </c>
      <c r="J200" t="n">
        <v>0</v>
      </c>
      <c r="K200" t="n">
        <v>0</v>
      </c>
      <c r="L200" t="n">
        <v>0</v>
      </c>
      <c r="M200" t="n">
        <v>0</v>
      </c>
      <c r="N200" t="n">
        <v>0</v>
      </c>
      <c r="O200" t="n">
        <v>0</v>
      </c>
      <c r="P200" t="n">
        <v>0</v>
      </c>
      <c r="Q200" t="n">
        <v>0</v>
      </c>
      <c r="R200" s="2" t="inlineStr"/>
    </row>
    <row r="201" ht="15" customHeight="1">
      <c r="A201" t="inlineStr">
        <is>
          <t>A 44463-2025</t>
        </is>
      </c>
      <c r="B201" s="1" t="n">
        <v>45916</v>
      </c>
      <c r="C201" s="1" t="n">
        <v>45935</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19986-2025</t>
        </is>
      </c>
      <c r="B202" s="1" t="n">
        <v>45771.71979166667</v>
      </c>
      <c r="C202" s="1" t="n">
        <v>45935</v>
      </c>
      <c r="D202" t="inlineStr">
        <is>
          <t>NORRBOTTENS LÄN</t>
        </is>
      </c>
      <c r="E202" t="inlineStr">
        <is>
          <t>LULEÅ</t>
        </is>
      </c>
      <c r="F202" t="inlineStr">
        <is>
          <t>Naturvårdsverket</t>
        </is>
      </c>
      <c r="G202" t="n">
        <v>1.3</v>
      </c>
      <c r="H202" t="n">
        <v>0</v>
      </c>
      <c r="I202" t="n">
        <v>0</v>
      </c>
      <c r="J202" t="n">
        <v>0</v>
      </c>
      <c r="K202" t="n">
        <v>0</v>
      </c>
      <c r="L202" t="n">
        <v>0</v>
      </c>
      <c r="M202" t="n">
        <v>0</v>
      </c>
      <c r="N202" t="n">
        <v>0</v>
      </c>
      <c r="O202" t="n">
        <v>0</v>
      </c>
      <c r="P202" t="n">
        <v>0</v>
      </c>
      <c r="Q202" t="n">
        <v>0</v>
      </c>
      <c r="R202" s="2" t="inlineStr"/>
    </row>
    <row r="203" ht="15" customHeight="1">
      <c r="A203" t="inlineStr">
        <is>
          <t>A 44662-2025</t>
        </is>
      </c>
      <c r="B203" s="1" t="n">
        <v>45917.55898148148</v>
      </c>
      <c r="C203" s="1" t="n">
        <v>45935</v>
      </c>
      <c r="D203" t="inlineStr">
        <is>
          <t>NORRBOTTENS LÄN</t>
        </is>
      </c>
      <c r="E203" t="inlineStr">
        <is>
          <t>LULEÅ</t>
        </is>
      </c>
      <c r="G203" t="n">
        <v>8.6</v>
      </c>
      <c r="H203" t="n">
        <v>0</v>
      </c>
      <c r="I203" t="n">
        <v>0</v>
      </c>
      <c r="J203" t="n">
        <v>0</v>
      </c>
      <c r="K203" t="n">
        <v>0</v>
      </c>
      <c r="L203" t="n">
        <v>0</v>
      </c>
      <c r="M203" t="n">
        <v>0</v>
      </c>
      <c r="N203" t="n">
        <v>0</v>
      </c>
      <c r="O203" t="n">
        <v>0</v>
      </c>
      <c r="P203" t="n">
        <v>0</v>
      </c>
      <c r="Q203" t="n">
        <v>0</v>
      </c>
      <c r="R203" s="2" t="inlineStr"/>
    </row>
    <row r="204" ht="15" customHeight="1">
      <c r="A204" t="inlineStr">
        <is>
          <t>A 18053-2024</t>
        </is>
      </c>
      <c r="B204" s="1" t="n">
        <v>45420</v>
      </c>
      <c r="C204" s="1" t="n">
        <v>45935</v>
      </c>
      <c r="D204" t="inlineStr">
        <is>
          <t>NORRBOTTENS LÄN</t>
        </is>
      </c>
      <c r="E204" t="inlineStr">
        <is>
          <t>LULEÅ</t>
        </is>
      </c>
      <c r="G204" t="n">
        <v>3.7</v>
      </c>
      <c r="H204" t="n">
        <v>0</v>
      </c>
      <c r="I204" t="n">
        <v>0</v>
      </c>
      <c r="J204" t="n">
        <v>0</v>
      </c>
      <c r="K204" t="n">
        <v>0</v>
      </c>
      <c r="L204" t="n">
        <v>0</v>
      </c>
      <c r="M204" t="n">
        <v>0</v>
      </c>
      <c r="N204" t="n">
        <v>0</v>
      </c>
      <c r="O204" t="n">
        <v>0</v>
      </c>
      <c r="P204" t="n">
        <v>0</v>
      </c>
      <c r="Q204" t="n">
        <v>0</v>
      </c>
      <c r="R204" s="2" t="inlineStr"/>
    </row>
    <row r="205" ht="15" customHeight="1">
      <c r="A205" t="inlineStr">
        <is>
          <t>A 61504-2024</t>
        </is>
      </c>
      <c r="B205" s="1" t="n">
        <v>45646.56238425926</v>
      </c>
      <c r="C205" s="1" t="n">
        <v>45935</v>
      </c>
      <c r="D205" t="inlineStr">
        <is>
          <t>NORRBOTTENS LÄN</t>
        </is>
      </c>
      <c r="E205" t="inlineStr">
        <is>
          <t>LULEÅ</t>
        </is>
      </c>
      <c r="G205" t="n">
        <v>3.1</v>
      </c>
      <c r="H205" t="n">
        <v>0</v>
      </c>
      <c r="I205" t="n">
        <v>0</v>
      </c>
      <c r="J205" t="n">
        <v>0</v>
      </c>
      <c r="K205" t="n">
        <v>0</v>
      </c>
      <c r="L205" t="n">
        <v>0</v>
      </c>
      <c r="M205" t="n">
        <v>0</v>
      </c>
      <c r="N205" t="n">
        <v>0</v>
      </c>
      <c r="O205" t="n">
        <v>0</v>
      </c>
      <c r="P205" t="n">
        <v>0</v>
      </c>
      <c r="Q205" t="n">
        <v>0</v>
      </c>
      <c r="R205" s="2" t="inlineStr"/>
    </row>
    <row r="206" ht="15" customHeight="1">
      <c r="A206" t="inlineStr">
        <is>
          <t>A 61510-2024</t>
        </is>
      </c>
      <c r="B206" s="1" t="n">
        <v>45646.56674768519</v>
      </c>
      <c r="C206" s="1" t="n">
        <v>45935</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43112-2025</t>
        </is>
      </c>
      <c r="B207" s="1" t="n">
        <v>45909.66228009259</v>
      </c>
      <c r="C207" s="1" t="n">
        <v>45935</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34910-2023</t>
        </is>
      </c>
      <c r="B208" s="1" t="n">
        <v>45142.4560300926</v>
      </c>
      <c r="C208" s="1" t="n">
        <v>45935</v>
      </c>
      <c r="D208" t="inlineStr">
        <is>
          <t>NORRBOTTENS LÄN</t>
        </is>
      </c>
      <c r="E208" t="inlineStr">
        <is>
          <t>LULEÅ</t>
        </is>
      </c>
      <c r="G208" t="n">
        <v>18.9</v>
      </c>
      <c r="H208" t="n">
        <v>0</v>
      </c>
      <c r="I208" t="n">
        <v>0</v>
      </c>
      <c r="J208" t="n">
        <v>0</v>
      </c>
      <c r="K208" t="n">
        <v>0</v>
      </c>
      <c r="L208" t="n">
        <v>0</v>
      </c>
      <c r="M208" t="n">
        <v>0</v>
      </c>
      <c r="N208" t="n">
        <v>0</v>
      </c>
      <c r="O208" t="n">
        <v>0</v>
      </c>
      <c r="P208" t="n">
        <v>0</v>
      </c>
      <c r="Q208" t="n">
        <v>0</v>
      </c>
      <c r="R208" s="2" t="inlineStr"/>
    </row>
    <row r="209" ht="15" customHeight="1">
      <c r="A209" t="inlineStr">
        <is>
          <t>A 63801-2023</t>
        </is>
      </c>
      <c r="B209" s="1" t="n">
        <v>45278.42126157408</v>
      </c>
      <c r="C209" s="1" t="n">
        <v>45935</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30120-2025</t>
        </is>
      </c>
      <c r="B210" s="1" t="n">
        <v>45826</v>
      </c>
      <c r="C210" s="1" t="n">
        <v>45935</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c r="U210">
        <f>HYPERLINK("https://klasma.github.io/Logging_2580/knärot/A 30120-2025 karta knärot.png", "A 30120-2025")</f>
        <v/>
      </c>
      <c r="V210">
        <f>HYPERLINK("https://klasma.github.io/Logging_2580/klagomål/A 30120-2025 FSC-klagomål.docx", "A 30120-2025")</f>
        <v/>
      </c>
      <c r="W210">
        <f>HYPERLINK("https://klasma.github.io/Logging_2580/klagomålsmail/A 30120-2025 FSC-klagomål mail.docx", "A 30120-2025")</f>
        <v/>
      </c>
      <c r="X210">
        <f>HYPERLINK("https://klasma.github.io/Logging_2580/tillsyn/A 30120-2025 tillsynsbegäran.docx", "A 30120-2025")</f>
        <v/>
      </c>
      <c r="Y210">
        <f>HYPERLINK("https://klasma.github.io/Logging_2580/tillsynsmail/A 30120-2025 tillsynsbegäran mail.docx", "A 30120-2025")</f>
        <v/>
      </c>
    </row>
    <row r="211" ht="15" customHeight="1">
      <c r="A211" t="inlineStr">
        <is>
          <t>A 40977-2025</t>
        </is>
      </c>
      <c r="B211" s="1" t="n">
        <v>45897.93575231481</v>
      </c>
      <c r="C211" s="1" t="n">
        <v>45935</v>
      </c>
      <c r="D211" t="inlineStr">
        <is>
          <t>NORRBOTTENS LÄN</t>
        </is>
      </c>
      <c r="E211" t="inlineStr">
        <is>
          <t>LULEÅ</t>
        </is>
      </c>
      <c r="G211" t="n">
        <v>11.2</v>
      </c>
      <c r="H211" t="n">
        <v>0</v>
      </c>
      <c r="I211" t="n">
        <v>0</v>
      </c>
      <c r="J211" t="n">
        <v>0</v>
      </c>
      <c r="K211" t="n">
        <v>0</v>
      </c>
      <c r="L211" t="n">
        <v>0</v>
      </c>
      <c r="M211" t="n">
        <v>0</v>
      </c>
      <c r="N211" t="n">
        <v>0</v>
      </c>
      <c r="O211" t="n">
        <v>0</v>
      </c>
      <c r="P211" t="n">
        <v>0</v>
      </c>
      <c r="Q211" t="n">
        <v>0</v>
      </c>
      <c r="R211" s="2" t="inlineStr"/>
    </row>
    <row r="212" ht="15" customHeight="1">
      <c r="A212" t="inlineStr">
        <is>
          <t>A 5688-2023</t>
        </is>
      </c>
      <c r="B212" s="1" t="n">
        <v>44960.92371527778</v>
      </c>
      <c r="C212" s="1" t="n">
        <v>45935</v>
      </c>
      <c r="D212" t="inlineStr">
        <is>
          <t>NORRBOTTENS LÄN</t>
        </is>
      </c>
      <c r="E212" t="inlineStr">
        <is>
          <t>LULEÅ</t>
        </is>
      </c>
      <c r="G212" t="n">
        <v>5.9</v>
      </c>
      <c r="H212" t="n">
        <v>0</v>
      </c>
      <c r="I212" t="n">
        <v>0</v>
      </c>
      <c r="J212" t="n">
        <v>0</v>
      </c>
      <c r="K212" t="n">
        <v>0</v>
      </c>
      <c r="L212" t="n">
        <v>0</v>
      </c>
      <c r="M212" t="n">
        <v>0</v>
      </c>
      <c r="N212" t="n">
        <v>0</v>
      </c>
      <c r="O212" t="n">
        <v>0</v>
      </c>
      <c r="P212" t="n">
        <v>0</v>
      </c>
      <c r="Q212" t="n">
        <v>0</v>
      </c>
      <c r="R212" s="2" t="inlineStr"/>
    </row>
    <row r="213" ht="15" customHeight="1">
      <c r="A213" t="inlineStr">
        <is>
          <t>A 11178-2023</t>
        </is>
      </c>
      <c r="B213" s="1" t="n">
        <v>44987</v>
      </c>
      <c r="C213" s="1" t="n">
        <v>45935</v>
      </c>
      <c r="D213" t="inlineStr">
        <is>
          <t>NORRBOTTENS LÄN</t>
        </is>
      </c>
      <c r="E213" t="inlineStr">
        <is>
          <t>LULEÅ</t>
        </is>
      </c>
      <c r="G213" t="n">
        <v>4.7</v>
      </c>
      <c r="H213" t="n">
        <v>0</v>
      </c>
      <c r="I213" t="n">
        <v>0</v>
      </c>
      <c r="J213" t="n">
        <v>0</v>
      </c>
      <c r="K213" t="n">
        <v>0</v>
      </c>
      <c r="L213" t="n">
        <v>0</v>
      </c>
      <c r="M213" t="n">
        <v>0</v>
      </c>
      <c r="N213" t="n">
        <v>0</v>
      </c>
      <c r="O213" t="n">
        <v>0</v>
      </c>
      <c r="P213" t="n">
        <v>0</v>
      </c>
      <c r="Q213" t="n">
        <v>0</v>
      </c>
      <c r="R213" s="2" t="inlineStr"/>
    </row>
    <row r="214" ht="15" customHeight="1">
      <c r="A214" t="inlineStr">
        <is>
          <t>A 43976-2025</t>
        </is>
      </c>
      <c r="B214" s="1" t="n">
        <v>45915</v>
      </c>
      <c r="C214" s="1" t="n">
        <v>45935</v>
      </c>
      <c r="D214" t="inlineStr">
        <is>
          <t>NORRBOTTENS LÄN</t>
        </is>
      </c>
      <c r="E214" t="inlineStr">
        <is>
          <t>LULEÅ</t>
        </is>
      </c>
      <c r="G214" t="n">
        <v>6.2</v>
      </c>
      <c r="H214" t="n">
        <v>0</v>
      </c>
      <c r="I214" t="n">
        <v>0</v>
      </c>
      <c r="J214" t="n">
        <v>0</v>
      </c>
      <c r="K214" t="n">
        <v>0</v>
      </c>
      <c r="L214" t="n">
        <v>0</v>
      </c>
      <c r="M214" t="n">
        <v>0</v>
      </c>
      <c r="N214" t="n">
        <v>0</v>
      </c>
      <c r="O214" t="n">
        <v>0</v>
      </c>
      <c r="P214" t="n">
        <v>0</v>
      </c>
      <c r="Q214" t="n">
        <v>0</v>
      </c>
      <c r="R214" s="2" t="inlineStr"/>
    </row>
    <row r="215" ht="15" customHeight="1">
      <c r="A215" t="inlineStr">
        <is>
          <t>A 45000-2025</t>
        </is>
      </c>
      <c r="B215" s="1" t="n">
        <v>45918</v>
      </c>
      <c r="C215" s="1" t="n">
        <v>45935</v>
      </c>
      <c r="D215" t="inlineStr">
        <is>
          <t>NORRBOTTENS LÄN</t>
        </is>
      </c>
      <c r="E215" t="inlineStr">
        <is>
          <t>LULEÅ</t>
        </is>
      </c>
      <c r="G215" t="n">
        <v>4</v>
      </c>
      <c r="H215" t="n">
        <v>0</v>
      </c>
      <c r="I215" t="n">
        <v>0</v>
      </c>
      <c r="J215" t="n">
        <v>0</v>
      </c>
      <c r="K215" t="n">
        <v>0</v>
      </c>
      <c r="L215" t="n">
        <v>0</v>
      </c>
      <c r="M215" t="n">
        <v>0</v>
      </c>
      <c r="N215" t="n">
        <v>0</v>
      </c>
      <c r="O215" t="n">
        <v>0</v>
      </c>
      <c r="P215" t="n">
        <v>0</v>
      </c>
      <c r="Q215" t="n">
        <v>0</v>
      </c>
      <c r="R215" s="2" t="inlineStr"/>
    </row>
    <row r="216" ht="15" customHeight="1">
      <c r="A216" t="inlineStr">
        <is>
          <t>A 49641-2024</t>
        </is>
      </c>
      <c r="B216" s="1" t="n">
        <v>45596</v>
      </c>
      <c r="C216" s="1" t="n">
        <v>45935</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46374-2024</t>
        </is>
      </c>
      <c r="B217" s="1" t="n">
        <v>45582</v>
      </c>
      <c r="C217" s="1" t="n">
        <v>45935</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44462-2025</t>
        </is>
      </c>
      <c r="B218" s="1" t="n">
        <v>45916</v>
      </c>
      <c r="C218" s="1" t="n">
        <v>45935</v>
      </c>
      <c r="D218" t="inlineStr">
        <is>
          <t>NORRBOTTENS LÄN</t>
        </is>
      </c>
      <c r="E218" t="inlineStr">
        <is>
          <t>LULEÅ</t>
        </is>
      </c>
      <c r="G218" t="n">
        <v>5</v>
      </c>
      <c r="H218" t="n">
        <v>0</v>
      </c>
      <c r="I218" t="n">
        <v>0</v>
      </c>
      <c r="J218" t="n">
        <v>0</v>
      </c>
      <c r="K218" t="n">
        <v>0</v>
      </c>
      <c r="L218" t="n">
        <v>0</v>
      </c>
      <c r="M218" t="n">
        <v>0</v>
      </c>
      <c r="N218" t="n">
        <v>0</v>
      </c>
      <c r="O218" t="n">
        <v>0</v>
      </c>
      <c r="P218" t="n">
        <v>0</v>
      </c>
      <c r="Q218" t="n">
        <v>0</v>
      </c>
      <c r="R218" s="2" t="inlineStr"/>
    </row>
    <row r="219" ht="15" customHeight="1">
      <c r="A219" t="inlineStr">
        <is>
          <t>A 29237-2024</t>
        </is>
      </c>
      <c r="B219" s="1" t="n">
        <v>45482.92732638889</v>
      </c>
      <c r="C219" s="1" t="n">
        <v>45935</v>
      </c>
      <c r="D219" t="inlineStr">
        <is>
          <t>NORRBOTTENS LÄN</t>
        </is>
      </c>
      <c r="E219" t="inlineStr">
        <is>
          <t>LULEÅ</t>
        </is>
      </c>
      <c r="G219" t="n">
        <v>10.3</v>
      </c>
      <c r="H219" t="n">
        <v>0</v>
      </c>
      <c r="I219" t="n">
        <v>0</v>
      </c>
      <c r="J219" t="n">
        <v>0</v>
      </c>
      <c r="K219" t="n">
        <v>0</v>
      </c>
      <c r="L219" t="n">
        <v>0</v>
      </c>
      <c r="M219" t="n">
        <v>0</v>
      </c>
      <c r="N219" t="n">
        <v>0</v>
      </c>
      <c r="O219" t="n">
        <v>0</v>
      </c>
      <c r="P219" t="n">
        <v>0</v>
      </c>
      <c r="Q219" t="n">
        <v>0</v>
      </c>
      <c r="R219" s="2" t="inlineStr"/>
    </row>
    <row r="220" ht="15" customHeight="1">
      <c r="A220" t="inlineStr">
        <is>
          <t>A 54739-2024</t>
        </is>
      </c>
      <c r="B220" s="1" t="n">
        <v>45618.44335648148</v>
      </c>
      <c r="C220" s="1" t="n">
        <v>45935</v>
      </c>
      <c r="D220" t="inlineStr">
        <is>
          <t>NORRBOTTENS LÄN</t>
        </is>
      </c>
      <c r="E220" t="inlineStr">
        <is>
          <t>LULEÅ</t>
        </is>
      </c>
      <c r="G220" t="n">
        <v>4.8</v>
      </c>
      <c r="H220" t="n">
        <v>0</v>
      </c>
      <c r="I220" t="n">
        <v>0</v>
      </c>
      <c r="J220" t="n">
        <v>0</v>
      </c>
      <c r="K220" t="n">
        <v>0</v>
      </c>
      <c r="L220" t="n">
        <v>0</v>
      </c>
      <c r="M220" t="n">
        <v>0</v>
      </c>
      <c r="N220" t="n">
        <v>0</v>
      </c>
      <c r="O220" t="n">
        <v>0</v>
      </c>
      <c r="P220" t="n">
        <v>0</v>
      </c>
      <c r="Q220" t="n">
        <v>0</v>
      </c>
      <c r="R220" s="2" t="inlineStr"/>
    </row>
    <row r="221" ht="15" customHeight="1">
      <c r="A221" t="inlineStr">
        <is>
          <t>A 37304-2024</t>
        </is>
      </c>
      <c r="B221" s="1" t="n">
        <v>45540</v>
      </c>
      <c r="C221" s="1" t="n">
        <v>45935</v>
      </c>
      <c r="D221" t="inlineStr">
        <is>
          <t>NORRBOTTENS LÄN</t>
        </is>
      </c>
      <c r="E221" t="inlineStr">
        <is>
          <t>LULEÅ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6269-2023</t>
        </is>
      </c>
      <c r="B222" s="1" t="n">
        <v>44960</v>
      </c>
      <c r="C222" s="1" t="n">
        <v>45935</v>
      </c>
      <c r="D222" t="inlineStr">
        <is>
          <t>NORRBOTTENS LÄN</t>
        </is>
      </c>
      <c r="E222" t="inlineStr">
        <is>
          <t>LULEÅ</t>
        </is>
      </c>
      <c r="G222" t="n">
        <v>2.6</v>
      </c>
      <c r="H222" t="n">
        <v>0</v>
      </c>
      <c r="I222" t="n">
        <v>0</v>
      </c>
      <c r="J222" t="n">
        <v>0</v>
      </c>
      <c r="K222" t="n">
        <v>0</v>
      </c>
      <c r="L222" t="n">
        <v>0</v>
      </c>
      <c r="M222" t="n">
        <v>0</v>
      </c>
      <c r="N222" t="n">
        <v>0</v>
      </c>
      <c r="O222" t="n">
        <v>0</v>
      </c>
      <c r="P222" t="n">
        <v>0</v>
      </c>
      <c r="Q222" t="n">
        <v>0</v>
      </c>
      <c r="R222" s="2" t="inlineStr"/>
    </row>
    <row r="223" ht="15" customHeight="1">
      <c r="A223" t="inlineStr">
        <is>
          <t>A 43765-2023</t>
        </is>
      </c>
      <c r="B223" s="1" t="n">
        <v>45187</v>
      </c>
      <c r="C223" s="1" t="n">
        <v>45935</v>
      </c>
      <c r="D223" t="inlineStr">
        <is>
          <t>NORRBOTTENS LÄN</t>
        </is>
      </c>
      <c r="E223" t="inlineStr">
        <is>
          <t>LULEÅ</t>
        </is>
      </c>
      <c r="G223" t="n">
        <v>13.7</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45935</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13846-2024</t>
        </is>
      </c>
      <c r="B225" s="1" t="n">
        <v>45390</v>
      </c>
      <c r="C225" s="1" t="n">
        <v>45935</v>
      </c>
      <c r="D225" t="inlineStr">
        <is>
          <t>NORRBOTTENS LÄN</t>
        </is>
      </c>
      <c r="E225" t="inlineStr">
        <is>
          <t>LULEÅ</t>
        </is>
      </c>
      <c r="G225" t="n">
        <v>16.4</v>
      </c>
      <c r="H225" t="n">
        <v>0</v>
      </c>
      <c r="I225" t="n">
        <v>0</v>
      </c>
      <c r="J225" t="n">
        <v>0</v>
      </c>
      <c r="K225" t="n">
        <v>0</v>
      </c>
      <c r="L225" t="n">
        <v>0</v>
      </c>
      <c r="M225" t="n">
        <v>0</v>
      </c>
      <c r="N225" t="n">
        <v>0</v>
      </c>
      <c r="O225" t="n">
        <v>0</v>
      </c>
      <c r="P225" t="n">
        <v>0</v>
      </c>
      <c r="Q225" t="n">
        <v>0</v>
      </c>
      <c r="R225" s="2" t="inlineStr"/>
    </row>
    <row r="226" ht="15" customHeight="1">
      <c r="A226" t="inlineStr">
        <is>
          <t>A 44982-2025</t>
        </is>
      </c>
      <c r="B226" s="1" t="n">
        <v>45918</v>
      </c>
      <c r="C226" s="1" t="n">
        <v>45935</v>
      </c>
      <c r="D226" t="inlineStr">
        <is>
          <t>NORRBOTTENS LÄN</t>
        </is>
      </c>
      <c r="E226" t="inlineStr">
        <is>
          <t>LULEÅ</t>
        </is>
      </c>
      <c r="G226" t="n">
        <v>13.7</v>
      </c>
      <c r="H226" t="n">
        <v>0</v>
      </c>
      <c r="I226" t="n">
        <v>0</v>
      </c>
      <c r="J226" t="n">
        <v>0</v>
      </c>
      <c r="K226" t="n">
        <v>0</v>
      </c>
      <c r="L226" t="n">
        <v>0</v>
      </c>
      <c r="M226" t="n">
        <v>0</v>
      </c>
      <c r="N226" t="n">
        <v>0</v>
      </c>
      <c r="O226" t="n">
        <v>0</v>
      </c>
      <c r="P226" t="n">
        <v>0</v>
      </c>
      <c r="Q226" t="n">
        <v>0</v>
      </c>
      <c r="R226" s="2" t="inlineStr"/>
    </row>
    <row r="227" ht="15" customHeight="1">
      <c r="A227" t="inlineStr">
        <is>
          <t>A 6957-2025</t>
        </is>
      </c>
      <c r="B227" s="1" t="n">
        <v>45701.49048611111</v>
      </c>
      <c r="C227" s="1" t="n">
        <v>45935</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44324-2024</t>
        </is>
      </c>
      <c r="B228" s="1" t="n">
        <v>45573.59376157408</v>
      </c>
      <c r="C228" s="1" t="n">
        <v>45935</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56043-2021</t>
        </is>
      </c>
      <c r="B229" s="1" t="n">
        <v>44477</v>
      </c>
      <c r="C229" s="1" t="n">
        <v>45935</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56057-2021</t>
        </is>
      </c>
      <c r="B230" s="1" t="n">
        <v>44477</v>
      </c>
      <c r="C230" s="1" t="n">
        <v>45935</v>
      </c>
      <c r="D230" t="inlineStr">
        <is>
          <t>NORRBOTTENS LÄN</t>
        </is>
      </c>
      <c r="E230" t="inlineStr">
        <is>
          <t>LULEÅ</t>
        </is>
      </c>
      <c r="G230" t="n">
        <v>3.7</v>
      </c>
      <c r="H230" t="n">
        <v>0</v>
      </c>
      <c r="I230" t="n">
        <v>0</v>
      </c>
      <c r="J230" t="n">
        <v>0</v>
      </c>
      <c r="K230" t="n">
        <v>0</v>
      </c>
      <c r="L230" t="n">
        <v>0</v>
      </c>
      <c r="M230" t="n">
        <v>0</v>
      </c>
      <c r="N230" t="n">
        <v>0</v>
      </c>
      <c r="O230" t="n">
        <v>0</v>
      </c>
      <c r="P230" t="n">
        <v>0</v>
      </c>
      <c r="Q230" t="n">
        <v>0</v>
      </c>
      <c r="R230" s="2" t="inlineStr"/>
    </row>
    <row r="231" ht="15" customHeight="1">
      <c r="A231" t="inlineStr">
        <is>
          <t>A 27305-2022</t>
        </is>
      </c>
      <c r="B231" s="1" t="n">
        <v>44741</v>
      </c>
      <c r="C231" s="1" t="n">
        <v>45935</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25340-2024</t>
        </is>
      </c>
      <c r="B232" s="1" t="n">
        <v>45462</v>
      </c>
      <c r="C232" s="1" t="n">
        <v>45935</v>
      </c>
      <c r="D232" t="inlineStr">
        <is>
          <t>NORRBOTTENS LÄN</t>
        </is>
      </c>
      <c r="E232" t="inlineStr">
        <is>
          <t>LULEÅ</t>
        </is>
      </c>
      <c r="G232" t="n">
        <v>3.6</v>
      </c>
      <c r="H232" t="n">
        <v>0</v>
      </c>
      <c r="I232" t="n">
        <v>0</v>
      </c>
      <c r="J232" t="n">
        <v>0</v>
      </c>
      <c r="K232" t="n">
        <v>0</v>
      </c>
      <c r="L232" t="n">
        <v>0</v>
      </c>
      <c r="M232" t="n">
        <v>0</v>
      </c>
      <c r="N232" t="n">
        <v>0</v>
      </c>
      <c r="O232" t="n">
        <v>0</v>
      </c>
      <c r="P232" t="n">
        <v>0</v>
      </c>
      <c r="Q232" t="n">
        <v>0</v>
      </c>
      <c r="R232" s="2" t="inlineStr"/>
    </row>
    <row r="233" ht="15" customHeight="1">
      <c r="A233" t="inlineStr">
        <is>
          <t>A 19872-2024</t>
        </is>
      </c>
      <c r="B233" s="1" t="n">
        <v>45433.45890046296</v>
      </c>
      <c r="C233" s="1" t="n">
        <v>45935</v>
      </c>
      <c r="D233" t="inlineStr">
        <is>
          <t>NORRBOTTENS LÄN</t>
        </is>
      </c>
      <c r="E233" t="inlineStr">
        <is>
          <t>LULEÅ</t>
        </is>
      </c>
      <c r="G233" t="n">
        <v>3.3</v>
      </c>
      <c r="H233" t="n">
        <v>0</v>
      </c>
      <c r="I233" t="n">
        <v>0</v>
      </c>
      <c r="J233" t="n">
        <v>0</v>
      </c>
      <c r="K233" t="n">
        <v>0</v>
      </c>
      <c r="L233" t="n">
        <v>0</v>
      </c>
      <c r="M233" t="n">
        <v>0</v>
      </c>
      <c r="N233" t="n">
        <v>0</v>
      </c>
      <c r="O233" t="n">
        <v>0</v>
      </c>
      <c r="P233" t="n">
        <v>0</v>
      </c>
      <c r="Q233" t="n">
        <v>0</v>
      </c>
      <c r="R233" s="2" t="inlineStr"/>
    </row>
    <row r="234" ht="15" customHeight="1">
      <c r="A234" t="inlineStr">
        <is>
          <t>A 30787-2024</t>
        </is>
      </c>
      <c r="B234" s="1" t="n">
        <v>45496.95108796296</v>
      </c>
      <c r="C234" s="1" t="n">
        <v>45935</v>
      </c>
      <c r="D234" t="inlineStr">
        <is>
          <t>NORRBOTTENS LÄN</t>
        </is>
      </c>
      <c r="E234" t="inlineStr">
        <is>
          <t>LULEÅ</t>
        </is>
      </c>
      <c r="F234" t="inlineStr">
        <is>
          <t>Naturvårdsverket</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14187-2025</t>
        </is>
      </c>
      <c r="B235" s="1" t="n">
        <v>45740.54577546296</v>
      </c>
      <c r="C235" s="1" t="n">
        <v>45935</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45472-2025</t>
        </is>
      </c>
      <c r="B236" s="1" t="n">
        <v>45922.5109837963</v>
      </c>
      <c r="C236" s="1" t="n">
        <v>45935</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48409-2023</t>
        </is>
      </c>
      <c r="B237" s="1" t="n">
        <v>45205</v>
      </c>
      <c r="C237" s="1" t="n">
        <v>45935</v>
      </c>
      <c r="D237" t="inlineStr">
        <is>
          <t>NORRBOTTENS LÄN</t>
        </is>
      </c>
      <c r="E237" t="inlineStr">
        <is>
          <t>LULEÅ</t>
        </is>
      </c>
      <c r="G237" t="n">
        <v>7.9</v>
      </c>
      <c r="H237" t="n">
        <v>0</v>
      </c>
      <c r="I237" t="n">
        <v>0</v>
      </c>
      <c r="J237" t="n">
        <v>0</v>
      </c>
      <c r="K237" t="n">
        <v>0</v>
      </c>
      <c r="L237" t="n">
        <v>0</v>
      </c>
      <c r="M237" t="n">
        <v>0</v>
      </c>
      <c r="N237" t="n">
        <v>0</v>
      </c>
      <c r="O237" t="n">
        <v>0</v>
      </c>
      <c r="P237" t="n">
        <v>0</v>
      </c>
      <c r="Q237" t="n">
        <v>0</v>
      </c>
      <c r="R237" s="2" t="inlineStr"/>
    </row>
    <row r="238" ht="15" customHeight="1">
      <c r="A238" t="inlineStr">
        <is>
          <t>A 48410-2023</t>
        </is>
      </c>
      <c r="B238" s="1" t="n">
        <v>45205</v>
      </c>
      <c r="C238" s="1" t="n">
        <v>45935</v>
      </c>
      <c r="D238" t="inlineStr">
        <is>
          <t>NORRBOTTENS LÄN</t>
        </is>
      </c>
      <c r="E238" t="inlineStr">
        <is>
          <t>LULEÅ</t>
        </is>
      </c>
      <c r="G238" t="n">
        <v>6.7</v>
      </c>
      <c r="H238" t="n">
        <v>0</v>
      </c>
      <c r="I238" t="n">
        <v>0</v>
      </c>
      <c r="J238" t="n">
        <v>0</v>
      </c>
      <c r="K238" t="n">
        <v>0</v>
      </c>
      <c r="L238" t="n">
        <v>0</v>
      </c>
      <c r="M238" t="n">
        <v>0</v>
      </c>
      <c r="N238" t="n">
        <v>0</v>
      </c>
      <c r="O238" t="n">
        <v>0</v>
      </c>
      <c r="P238" t="n">
        <v>0</v>
      </c>
      <c r="Q238" t="n">
        <v>0</v>
      </c>
      <c r="R238" s="2" t="inlineStr"/>
    </row>
    <row r="239" ht="15" customHeight="1">
      <c r="A239" t="inlineStr">
        <is>
          <t>A 46547-2021</t>
        </is>
      </c>
      <c r="B239" s="1" t="n">
        <v>44445</v>
      </c>
      <c r="C239" s="1" t="n">
        <v>45935</v>
      </c>
      <c r="D239" t="inlineStr">
        <is>
          <t>NORRBOTTENS LÄN</t>
        </is>
      </c>
      <c r="E239" t="inlineStr">
        <is>
          <t>LULEÅ</t>
        </is>
      </c>
      <c r="G239" t="n">
        <v>1.7</v>
      </c>
      <c r="H239" t="n">
        <v>0</v>
      </c>
      <c r="I239" t="n">
        <v>0</v>
      </c>
      <c r="J239" t="n">
        <v>0</v>
      </c>
      <c r="K239" t="n">
        <v>0</v>
      </c>
      <c r="L239" t="n">
        <v>0</v>
      </c>
      <c r="M239" t="n">
        <v>0</v>
      </c>
      <c r="N239" t="n">
        <v>0</v>
      </c>
      <c r="O239" t="n">
        <v>0</v>
      </c>
      <c r="P239" t="n">
        <v>0</v>
      </c>
      <c r="Q239" t="n">
        <v>0</v>
      </c>
      <c r="R239" s="2" t="inlineStr"/>
    </row>
    <row r="240" ht="15" customHeight="1">
      <c r="A240" t="inlineStr">
        <is>
          <t>A 23884-2022</t>
        </is>
      </c>
      <c r="B240" s="1" t="n">
        <v>44722.57129629629</v>
      </c>
      <c r="C240" s="1" t="n">
        <v>45935</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53960-2023</t>
        </is>
      </c>
      <c r="B241" s="1" t="n">
        <v>45225</v>
      </c>
      <c r="C241" s="1" t="n">
        <v>45935</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37948-2025</t>
        </is>
      </c>
      <c r="B242" s="1" t="n">
        <v>45881.61543981481</v>
      </c>
      <c r="C242" s="1" t="n">
        <v>45935</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52854-2022</t>
        </is>
      </c>
      <c r="B243" s="1" t="n">
        <v>44872</v>
      </c>
      <c r="C243" s="1" t="n">
        <v>45935</v>
      </c>
      <c r="D243" t="inlineStr">
        <is>
          <t>NORRBOTTENS LÄN</t>
        </is>
      </c>
      <c r="E243" t="inlineStr">
        <is>
          <t>LULEÅ</t>
        </is>
      </c>
      <c r="G243" t="n">
        <v>1.6</v>
      </c>
      <c r="H243" t="n">
        <v>0</v>
      </c>
      <c r="I243" t="n">
        <v>0</v>
      </c>
      <c r="J243" t="n">
        <v>0</v>
      </c>
      <c r="K243" t="n">
        <v>0</v>
      </c>
      <c r="L243" t="n">
        <v>0</v>
      </c>
      <c r="M243" t="n">
        <v>0</v>
      </c>
      <c r="N243" t="n">
        <v>0</v>
      </c>
      <c r="O243" t="n">
        <v>0</v>
      </c>
      <c r="P243" t="n">
        <v>0</v>
      </c>
      <c r="Q243" t="n">
        <v>0</v>
      </c>
      <c r="R243" s="2" t="inlineStr"/>
    </row>
    <row r="244" ht="15" customHeight="1">
      <c r="A244" t="inlineStr">
        <is>
          <t>A 45684-2025</t>
        </is>
      </c>
      <c r="B244" s="1" t="n">
        <v>45918</v>
      </c>
      <c r="C244" s="1" t="n">
        <v>45935</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31067-2023</t>
        </is>
      </c>
      <c r="B245" s="1" t="n">
        <v>45113</v>
      </c>
      <c r="C245" s="1" t="n">
        <v>45935</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17421-2023</t>
        </is>
      </c>
      <c r="B246" s="1" t="n">
        <v>45035.92607638889</v>
      </c>
      <c r="C246" s="1" t="n">
        <v>45935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49742-2022</t>
        </is>
      </c>
      <c r="B247" s="1" t="n">
        <v>44859</v>
      </c>
      <c r="C247" s="1" t="n">
        <v>45935</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45935</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26267-2022</t>
        </is>
      </c>
      <c r="B249" s="1" t="n">
        <v>44735.5158912037</v>
      </c>
      <c r="C249" s="1" t="n">
        <v>45935</v>
      </c>
      <c r="D249" t="inlineStr">
        <is>
          <t>NORRBOTTENS LÄN</t>
        </is>
      </c>
      <c r="E249" t="inlineStr">
        <is>
          <t>LULEÅ</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736-2025</t>
        </is>
      </c>
      <c r="B250" s="1" t="n">
        <v>45664</v>
      </c>
      <c r="C250" s="1" t="n">
        <v>45935</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17899-2025</t>
        </is>
      </c>
      <c r="B251" s="1" t="n">
        <v>45758.69832175926</v>
      </c>
      <c r="C251" s="1" t="n">
        <v>45935</v>
      </c>
      <c r="D251" t="inlineStr">
        <is>
          <t>NORRBOTTENS LÄN</t>
        </is>
      </c>
      <c r="E251" t="inlineStr">
        <is>
          <t>LULEÅ</t>
        </is>
      </c>
      <c r="G251" t="n">
        <v>3.1</v>
      </c>
      <c r="H251" t="n">
        <v>0</v>
      </c>
      <c r="I251" t="n">
        <v>0</v>
      </c>
      <c r="J251" t="n">
        <v>0</v>
      </c>
      <c r="K251" t="n">
        <v>0</v>
      </c>
      <c r="L251" t="n">
        <v>0</v>
      </c>
      <c r="M251" t="n">
        <v>0</v>
      </c>
      <c r="N251" t="n">
        <v>0</v>
      </c>
      <c r="O251" t="n">
        <v>0</v>
      </c>
      <c r="P251" t="n">
        <v>0</v>
      </c>
      <c r="Q251" t="n">
        <v>0</v>
      </c>
      <c r="R251" s="2" t="inlineStr"/>
    </row>
    <row r="252" ht="15" customHeight="1">
      <c r="A252" t="inlineStr">
        <is>
          <t>A 6018-2021</t>
        </is>
      </c>
      <c r="B252" s="1" t="n">
        <v>44231.9415625</v>
      </c>
      <c r="C252" s="1" t="n">
        <v>45935</v>
      </c>
      <c r="D252" t="inlineStr">
        <is>
          <t>NORRBOTTENS LÄN</t>
        </is>
      </c>
      <c r="E252" t="inlineStr">
        <is>
          <t>LULEÅ</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1683-2025</t>
        </is>
      </c>
      <c r="B253" s="1" t="n">
        <v>45670.69847222222</v>
      </c>
      <c r="C253" s="1" t="n">
        <v>45935</v>
      </c>
      <c r="D253" t="inlineStr">
        <is>
          <t>NORRBOTTENS LÄN</t>
        </is>
      </c>
      <c r="E253" t="inlineStr">
        <is>
          <t>LULEÅ</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8750-2025</t>
        </is>
      </c>
      <c r="B254" s="1" t="n">
        <v>45712.56173611111</v>
      </c>
      <c r="C254" s="1" t="n">
        <v>45935</v>
      </c>
      <c r="D254" t="inlineStr">
        <is>
          <t>NORRBOTTENS LÄN</t>
        </is>
      </c>
      <c r="E254" t="inlineStr">
        <is>
          <t>LULEÅ</t>
        </is>
      </c>
      <c r="G254" t="n">
        <v>10.8</v>
      </c>
      <c r="H254" t="n">
        <v>0</v>
      </c>
      <c r="I254" t="n">
        <v>0</v>
      </c>
      <c r="J254" t="n">
        <v>0</v>
      </c>
      <c r="K254" t="n">
        <v>0</v>
      </c>
      <c r="L254" t="n">
        <v>0</v>
      </c>
      <c r="M254" t="n">
        <v>0</v>
      </c>
      <c r="N254" t="n">
        <v>0</v>
      </c>
      <c r="O254" t="n">
        <v>0</v>
      </c>
      <c r="P254" t="n">
        <v>0</v>
      </c>
      <c r="Q254" t="n">
        <v>0</v>
      </c>
      <c r="R254" s="2" t="inlineStr"/>
    </row>
    <row r="255" ht="15" customHeight="1">
      <c r="A255" t="inlineStr">
        <is>
          <t>A 37784-2025</t>
        </is>
      </c>
      <c r="B255" s="1" t="n">
        <v>45880.95241898148</v>
      </c>
      <c r="C255" s="1" t="n">
        <v>45935</v>
      </c>
      <c r="D255" t="inlineStr">
        <is>
          <t>NORRBOTTENS LÄN</t>
        </is>
      </c>
      <c r="E255" t="inlineStr">
        <is>
          <t>LULEÅ</t>
        </is>
      </c>
      <c r="G255" t="n">
        <v>4.3</v>
      </c>
      <c r="H255" t="n">
        <v>0</v>
      </c>
      <c r="I255" t="n">
        <v>0</v>
      </c>
      <c r="J255" t="n">
        <v>0</v>
      </c>
      <c r="K255" t="n">
        <v>0</v>
      </c>
      <c r="L255" t="n">
        <v>0</v>
      </c>
      <c r="M255" t="n">
        <v>0</v>
      </c>
      <c r="N255" t="n">
        <v>0</v>
      </c>
      <c r="O255" t="n">
        <v>0</v>
      </c>
      <c r="P255" t="n">
        <v>0</v>
      </c>
      <c r="Q255" t="n">
        <v>0</v>
      </c>
      <c r="R255" s="2" t="inlineStr"/>
    </row>
    <row r="256" ht="15" customHeight="1">
      <c r="A256" t="inlineStr">
        <is>
          <t>A 60387-2024</t>
        </is>
      </c>
      <c r="B256" s="1" t="n">
        <v>45643.48357638889</v>
      </c>
      <c r="C256" s="1" t="n">
        <v>45935</v>
      </c>
      <c r="D256" t="inlineStr">
        <is>
          <t>NORRBOTTENS LÄN</t>
        </is>
      </c>
      <c r="E256" t="inlineStr">
        <is>
          <t>LULEÅ</t>
        </is>
      </c>
      <c r="G256" t="n">
        <v>3.4</v>
      </c>
      <c r="H256" t="n">
        <v>0</v>
      </c>
      <c r="I256" t="n">
        <v>0</v>
      </c>
      <c r="J256" t="n">
        <v>0</v>
      </c>
      <c r="K256" t="n">
        <v>0</v>
      </c>
      <c r="L256" t="n">
        <v>0</v>
      </c>
      <c r="M256" t="n">
        <v>0</v>
      </c>
      <c r="N256" t="n">
        <v>0</v>
      </c>
      <c r="O256" t="n">
        <v>0</v>
      </c>
      <c r="P256" t="n">
        <v>0</v>
      </c>
      <c r="Q256" t="n">
        <v>0</v>
      </c>
      <c r="R256" s="2" t="inlineStr"/>
    </row>
    <row r="257" ht="15" customHeight="1">
      <c r="A257" t="inlineStr">
        <is>
          <t>A 44443-2025</t>
        </is>
      </c>
      <c r="B257" s="1" t="n">
        <v>45916</v>
      </c>
      <c r="C257" s="1" t="n">
        <v>45935</v>
      </c>
      <c r="D257" t="inlineStr">
        <is>
          <t>NORRBOTTENS LÄN</t>
        </is>
      </c>
      <c r="E257" t="inlineStr">
        <is>
          <t>LULEÅ</t>
        </is>
      </c>
      <c r="G257" t="n">
        <v>8.9</v>
      </c>
      <c r="H257" t="n">
        <v>0</v>
      </c>
      <c r="I257" t="n">
        <v>0</v>
      </c>
      <c r="J257" t="n">
        <v>0</v>
      </c>
      <c r="K257" t="n">
        <v>0</v>
      </c>
      <c r="L257" t="n">
        <v>0</v>
      </c>
      <c r="M257" t="n">
        <v>0</v>
      </c>
      <c r="N257" t="n">
        <v>0</v>
      </c>
      <c r="O257" t="n">
        <v>0</v>
      </c>
      <c r="P257" t="n">
        <v>0</v>
      </c>
      <c r="Q257" t="n">
        <v>0</v>
      </c>
      <c r="R257" s="2" t="inlineStr"/>
    </row>
    <row r="258" ht="15" customHeight="1">
      <c r="A258" t="inlineStr">
        <is>
          <t>A 45673-2025</t>
        </is>
      </c>
      <c r="B258" s="1" t="n">
        <v>45922</v>
      </c>
      <c r="C258" s="1" t="n">
        <v>45935</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45182-2024</t>
        </is>
      </c>
      <c r="B259" s="1" t="n">
        <v>45575.66403935185</v>
      </c>
      <c r="C259" s="1" t="n">
        <v>45935</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45001-2025</t>
        </is>
      </c>
      <c r="B260" s="1" t="n">
        <v>45918</v>
      </c>
      <c r="C260" s="1" t="n">
        <v>45935</v>
      </c>
      <c r="D260" t="inlineStr">
        <is>
          <t>NORRBOTTENS LÄN</t>
        </is>
      </c>
      <c r="E260" t="inlineStr">
        <is>
          <t>LULEÅ</t>
        </is>
      </c>
      <c r="G260" t="n">
        <v>7.8</v>
      </c>
      <c r="H260" t="n">
        <v>0</v>
      </c>
      <c r="I260" t="n">
        <v>0</v>
      </c>
      <c r="J260" t="n">
        <v>0</v>
      </c>
      <c r="K260" t="n">
        <v>0</v>
      </c>
      <c r="L260" t="n">
        <v>0</v>
      </c>
      <c r="M260" t="n">
        <v>0</v>
      </c>
      <c r="N260" t="n">
        <v>0</v>
      </c>
      <c r="O260" t="n">
        <v>0</v>
      </c>
      <c r="P260" t="n">
        <v>0</v>
      </c>
      <c r="Q260" t="n">
        <v>0</v>
      </c>
      <c r="R260" s="2" t="inlineStr"/>
    </row>
    <row r="261" ht="15" customHeight="1">
      <c r="A261" t="inlineStr">
        <is>
          <t>A 44977-2025</t>
        </is>
      </c>
      <c r="B261" s="1" t="n">
        <v>45918</v>
      </c>
      <c r="C261" s="1" t="n">
        <v>45935</v>
      </c>
      <c r="D261" t="inlineStr">
        <is>
          <t>NORRBOTTENS LÄN</t>
        </is>
      </c>
      <c r="E261" t="inlineStr">
        <is>
          <t>LULEÅ</t>
        </is>
      </c>
      <c r="G261" t="n">
        <v>3.4</v>
      </c>
      <c r="H261" t="n">
        <v>0</v>
      </c>
      <c r="I261" t="n">
        <v>0</v>
      </c>
      <c r="J261" t="n">
        <v>0</v>
      </c>
      <c r="K261" t="n">
        <v>0</v>
      </c>
      <c r="L261" t="n">
        <v>0</v>
      </c>
      <c r="M261" t="n">
        <v>0</v>
      </c>
      <c r="N261" t="n">
        <v>0</v>
      </c>
      <c r="O261" t="n">
        <v>0</v>
      </c>
      <c r="P261" t="n">
        <v>0</v>
      </c>
      <c r="Q261" t="n">
        <v>0</v>
      </c>
      <c r="R261" s="2" t="inlineStr"/>
    </row>
    <row r="262" ht="15" customHeight="1">
      <c r="A262" t="inlineStr">
        <is>
          <t>A 45470-2025</t>
        </is>
      </c>
      <c r="B262" s="1" t="n">
        <v>45922.51091435185</v>
      </c>
      <c r="C262" s="1" t="n">
        <v>45935</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45471-2025</t>
        </is>
      </c>
      <c r="B263" s="1" t="n">
        <v>45922.51094907407</v>
      </c>
      <c r="C263" s="1" t="n">
        <v>45935</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37783-2025</t>
        </is>
      </c>
      <c r="B264" s="1" t="n">
        <v>45880.94430555555</v>
      </c>
      <c r="C264" s="1" t="n">
        <v>45935</v>
      </c>
      <c r="D264" t="inlineStr">
        <is>
          <t>NORRBOTTENS LÄN</t>
        </is>
      </c>
      <c r="E264" t="inlineStr">
        <is>
          <t>LULEÅ</t>
        </is>
      </c>
      <c r="G264" t="n">
        <v>7.2</v>
      </c>
      <c r="H264" t="n">
        <v>0</v>
      </c>
      <c r="I264" t="n">
        <v>0</v>
      </c>
      <c r="J264" t="n">
        <v>0</v>
      </c>
      <c r="K264" t="n">
        <v>0</v>
      </c>
      <c r="L264" t="n">
        <v>0</v>
      </c>
      <c r="M264" t="n">
        <v>0</v>
      </c>
      <c r="N264" t="n">
        <v>0</v>
      </c>
      <c r="O264" t="n">
        <v>0</v>
      </c>
      <c r="P264" t="n">
        <v>0</v>
      </c>
      <c r="Q264" t="n">
        <v>0</v>
      </c>
      <c r="R264" s="2" t="inlineStr"/>
    </row>
    <row r="265" ht="15" customHeight="1">
      <c r="A265" t="inlineStr">
        <is>
          <t>A 14128-2023</t>
        </is>
      </c>
      <c r="B265" s="1" t="n">
        <v>45009</v>
      </c>
      <c r="C265" s="1" t="n">
        <v>45935</v>
      </c>
      <c r="D265" t="inlineStr">
        <is>
          <t>NORRBOTTENS LÄN</t>
        </is>
      </c>
      <c r="E265" t="inlineStr">
        <is>
          <t>LULEÅ</t>
        </is>
      </c>
      <c r="G265" t="n">
        <v>1.2</v>
      </c>
      <c r="H265" t="n">
        <v>0</v>
      </c>
      <c r="I265" t="n">
        <v>0</v>
      </c>
      <c r="J265" t="n">
        <v>0</v>
      </c>
      <c r="K265" t="n">
        <v>0</v>
      </c>
      <c r="L265" t="n">
        <v>0</v>
      </c>
      <c r="M265" t="n">
        <v>0</v>
      </c>
      <c r="N265" t="n">
        <v>0</v>
      </c>
      <c r="O265" t="n">
        <v>0</v>
      </c>
      <c r="P265" t="n">
        <v>0</v>
      </c>
      <c r="Q265" t="n">
        <v>0</v>
      </c>
      <c r="R265" s="2" t="inlineStr"/>
    </row>
    <row r="266" ht="15" customHeight="1">
      <c r="A266" t="inlineStr">
        <is>
          <t>A 14193-2025</t>
        </is>
      </c>
      <c r="B266" s="1" t="n">
        <v>45740.56127314815</v>
      </c>
      <c r="C266" s="1" t="n">
        <v>45935</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14195-2025</t>
        </is>
      </c>
      <c r="B267" s="1" t="n">
        <v>45740.56263888889</v>
      </c>
      <c r="C267" s="1" t="n">
        <v>45935</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46469-2025</t>
        </is>
      </c>
      <c r="B268" s="1" t="n">
        <v>45925.68186342593</v>
      </c>
      <c r="C268" s="1" t="n">
        <v>45935</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46117-2025</t>
        </is>
      </c>
      <c r="B269" s="1" t="n">
        <v>45924.5737962963</v>
      </c>
      <c r="C269" s="1" t="n">
        <v>45935</v>
      </c>
      <c r="D269" t="inlineStr">
        <is>
          <t>NORRBOTTENS LÄN</t>
        </is>
      </c>
      <c r="E269" t="inlineStr">
        <is>
          <t>LULEÅ</t>
        </is>
      </c>
      <c r="G269" t="n">
        <v>1.9</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45935</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38434-2025</t>
        </is>
      </c>
      <c r="B271" s="1" t="n">
        <v>45883.64178240741</v>
      </c>
      <c r="C271" s="1" t="n">
        <v>45935</v>
      </c>
      <c r="D271" t="inlineStr">
        <is>
          <t>NORRBOTTENS LÄN</t>
        </is>
      </c>
      <c r="E271" t="inlineStr">
        <is>
          <t>LULEÅ</t>
        </is>
      </c>
      <c r="G271" t="n">
        <v>11.4</v>
      </c>
      <c r="H271" t="n">
        <v>0</v>
      </c>
      <c r="I271" t="n">
        <v>0</v>
      </c>
      <c r="J271" t="n">
        <v>0</v>
      </c>
      <c r="K271" t="n">
        <v>0</v>
      </c>
      <c r="L271" t="n">
        <v>0</v>
      </c>
      <c r="M271" t="n">
        <v>0</v>
      </c>
      <c r="N271" t="n">
        <v>0</v>
      </c>
      <c r="O271" t="n">
        <v>0</v>
      </c>
      <c r="P271" t="n">
        <v>0</v>
      </c>
      <c r="Q271" t="n">
        <v>0</v>
      </c>
      <c r="R271" s="2" t="inlineStr"/>
    </row>
    <row r="272" ht="15" customHeight="1">
      <c r="A272" t="inlineStr">
        <is>
          <t>A 46430-2025</t>
        </is>
      </c>
      <c r="B272" s="1" t="n">
        <v>45925.61494212963</v>
      </c>
      <c r="C272" s="1" t="n">
        <v>45935</v>
      </c>
      <c r="D272" t="inlineStr">
        <is>
          <t>NORRBOTTENS LÄN</t>
        </is>
      </c>
      <c r="E272" t="inlineStr">
        <is>
          <t>LULEÅ</t>
        </is>
      </c>
      <c r="G272" t="n">
        <v>1.7</v>
      </c>
      <c r="H272" t="n">
        <v>0</v>
      </c>
      <c r="I272" t="n">
        <v>0</v>
      </c>
      <c r="J272" t="n">
        <v>0</v>
      </c>
      <c r="K272" t="n">
        <v>0</v>
      </c>
      <c r="L272" t="n">
        <v>0</v>
      </c>
      <c r="M272" t="n">
        <v>0</v>
      </c>
      <c r="N272" t="n">
        <v>0</v>
      </c>
      <c r="O272" t="n">
        <v>0</v>
      </c>
      <c r="P272" t="n">
        <v>0</v>
      </c>
      <c r="Q272" t="n">
        <v>0</v>
      </c>
      <c r="R272" s="2" t="inlineStr"/>
    </row>
    <row r="273" ht="15" customHeight="1">
      <c r="A273" t="inlineStr">
        <is>
          <t>A 19238-2025</t>
        </is>
      </c>
      <c r="B273" s="1" t="n">
        <v>45769.47217592593</v>
      </c>
      <c r="C273" s="1" t="n">
        <v>45935</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5050-2025</t>
        </is>
      </c>
      <c r="B274" s="1" t="n">
        <v>45691.44899305556</v>
      </c>
      <c r="C274" s="1" t="n">
        <v>45935</v>
      </c>
      <c r="D274" t="inlineStr">
        <is>
          <t>NORRBOTTENS LÄN</t>
        </is>
      </c>
      <c r="E274" t="inlineStr">
        <is>
          <t>LULEÅ</t>
        </is>
      </c>
      <c r="G274" t="n">
        <v>3.1</v>
      </c>
      <c r="H274" t="n">
        <v>0</v>
      </c>
      <c r="I274" t="n">
        <v>0</v>
      </c>
      <c r="J274" t="n">
        <v>0</v>
      </c>
      <c r="K274" t="n">
        <v>0</v>
      </c>
      <c r="L274" t="n">
        <v>0</v>
      </c>
      <c r="M274" t="n">
        <v>0</v>
      </c>
      <c r="N274" t="n">
        <v>0</v>
      </c>
      <c r="O274" t="n">
        <v>0</v>
      </c>
      <c r="P274" t="n">
        <v>0</v>
      </c>
      <c r="Q274" t="n">
        <v>0</v>
      </c>
      <c r="R274" s="2" t="inlineStr"/>
    </row>
    <row r="275" ht="15" customHeight="1">
      <c r="A275" t="inlineStr">
        <is>
          <t>A 454-2024</t>
        </is>
      </c>
      <c r="B275" s="1" t="n">
        <v>45296</v>
      </c>
      <c r="C275" s="1" t="n">
        <v>45935</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46344-2025</t>
        </is>
      </c>
      <c r="B276" s="1" t="n">
        <v>45925.46922453704</v>
      </c>
      <c r="C276" s="1" t="n">
        <v>45935</v>
      </c>
      <c r="D276" t="inlineStr">
        <is>
          <t>NORRBOTTENS LÄN</t>
        </is>
      </c>
      <c r="E276" t="inlineStr">
        <is>
          <t>LULEÅ</t>
        </is>
      </c>
      <c r="F276" t="inlineStr">
        <is>
          <t>SCA</t>
        </is>
      </c>
      <c r="G276" t="n">
        <v>13.9</v>
      </c>
      <c r="H276" t="n">
        <v>0</v>
      </c>
      <c r="I276" t="n">
        <v>0</v>
      </c>
      <c r="J276" t="n">
        <v>0</v>
      </c>
      <c r="K276" t="n">
        <v>0</v>
      </c>
      <c r="L276" t="n">
        <v>0</v>
      </c>
      <c r="M276" t="n">
        <v>0</v>
      </c>
      <c r="N276" t="n">
        <v>0</v>
      </c>
      <c r="O276" t="n">
        <v>0</v>
      </c>
      <c r="P276" t="n">
        <v>0</v>
      </c>
      <c r="Q276" t="n">
        <v>0</v>
      </c>
      <c r="R276" s="2" t="inlineStr"/>
    </row>
    <row r="277" ht="15" customHeight="1">
      <c r="A277" t="inlineStr">
        <is>
          <t>A 62701-2022</t>
        </is>
      </c>
      <c r="B277" s="1" t="n">
        <v>44917</v>
      </c>
      <c r="C277" s="1" t="n">
        <v>45935</v>
      </c>
      <c r="D277" t="inlineStr">
        <is>
          <t>NORRBOTTENS LÄN</t>
        </is>
      </c>
      <c r="E277" t="inlineStr">
        <is>
          <t>LULEÅ</t>
        </is>
      </c>
      <c r="G277" t="n">
        <v>0.5</v>
      </c>
      <c r="H277" t="n">
        <v>0</v>
      </c>
      <c r="I277" t="n">
        <v>0</v>
      </c>
      <c r="J277" t="n">
        <v>0</v>
      </c>
      <c r="K277" t="n">
        <v>0</v>
      </c>
      <c r="L277" t="n">
        <v>0</v>
      </c>
      <c r="M277" t="n">
        <v>0</v>
      </c>
      <c r="N277" t="n">
        <v>0</v>
      </c>
      <c r="O277" t="n">
        <v>0</v>
      </c>
      <c r="P277" t="n">
        <v>0</v>
      </c>
      <c r="Q277" t="n">
        <v>0</v>
      </c>
      <c r="R277" s="2" t="inlineStr"/>
    </row>
    <row r="278" ht="15" customHeight="1">
      <c r="A278" t="inlineStr">
        <is>
          <t>A 46060-2025</t>
        </is>
      </c>
      <c r="B278" s="1" t="n">
        <v>45924</v>
      </c>
      <c r="C278" s="1" t="n">
        <v>45935</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25798-2024</t>
        </is>
      </c>
      <c r="B279" s="1" t="n">
        <v>45463</v>
      </c>
      <c r="C279" s="1" t="n">
        <v>45935</v>
      </c>
      <c r="D279" t="inlineStr">
        <is>
          <t>NORRBOTTENS LÄN</t>
        </is>
      </c>
      <c r="E279" t="inlineStr">
        <is>
          <t>LULEÅ</t>
        </is>
      </c>
      <c r="G279" t="n">
        <v>4.9</v>
      </c>
      <c r="H279" t="n">
        <v>0</v>
      </c>
      <c r="I279" t="n">
        <v>0</v>
      </c>
      <c r="J279" t="n">
        <v>0</v>
      </c>
      <c r="K279" t="n">
        <v>0</v>
      </c>
      <c r="L279" t="n">
        <v>0</v>
      </c>
      <c r="M279" t="n">
        <v>0</v>
      </c>
      <c r="N279" t="n">
        <v>0</v>
      </c>
      <c r="O279" t="n">
        <v>0</v>
      </c>
      <c r="P279" t="n">
        <v>0</v>
      </c>
      <c r="Q279" t="n">
        <v>0</v>
      </c>
      <c r="R279" s="2" t="inlineStr"/>
    </row>
    <row r="280" ht="15" customHeight="1">
      <c r="A280" t="inlineStr">
        <is>
          <t>A 14216-2025</t>
        </is>
      </c>
      <c r="B280" s="1" t="n">
        <v>45740.58505787037</v>
      </c>
      <c r="C280" s="1" t="n">
        <v>45935</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2748-2022</t>
        </is>
      </c>
      <c r="B281" s="1" t="n">
        <v>44580</v>
      </c>
      <c r="C281" s="1" t="n">
        <v>45935</v>
      </c>
      <c r="D281" t="inlineStr">
        <is>
          <t>NORRBOTTENS LÄN</t>
        </is>
      </c>
      <c r="E281" t="inlineStr">
        <is>
          <t>LULEÅ</t>
        </is>
      </c>
      <c r="G281" t="n">
        <v>4.7</v>
      </c>
      <c r="H281" t="n">
        <v>0</v>
      </c>
      <c r="I281" t="n">
        <v>0</v>
      </c>
      <c r="J281" t="n">
        <v>0</v>
      </c>
      <c r="K281" t="n">
        <v>0</v>
      </c>
      <c r="L281" t="n">
        <v>0</v>
      </c>
      <c r="M281" t="n">
        <v>0</v>
      </c>
      <c r="N281" t="n">
        <v>0</v>
      </c>
      <c r="O281" t="n">
        <v>0</v>
      </c>
      <c r="P281" t="n">
        <v>0</v>
      </c>
      <c r="Q281" t="n">
        <v>0</v>
      </c>
      <c r="R281" s="2" t="inlineStr"/>
    </row>
    <row r="282" ht="15" customHeight="1">
      <c r="A282" t="inlineStr">
        <is>
          <t>A 804-2025</t>
        </is>
      </c>
      <c r="B282" s="1" t="n">
        <v>45664</v>
      </c>
      <c r="C282" s="1" t="n">
        <v>45935</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814-2025</t>
        </is>
      </c>
      <c r="B283" s="1" t="n">
        <v>45664</v>
      </c>
      <c r="C283" s="1" t="n">
        <v>45935</v>
      </c>
      <c r="D283" t="inlineStr">
        <is>
          <t>NORRBOTTENS LÄN</t>
        </is>
      </c>
      <c r="E283" t="inlineStr">
        <is>
          <t>LULEÅ</t>
        </is>
      </c>
      <c r="G283" t="n">
        <v>3.4</v>
      </c>
      <c r="H283" t="n">
        <v>0</v>
      </c>
      <c r="I283" t="n">
        <v>0</v>
      </c>
      <c r="J283" t="n">
        <v>0</v>
      </c>
      <c r="K283" t="n">
        <v>0</v>
      </c>
      <c r="L283" t="n">
        <v>0</v>
      </c>
      <c r="M283" t="n">
        <v>0</v>
      </c>
      <c r="N283" t="n">
        <v>0</v>
      </c>
      <c r="O283" t="n">
        <v>0</v>
      </c>
      <c r="P283" t="n">
        <v>0</v>
      </c>
      <c r="Q283" t="n">
        <v>0</v>
      </c>
      <c r="R283" s="2" t="inlineStr"/>
    </row>
    <row r="284" ht="15" customHeight="1">
      <c r="A284" t="inlineStr">
        <is>
          <t>A 44680-2021</t>
        </is>
      </c>
      <c r="B284" s="1" t="n">
        <v>44435</v>
      </c>
      <c r="C284" s="1" t="n">
        <v>45935</v>
      </c>
      <c r="D284" t="inlineStr">
        <is>
          <t>NORRBOTTENS LÄN</t>
        </is>
      </c>
      <c r="E284" t="inlineStr">
        <is>
          <t>LULEÅ</t>
        </is>
      </c>
      <c r="G284" t="n">
        <v>6.1</v>
      </c>
      <c r="H284" t="n">
        <v>0</v>
      </c>
      <c r="I284" t="n">
        <v>0</v>
      </c>
      <c r="J284" t="n">
        <v>0</v>
      </c>
      <c r="K284" t="n">
        <v>0</v>
      </c>
      <c r="L284" t="n">
        <v>0</v>
      </c>
      <c r="M284" t="n">
        <v>0</v>
      </c>
      <c r="N284" t="n">
        <v>0</v>
      </c>
      <c r="O284" t="n">
        <v>0</v>
      </c>
      <c r="P284" t="n">
        <v>0</v>
      </c>
      <c r="Q284" t="n">
        <v>0</v>
      </c>
      <c r="R284" s="2" t="inlineStr"/>
    </row>
    <row r="285" ht="15" customHeight="1">
      <c r="A285" t="inlineStr">
        <is>
          <t>A 705-2025</t>
        </is>
      </c>
      <c r="B285" s="1" t="n">
        <v>45663</v>
      </c>
      <c r="C285" s="1" t="n">
        <v>45935</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60130-2024</t>
        </is>
      </c>
      <c r="B286" s="1" t="n">
        <v>45642.59327546296</v>
      </c>
      <c r="C286" s="1" t="n">
        <v>45935</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42854-2024</t>
        </is>
      </c>
      <c r="B287" s="1" t="n">
        <v>45566.64958333333</v>
      </c>
      <c r="C287" s="1" t="n">
        <v>45935</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40697-2024</t>
        </is>
      </c>
      <c r="B288" s="1" t="n">
        <v>45558.41288194444</v>
      </c>
      <c r="C288" s="1" t="n">
        <v>45935</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2208-2024</t>
        </is>
      </c>
      <c r="B289" s="1" t="n">
        <v>45309</v>
      </c>
      <c r="C289" s="1" t="n">
        <v>45935</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17439-2023</t>
        </is>
      </c>
      <c r="B290" s="1" t="n">
        <v>45035.92714120371</v>
      </c>
      <c r="C290" s="1" t="n">
        <v>45935</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29537-2023</t>
        </is>
      </c>
      <c r="B291" s="1" t="n">
        <v>45098</v>
      </c>
      <c r="C291" s="1" t="n">
        <v>45935</v>
      </c>
      <c r="D291" t="inlineStr">
        <is>
          <t>NORRBOTTENS LÄN</t>
        </is>
      </c>
      <c r="E291" t="inlineStr">
        <is>
          <t>LULEÅ</t>
        </is>
      </c>
      <c r="G291" t="n">
        <v>0.3</v>
      </c>
      <c r="H291" t="n">
        <v>0</v>
      </c>
      <c r="I291" t="n">
        <v>0</v>
      </c>
      <c r="J291" t="n">
        <v>0</v>
      </c>
      <c r="K291" t="n">
        <v>0</v>
      </c>
      <c r="L291" t="n">
        <v>0</v>
      </c>
      <c r="M291" t="n">
        <v>0</v>
      </c>
      <c r="N291" t="n">
        <v>0</v>
      </c>
      <c r="O291" t="n">
        <v>0</v>
      </c>
      <c r="P291" t="n">
        <v>0</v>
      </c>
      <c r="Q291" t="n">
        <v>0</v>
      </c>
      <c r="R291" s="2" t="inlineStr"/>
    </row>
    <row r="292" ht="15" customHeight="1">
      <c r="A292" t="inlineStr">
        <is>
          <t>A 45857-2024</t>
        </is>
      </c>
      <c r="B292" s="1" t="n">
        <v>45580.34554398148</v>
      </c>
      <c r="C292" s="1" t="n">
        <v>45935</v>
      </c>
      <c r="D292" t="inlineStr">
        <is>
          <t>NORRBOTTENS LÄN</t>
        </is>
      </c>
      <c r="E292" t="inlineStr">
        <is>
          <t>LULEÅ</t>
        </is>
      </c>
      <c r="G292" t="n">
        <v>4.6</v>
      </c>
      <c r="H292" t="n">
        <v>0</v>
      </c>
      <c r="I292" t="n">
        <v>0</v>
      </c>
      <c r="J292" t="n">
        <v>0</v>
      </c>
      <c r="K292" t="n">
        <v>0</v>
      </c>
      <c r="L292" t="n">
        <v>0</v>
      </c>
      <c r="M292" t="n">
        <v>0</v>
      </c>
      <c r="N292" t="n">
        <v>0</v>
      </c>
      <c r="O292" t="n">
        <v>0</v>
      </c>
      <c r="P292" t="n">
        <v>0</v>
      </c>
      <c r="Q292" t="n">
        <v>0</v>
      </c>
      <c r="R292" s="2" t="inlineStr"/>
    </row>
    <row r="293" ht="15" customHeight="1">
      <c r="A293" t="inlineStr">
        <is>
          <t>A 9449-2023</t>
        </is>
      </c>
      <c r="B293" s="1" t="n">
        <v>44981</v>
      </c>
      <c r="C293" s="1" t="n">
        <v>45935</v>
      </c>
      <c r="D293" t="inlineStr">
        <is>
          <t>NORRBOTTENS LÄN</t>
        </is>
      </c>
      <c r="E293" t="inlineStr">
        <is>
          <t>LULEÅ</t>
        </is>
      </c>
      <c r="G293" t="n">
        <v>6.1</v>
      </c>
      <c r="H293" t="n">
        <v>0</v>
      </c>
      <c r="I293" t="n">
        <v>0</v>
      </c>
      <c r="J293" t="n">
        <v>0</v>
      </c>
      <c r="K293" t="n">
        <v>0</v>
      </c>
      <c r="L293" t="n">
        <v>0</v>
      </c>
      <c r="M293" t="n">
        <v>0</v>
      </c>
      <c r="N293" t="n">
        <v>0</v>
      </c>
      <c r="O293" t="n">
        <v>0</v>
      </c>
      <c r="P293" t="n">
        <v>0</v>
      </c>
      <c r="Q293" t="n">
        <v>0</v>
      </c>
      <c r="R293" s="2" t="inlineStr"/>
    </row>
    <row r="294" ht="15" customHeight="1">
      <c r="A294" t="inlineStr">
        <is>
          <t>A 49401-2022</t>
        </is>
      </c>
      <c r="B294" s="1" t="n">
        <v>44861</v>
      </c>
      <c r="C294" s="1" t="n">
        <v>45935</v>
      </c>
      <c r="D294" t="inlineStr">
        <is>
          <t>NORRBOTTENS LÄN</t>
        </is>
      </c>
      <c r="E294" t="inlineStr">
        <is>
          <t>LULEÅ</t>
        </is>
      </c>
      <c r="G294" t="n">
        <v>8.4</v>
      </c>
      <c r="H294" t="n">
        <v>0</v>
      </c>
      <c r="I294" t="n">
        <v>0</v>
      </c>
      <c r="J294" t="n">
        <v>0</v>
      </c>
      <c r="K294" t="n">
        <v>0</v>
      </c>
      <c r="L294" t="n">
        <v>0</v>
      </c>
      <c r="M294" t="n">
        <v>0</v>
      </c>
      <c r="N294" t="n">
        <v>0</v>
      </c>
      <c r="O294" t="n">
        <v>0</v>
      </c>
      <c r="P294" t="n">
        <v>0</v>
      </c>
      <c r="Q294" t="n">
        <v>0</v>
      </c>
      <c r="R294" s="2" t="inlineStr"/>
    </row>
    <row r="295" ht="15" customHeight="1">
      <c r="A295" t="inlineStr">
        <is>
          <t>A 49018-2023</t>
        </is>
      </c>
      <c r="B295" s="1" t="n">
        <v>45204</v>
      </c>
      <c r="C295" s="1" t="n">
        <v>45935</v>
      </c>
      <c r="D295" t="inlineStr">
        <is>
          <t>NORRBOTTENS LÄN</t>
        </is>
      </c>
      <c r="E295" t="inlineStr">
        <is>
          <t>LULEÅ</t>
        </is>
      </c>
      <c r="G295" t="n">
        <v>2.8</v>
      </c>
      <c r="H295" t="n">
        <v>0</v>
      </c>
      <c r="I295" t="n">
        <v>0</v>
      </c>
      <c r="J295" t="n">
        <v>0</v>
      </c>
      <c r="K295" t="n">
        <v>0</v>
      </c>
      <c r="L295" t="n">
        <v>0</v>
      </c>
      <c r="M295" t="n">
        <v>0</v>
      </c>
      <c r="N295" t="n">
        <v>0</v>
      </c>
      <c r="O295" t="n">
        <v>0</v>
      </c>
      <c r="P295" t="n">
        <v>0</v>
      </c>
      <c r="Q295" t="n">
        <v>0</v>
      </c>
      <c r="R295" s="2" t="inlineStr"/>
    </row>
    <row r="296" ht="15" customHeight="1">
      <c r="A296" t="inlineStr">
        <is>
          <t>A 49727-2022</t>
        </is>
      </c>
      <c r="B296" s="1" t="n">
        <v>44859</v>
      </c>
      <c r="C296" s="1" t="n">
        <v>45935</v>
      </c>
      <c r="D296" t="inlineStr">
        <is>
          <t>NORRBOTTENS LÄN</t>
        </is>
      </c>
      <c r="E296" t="inlineStr">
        <is>
          <t>LULEÅ</t>
        </is>
      </c>
      <c r="G296" t="n">
        <v>3.5</v>
      </c>
      <c r="H296" t="n">
        <v>0</v>
      </c>
      <c r="I296" t="n">
        <v>0</v>
      </c>
      <c r="J296" t="n">
        <v>0</v>
      </c>
      <c r="K296" t="n">
        <v>0</v>
      </c>
      <c r="L296" t="n">
        <v>0</v>
      </c>
      <c r="M296" t="n">
        <v>0</v>
      </c>
      <c r="N296" t="n">
        <v>0</v>
      </c>
      <c r="O296" t="n">
        <v>0</v>
      </c>
      <c r="P296" t="n">
        <v>0</v>
      </c>
      <c r="Q296" t="n">
        <v>0</v>
      </c>
      <c r="R296" s="2" t="inlineStr"/>
    </row>
    <row r="297" ht="15" customHeight="1">
      <c r="A297" t="inlineStr">
        <is>
          <t>A 59682-2023</t>
        </is>
      </c>
      <c r="B297" s="1" t="n">
        <v>45255</v>
      </c>
      <c r="C297" s="1" t="n">
        <v>45935</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35158-2024</t>
        </is>
      </c>
      <c r="B298" s="1" t="n">
        <v>45530.39005787037</v>
      </c>
      <c r="C298" s="1" t="n">
        <v>45935</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6841-2024</t>
        </is>
      </c>
      <c r="B299" s="1" t="n">
        <v>45342</v>
      </c>
      <c r="C299" s="1" t="n">
        <v>45935</v>
      </c>
      <c r="D299" t="inlineStr">
        <is>
          <t>NORRBOTTENS LÄN</t>
        </is>
      </c>
      <c r="E299" t="inlineStr">
        <is>
          <t>LULEÅ</t>
        </is>
      </c>
      <c r="G299" t="n">
        <v>2.8</v>
      </c>
      <c r="H299" t="n">
        <v>0</v>
      </c>
      <c r="I299" t="n">
        <v>0</v>
      </c>
      <c r="J299" t="n">
        <v>0</v>
      </c>
      <c r="K299" t="n">
        <v>0</v>
      </c>
      <c r="L299" t="n">
        <v>0</v>
      </c>
      <c r="M299" t="n">
        <v>0</v>
      </c>
      <c r="N299" t="n">
        <v>0</v>
      </c>
      <c r="O299" t="n">
        <v>0</v>
      </c>
      <c r="P299" t="n">
        <v>0</v>
      </c>
      <c r="Q299" t="n">
        <v>0</v>
      </c>
      <c r="R299" s="2" t="inlineStr"/>
    </row>
    <row r="300" ht="15" customHeight="1">
      <c r="A300" t="inlineStr">
        <is>
          <t>A 17020-2024</t>
        </is>
      </c>
      <c r="B300" s="1" t="n">
        <v>45411</v>
      </c>
      <c r="C300" s="1" t="n">
        <v>45935</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17031-2024</t>
        </is>
      </c>
      <c r="B301" s="1" t="n">
        <v>45411</v>
      </c>
      <c r="C301" s="1" t="n">
        <v>45935</v>
      </c>
      <c r="D301" t="inlineStr">
        <is>
          <t>NORRBOTTENS LÄN</t>
        </is>
      </c>
      <c r="E301" t="inlineStr">
        <is>
          <t>LULEÅ</t>
        </is>
      </c>
      <c r="G301" t="n">
        <v>4.6</v>
      </c>
      <c r="H301" t="n">
        <v>0</v>
      </c>
      <c r="I301" t="n">
        <v>0</v>
      </c>
      <c r="J301" t="n">
        <v>0</v>
      </c>
      <c r="K301" t="n">
        <v>0</v>
      </c>
      <c r="L301" t="n">
        <v>0</v>
      </c>
      <c r="M301" t="n">
        <v>0</v>
      </c>
      <c r="N301" t="n">
        <v>0</v>
      </c>
      <c r="O301" t="n">
        <v>0</v>
      </c>
      <c r="P301" t="n">
        <v>0</v>
      </c>
      <c r="Q301" t="n">
        <v>0</v>
      </c>
      <c r="R301" s="2" t="inlineStr"/>
    </row>
    <row r="302" ht="15" customHeight="1">
      <c r="A302" t="inlineStr">
        <is>
          <t>A 40899-2024</t>
        </is>
      </c>
      <c r="B302" s="1" t="n">
        <v>45558.62070601852</v>
      </c>
      <c r="C302" s="1" t="n">
        <v>45935</v>
      </c>
      <c r="D302" t="inlineStr">
        <is>
          <t>NORRBOTTENS LÄN</t>
        </is>
      </c>
      <c r="E302" t="inlineStr">
        <is>
          <t>LULEÅ</t>
        </is>
      </c>
      <c r="F302" t="inlineStr">
        <is>
          <t>Övriga Aktiebolag</t>
        </is>
      </c>
      <c r="G302" t="n">
        <v>2.6</v>
      </c>
      <c r="H302" t="n">
        <v>0</v>
      </c>
      <c r="I302" t="n">
        <v>0</v>
      </c>
      <c r="J302" t="n">
        <v>0</v>
      </c>
      <c r="K302" t="n">
        <v>0</v>
      </c>
      <c r="L302" t="n">
        <v>0</v>
      </c>
      <c r="M302" t="n">
        <v>0</v>
      </c>
      <c r="N302" t="n">
        <v>0</v>
      </c>
      <c r="O302" t="n">
        <v>0</v>
      </c>
      <c r="P302" t="n">
        <v>0</v>
      </c>
      <c r="Q302" t="n">
        <v>0</v>
      </c>
      <c r="R302" s="2" t="inlineStr"/>
    </row>
    <row r="303" ht="15" customHeight="1">
      <c r="A303" t="inlineStr">
        <is>
          <t>A 31347-2023</t>
        </is>
      </c>
      <c r="B303" s="1" t="n">
        <v>45104</v>
      </c>
      <c r="C303" s="1" t="n">
        <v>45935</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11242-2021</t>
        </is>
      </c>
      <c r="B304" s="1" t="n">
        <v>44263.39423611111</v>
      </c>
      <c r="C304" s="1" t="n">
        <v>45935</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4123-2024</t>
        </is>
      </c>
      <c r="B305" s="1" t="n">
        <v>45323</v>
      </c>
      <c r="C305" s="1" t="n">
        <v>45935</v>
      </c>
      <c r="D305" t="inlineStr">
        <is>
          <t>NORRBOTTENS LÄN</t>
        </is>
      </c>
      <c r="E305" t="inlineStr">
        <is>
          <t>LULEÅ</t>
        </is>
      </c>
      <c r="G305" t="n">
        <v>5.3</v>
      </c>
      <c r="H305" t="n">
        <v>0</v>
      </c>
      <c r="I305" t="n">
        <v>0</v>
      </c>
      <c r="J305" t="n">
        <v>0</v>
      </c>
      <c r="K305" t="n">
        <v>0</v>
      </c>
      <c r="L305" t="n">
        <v>0</v>
      </c>
      <c r="M305" t="n">
        <v>0</v>
      </c>
      <c r="N305" t="n">
        <v>0</v>
      </c>
      <c r="O305" t="n">
        <v>0</v>
      </c>
      <c r="P305" t="n">
        <v>0</v>
      </c>
      <c r="Q305" t="n">
        <v>0</v>
      </c>
      <c r="R305" s="2" t="inlineStr"/>
    </row>
    <row r="306" ht="15" customHeight="1">
      <c r="A306" t="inlineStr">
        <is>
          <t>A 57815-2022</t>
        </is>
      </c>
      <c r="B306" s="1" t="n">
        <v>44897.92459490741</v>
      </c>
      <c r="C306" s="1" t="n">
        <v>45935</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17425-2023</t>
        </is>
      </c>
      <c r="B307" s="1" t="n">
        <v>45035</v>
      </c>
      <c r="C307" s="1" t="n">
        <v>45935</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6986-2025</t>
        </is>
      </c>
      <c r="B308" s="1" t="n">
        <v>45701</v>
      </c>
      <c r="C308" s="1" t="n">
        <v>45935</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54769-2024</t>
        </is>
      </c>
      <c r="B309" s="1" t="n">
        <v>45618.47244212963</v>
      </c>
      <c r="C309" s="1" t="n">
        <v>45935</v>
      </c>
      <c r="D309" t="inlineStr">
        <is>
          <t>NORRBOTTENS LÄN</t>
        </is>
      </c>
      <c r="E309" t="inlineStr">
        <is>
          <t>LULEÅ</t>
        </is>
      </c>
      <c r="G309" t="n">
        <v>8.4</v>
      </c>
      <c r="H309" t="n">
        <v>0</v>
      </c>
      <c r="I309" t="n">
        <v>0</v>
      </c>
      <c r="J309" t="n">
        <v>0</v>
      </c>
      <c r="K309" t="n">
        <v>0</v>
      </c>
      <c r="L309" t="n">
        <v>0</v>
      </c>
      <c r="M309" t="n">
        <v>0</v>
      </c>
      <c r="N309" t="n">
        <v>0</v>
      </c>
      <c r="O309" t="n">
        <v>0</v>
      </c>
      <c r="P309" t="n">
        <v>0</v>
      </c>
      <c r="Q309" t="n">
        <v>0</v>
      </c>
      <c r="R309" s="2" t="inlineStr"/>
    </row>
    <row r="310" ht="15" customHeight="1">
      <c r="A310" t="inlineStr">
        <is>
          <t>A 52698-2024</t>
        </is>
      </c>
      <c r="B310" s="1" t="n">
        <v>45610</v>
      </c>
      <c r="C310" s="1" t="n">
        <v>45935</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4920-2025</t>
        </is>
      </c>
      <c r="B311" s="1" t="n">
        <v>45688.68412037037</v>
      </c>
      <c r="C311" s="1" t="n">
        <v>45935</v>
      </c>
      <c r="D311" t="inlineStr">
        <is>
          <t>NORRBOTTENS LÄN</t>
        </is>
      </c>
      <c r="E311" t="inlineStr">
        <is>
          <t>LULEÅ</t>
        </is>
      </c>
      <c r="G311" t="n">
        <v>6.4</v>
      </c>
      <c r="H311" t="n">
        <v>0</v>
      </c>
      <c r="I311" t="n">
        <v>0</v>
      </c>
      <c r="J311" t="n">
        <v>0</v>
      </c>
      <c r="K311" t="n">
        <v>0</v>
      </c>
      <c r="L311" t="n">
        <v>0</v>
      </c>
      <c r="M311" t="n">
        <v>0</v>
      </c>
      <c r="N311" t="n">
        <v>0</v>
      </c>
      <c r="O311" t="n">
        <v>0</v>
      </c>
      <c r="P311" t="n">
        <v>0</v>
      </c>
      <c r="Q311" t="n">
        <v>0</v>
      </c>
      <c r="R311" s="2" t="inlineStr"/>
    </row>
    <row r="312" ht="15" customHeight="1">
      <c r="A312" t="inlineStr">
        <is>
          <t>A 38936-2025</t>
        </is>
      </c>
      <c r="B312" s="1" t="n">
        <v>45884</v>
      </c>
      <c r="C312" s="1" t="n">
        <v>45935</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4558-2024</t>
        </is>
      </c>
      <c r="B313" s="1" t="n">
        <v>45327</v>
      </c>
      <c r="C313" s="1" t="n">
        <v>45935</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57823-2022</t>
        </is>
      </c>
      <c r="B314" s="1" t="n">
        <v>44897</v>
      </c>
      <c r="C314" s="1" t="n">
        <v>45935</v>
      </c>
      <c r="D314" t="inlineStr">
        <is>
          <t>NORRBOTTENS LÄN</t>
        </is>
      </c>
      <c r="E314" t="inlineStr">
        <is>
          <t>LULEÅ</t>
        </is>
      </c>
      <c r="G314" t="n">
        <v>6.7</v>
      </c>
      <c r="H314" t="n">
        <v>0</v>
      </c>
      <c r="I314" t="n">
        <v>0</v>
      </c>
      <c r="J314" t="n">
        <v>0</v>
      </c>
      <c r="K314" t="n">
        <v>0</v>
      </c>
      <c r="L314" t="n">
        <v>0</v>
      </c>
      <c r="M314" t="n">
        <v>0</v>
      </c>
      <c r="N314" t="n">
        <v>0</v>
      </c>
      <c r="O314" t="n">
        <v>0</v>
      </c>
      <c r="P314" t="n">
        <v>0</v>
      </c>
      <c r="Q314" t="n">
        <v>0</v>
      </c>
      <c r="R314" s="2" t="inlineStr"/>
    </row>
    <row r="315" ht="15" customHeight="1">
      <c r="A315" t="inlineStr">
        <is>
          <t>A 57825-2022</t>
        </is>
      </c>
      <c r="B315" s="1" t="n">
        <v>44897</v>
      </c>
      <c r="C315" s="1" t="n">
        <v>45935</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8229-2024</t>
        </is>
      </c>
      <c r="B316" s="1" t="n">
        <v>45351</v>
      </c>
      <c r="C316" s="1" t="n">
        <v>45935</v>
      </c>
      <c r="D316" t="inlineStr">
        <is>
          <t>NORRBOTTENS LÄN</t>
        </is>
      </c>
      <c r="E316" t="inlineStr">
        <is>
          <t>LULEÅ</t>
        </is>
      </c>
      <c r="G316" t="n">
        <v>14.8</v>
      </c>
      <c r="H316" t="n">
        <v>0</v>
      </c>
      <c r="I316" t="n">
        <v>0</v>
      </c>
      <c r="J316" t="n">
        <v>0</v>
      </c>
      <c r="K316" t="n">
        <v>0</v>
      </c>
      <c r="L316" t="n">
        <v>0</v>
      </c>
      <c r="M316" t="n">
        <v>0</v>
      </c>
      <c r="N316" t="n">
        <v>0</v>
      </c>
      <c r="O316" t="n">
        <v>0</v>
      </c>
      <c r="P316" t="n">
        <v>0</v>
      </c>
      <c r="Q316" t="n">
        <v>0</v>
      </c>
      <c r="R316" s="2" t="inlineStr"/>
    </row>
    <row r="317" ht="15" customHeight="1">
      <c r="A317" t="inlineStr">
        <is>
          <t>A 51668-2022</t>
        </is>
      </c>
      <c r="B317" s="1" t="n">
        <v>44867</v>
      </c>
      <c r="C317" s="1" t="n">
        <v>45935</v>
      </c>
      <c r="D317" t="inlineStr">
        <is>
          <t>NORRBOTTENS LÄN</t>
        </is>
      </c>
      <c r="E317" t="inlineStr">
        <is>
          <t>LULEÅ</t>
        </is>
      </c>
      <c r="G317" t="n">
        <v>2.6</v>
      </c>
      <c r="H317" t="n">
        <v>0</v>
      </c>
      <c r="I317" t="n">
        <v>0</v>
      </c>
      <c r="J317" t="n">
        <v>0</v>
      </c>
      <c r="K317" t="n">
        <v>0</v>
      </c>
      <c r="L317" t="n">
        <v>0</v>
      </c>
      <c r="M317" t="n">
        <v>0</v>
      </c>
      <c r="N317" t="n">
        <v>0</v>
      </c>
      <c r="O317" t="n">
        <v>0</v>
      </c>
      <c r="P317" t="n">
        <v>0</v>
      </c>
      <c r="Q317" t="n">
        <v>0</v>
      </c>
      <c r="R317" s="2" t="inlineStr"/>
    </row>
    <row r="318" ht="15" customHeight="1">
      <c r="A318" t="inlineStr">
        <is>
          <t>A 27303-2022</t>
        </is>
      </c>
      <c r="B318" s="1" t="n">
        <v>44741</v>
      </c>
      <c r="C318" s="1" t="n">
        <v>45935</v>
      </c>
      <c r="D318" t="inlineStr">
        <is>
          <t>NORRBOTTENS LÄN</t>
        </is>
      </c>
      <c r="E318" t="inlineStr">
        <is>
          <t>LULEÅ</t>
        </is>
      </c>
      <c r="G318" t="n">
        <v>1.5</v>
      </c>
      <c r="H318" t="n">
        <v>0</v>
      </c>
      <c r="I318" t="n">
        <v>0</v>
      </c>
      <c r="J318" t="n">
        <v>0</v>
      </c>
      <c r="K318" t="n">
        <v>0</v>
      </c>
      <c r="L318" t="n">
        <v>0</v>
      </c>
      <c r="M318" t="n">
        <v>0</v>
      </c>
      <c r="N318" t="n">
        <v>0</v>
      </c>
      <c r="O318" t="n">
        <v>0</v>
      </c>
      <c r="P318" t="n">
        <v>0</v>
      </c>
      <c r="Q318" t="n">
        <v>0</v>
      </c>
      <c r="R318" s="2" t="inlineStr"/>
    </row>
    <row r="319" ht="15" customHeight="1">
      <c r="A319" t="inlineStr">
        <is>
          <t>A 10885-2023</t>
        </is>
      </c>
      <c r="B319" s="1" t="n">
        <v>44985</v>
      </c>
      <c r="C319" s="1" t="n">
        <v>45935</v>
      </c>
      <c r="D319" t="inlineStr">
        <is>
          <t>NORRBOTTENS LÄN</t>
        </is>
      </c>
      <c r="E319" t="inlineStr">
        <is>
          <t>LULEÅ</t>
        </is>
      </c>
      <c r="G319" t="n">
        <v>3.1</v>
      </c>
      <c r="H319" t="n">
        <v>0</v>
      </c>
      <c r="I319" t="n">
        <v>0</v>
      </c>
      <c r="J319" t="n">
        <v>0</v>
      </c>
      <c r="K319" t="n">
        <v>0</v>
      </c>
      <c r="L319" t="n">
        <v>0</v>
      </c>
      <c r="M319" t="n">
        <v>0</v>
      </c>
      <c r="N319" t="n">
        <v>0</v>
      </c>
      <c r="O319" t="n">
        <v>0</v>
      </c>
      <c r="P319" t="n">
        <v>0</v>
      </c>
      <c r="Q319" t="n">
        <v>0</v>
      </c>
      <c r="R319" s="2" t="inlineStr"/>
    </row>
    <row r="320" ht="15" customHeight="1">
      <c r="A320" t="inlineStr">
        <is>
          <t>A 20723-2021</t>
        </is>
      </c>
      <c r="B320" s="1" t="n">
        <v>44316.52800925926</v>
      </c>
      <c r="C320" s="1" t="n">
        <v>45935</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19983-2025</t>
        </is>
      </c>
      <c r="B321" s="1" t="n">
        <v>45771.71908564815</v>
      </c>
      <c r="C321" s="1" t="n">
        <v>45935</v>
      </c>
      <c r="D321" t="inlineStr">
        <is>
          <t>NORRBOTTENS LÄN</t>
        </is>
      </c>
      <c r="E321" t="inlineStr">
        <is>
          <t>LULEÅ</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806-2025</t>
        </is>
      </c>
      <c r="B322" s="1" t="n">
        <v>45664</v>
      </c>
      <c r="C322" s="1" t="n">
        <v>45935</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817-2025</t>
        </is>
      </c>
      <c r="B323" s="1" t="n">
        <v>45664</v>
      </c>
      <c r="C323" s="1" t="n">
        <v>45935</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59609-2024</t>
        </is>
      </c>
      <c r="B324" s="1" t="n">
        <v>45638.75081018519</v>
      </c>
      <c r="C324" s="1" t="n">
        <v>45935</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31039-2024</t>
        </is>
      </c>
      <c r="B325" s="1" t="n">
        <v>45501.91951388889</v>
      </c>
      <c r="C325" s="1" t="n">
        <v>45935</v>
      </c>
      <c r="D325" t="inlineStr">
        <is>
          <t>NORRBOTTENS LÄN</t>
        </is>
      </c>
      <c r="E325" t="inlineStr">
        <is>
          <t>LULEÅ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700-2025</t>
        </is>
      </c>
      <c r="B326" s="1" t="n">
        <v>45663</v>
      </c>
      <c r="C326" s="1" t="n">
        <v>45935</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38714-2025</t>
        </is>
      </c>
      <c r="B327" s="1" t="n">
        <v>45886.34490740741</v>
      </c>
      <c r="C327" s="1" t="n">
        <v>45935</v>
      </c>
      <c r="D327" t="inlineStr">
        <is>
          <t>NORRBOTTENS LÄN</t>
        </is>
      </c>
      <c r="E327" t="inlineStr">
        <is>
          <t>LULEÅ</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61557-2024</t>
        </is>
      </c>
      <c r="B328" s="1" t="n">
        <v>45646.61081018519</v>
      </c>
      <c r="C328" s="1" t="n">
        <v>45935</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4941-2025</t>
        </is>
      </c>
      <c r="B329" s="1" t="n">
        <v>45688.6995949074</v>
      </c>
      <c r="C329" s="1" t="n">
        <v>45935</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51277-2024</t>
        </is>
      </c>
      <c r="B330" s="1" t="n">
        <v>45603.74953703704</v>
      </c>
      <c r="C330" s="1" t="n">
        <v>45935</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43861-2023</t>
        </is>
      </c>
      <c r="B331" s="1" t="n">
        <v>45187</v>
      </c>
      <c r="C331" s="1" t="n">
        <v>45935</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4547-2025</t>
        </is>
      </c>
      <c r="B332" s="1" t="n">
        <v>45687.40212962963</v>
      </c>
      <c r="C332" s="1" t="n">
        <v>45935</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10377-2025</t>
        </is>
      </c>
      <c r="B333" s="1" t="n">
        <v>45720.5630787037</v>
      </c>
      <c r="C333" s="1" t="n">
        <v>45935</v>
      </c>
      <c r="D333" t="inlineStr">
        <is>
          <t>NORRBOTTENS LÄN</t>
        </is>
      </c>
      <c r="E333" t="inlineStr">
        <is>
          <t>LULEÅ</t>
        </is>
      </c>
      <c r="G333" t="n">
        <v>3</v>
      </c>
      <c r="H333" t="n">
        <v>0</v>
      </c>
      <c r="I333" t="n">
        <v>0</v>
      </c>
      <c r="J333" t="n">
        <v>0</v>
      </c>
      <c r="K333" t="n">
        <v>0</v>
      </c>
      <c r="L333" t="n">
        <v>0</v>
      </c>
      <c r="M333" t="n">
        <v>0</v>
      </c>
      <c r="N333" t="n">
        <v>0</v>
      </c>
      <c r="O333" t="n">
        <v>0</v>
      </c>
      <c r="P333" t="n">
        <v>0</v>
      </c>
      <c r="Q333" t="n">
        <v>0</v>
      </c>
      <c r="R333" s="2" t="inlineStr"/>
    </row>
    <row r="334" ht="15" customHeight="1">
      <c r="A334" t="inlineStr">
        <is>
          <t>A 9286-2023</t>
        </is>
      </c>
      <c r="B334" s="1" t="n">
        <v>44977</v>
      </c>
      <c r="C334" s="1" t="n">
        <v>45935</v>
      </c>
      <c r="D334" t="inlineStr">
        <is>
          <t>NORRBOTTENS LÄN</t>
        </is>
      </c>
      <c r="E334" t="inlineStr">
        <is>
          <t>LULEÅ</t>
        </is>
      </c>
      <c r="G334" t="n">
        <v>1.7</v>
      </c>
      <c r="H334" t="n">
        <v>0</v>
      </c>
      <c r="I334" t="n">
        <v>0</v>
      </c>
      <c r="J334" t="n">
        <v>0</v>
      </c>
      <c r="K334" t="n">
        <v>0</v>
      </c>
      <c r="L334" t="n">
        <v>0</v>
      </c>
      <c r="M334" t="n">
        <v>0</v>
      </c>
      <c r="N334" t="n">
        <v>0</v>
      </c>
      <c r="O334" t="n">
        <v>0</v>
      </c>
      <c r="P334" t="n">
        <v>0</v>
      </c>
      <c r="Q334" t="n">
        <v>0</v>
      </c>
      <c r="R334" s="2" t="inlineStr"/>
    </row>
    <row r="335" ht="15" customHeight="1">
      <c r="A335" t="inlineStr">
        <is>
          <t>A 9289-2023</t>
        </is>
      </c>
      <c r="B335" s="1" t="n">
        <v>44977</v>
      </c>
      <c r="C335" s="1" t="n">
        <v>45935</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16052-2025</t>
        </is>
      </c>
      <c r="B336" s="1" t="n">
        <v>45749.64261574074</v>
      </c>
      <c r="C336" s="1" t="n">
        <v>45935</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9706-2022</t>
        </is>
      </c>
      <c r="B337" s="1" t="n">
        <v>44617</v>
      </c>
      <c r="C337" s="1" t="n">
        <v>45935</v>
      </c>
      <c r="D337" t="inlineStr">
        <is>
          <t>NORRBOTTENS LÄN</t>
        </is>
      </c>
      <c r="E337" t="inlineStr">
        <is>
          <t>LULEÅ</t>
        </is>
      </c>
      <c r="G337" t="n">
        <v>1.7</v>
      </c>
      <c r="H337" t="n">
        <v>0</v>
      </c>
      <c r="I337" t="n">
        <v>0</v>
      </c>
      <c r="J337" t="n">
        <v>0</v>
      </c>
      <c r="K337" t="n">
        <v>0</v>
      </c>
      <c r="L337" t="n">
        <v>0</v>
      </c>
      <c r="M337" t="n">
        <v>0</v>
      </c>
      <c r="N337" t="n">
        <v>0</v>
      </c>
      <c r="O337" t="n">
        <v>0</v>
      </c>
      <c r="P337" t="n">
        <v>0</v>
      </c>
      <c r="Q337" t="n">
        <v>0</v>
      </c>
      <c r="R337" s="2" t="inlineStr"/>
    </row>
    <row r="338" ht="15" customHeight="1">
      <c r="A338" t="inlineStr">
        <is>
          <t>A 9274-2023</t>
        </is>
      </c>
      <c r="B338" s="1" t="n">
        <v>44977</v>
      </c>
      <c r="C338" s="1" t="n">
        <v>45935</v>
      </c>
      <c r="D338" t="inlineStr">
        <is>
          <t>NORRBOTTENS LÄN</t>
        </is>
      </c>
      <c r="E338" t="inlineStr">
        <is>
          <t>LULEÅ</t>
        </is>
      </c>
      <c r="G338" t="n">
        <v>1.1</v>
      </c>
      <c r="H338" t="n">
        <v>0</v>
      </c>
      <c r="I338" t="n">
        <v>0</v>
      </c>
      <c r="J338" t="n">
        <v>0</v>
      </c>
      <c r="K338" t="n">
        <v>0</v>
      </c>
      <c r="L338" t="n">
        <v>0</v>
      </c>
      <c r="M338" t="n">
        <v>0</v>
      </c>
      <c r="N338" t="n">
        <v>0</v>
      </c>
      <c r="O338" t="n">
        <v>0</v>
      </c>
      <c r="P338" t="n">
        <v>0</v>
      </c>
      <c r="Q338" t="n">
        <v>0</v>
      </c>
      <c r="R338" s="2" t="inlineStr"/>
    </row>
    <row r="339" ht="15" customHeight="1">
      <c r="A339" t="inlineStr">
        <is>
          <t>A 9278-2023</t>
        </is>
      </c>
      <c r="B339" s="1" t="n">
        <v>44977</v>
      </c>
      <c r="C339" s="1" t="n">
        <v>45935</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49746-2022</t>
        </is>
      </c>
      <c r="B340" s="1" t="n">
        <v>44859</v>
      </c>
      <c r="C340" s="1" t="n">
        <v>45935</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38712-2025</t>
        </is>
      </c>
      <c r="B341" s="1" t="n">
        <v>45886.34465277778</v>
      </c>
      <c r="C341" s="1" t="n">
        <v>45935</v>
      </c>
      <c r="D341" t="inlineStr">
        <is>
          <t>NORRBOTTENS LÄN</t>
        </is>
      </c>
      <c r="E341" t="inlineStr">
        <is>
          <t>LULEÅ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11901-2025</t>
        </is>
      </c>
      <c r="B342" s="1" t="n">
        <v>45727</v>
      </c>
      <c r="C342" s="1" t="n">
        <v>45935</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42822-2024</t>
        </is>
      </c>
      <c r="B343" s="1" t="n">
        <v>45566.59611111111</v>
      </c>
      <c r="C343" s="1" t="n">
        <v>45935</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15848-2022</t>
        </is>
      </c>
      <c r="B344" s="1" t="n">
        <v>44664</v>
      </c>
      <c r="C344" s="1" t="n">
        <v>45935</v>
      </c>
      <c r="D344" t="inlineStr">
        <is>
          <t>NORRBOTTENS LÄN</t>
        </is>
      </c>
      <c r="E344" t="inlineStr">
        <is>
          <t>LULEÅ</t>
        </is>
      </c>
      <c r="G344" t="n">
        <v>1.5</v>
      </c>
      <c r="H344" t="n">
        <v>0</v>
      </c>
      <c r="I344" t="n">
        <v>0</v>
      </c>
      <c r="J344" t="n">
        <v>0</v>
      </c>
      <c r="K344" t="n">
        <v>0</v>
      </c>
      <c r="L344" t="n">
        <v>0</v>
      </c>
      <c r="M344" t="n">
        <v>0</v>
      </c>
      <c r="N344" t="n">
        <v>0</v>
      </c>
      <c r="O344" t="n">
        <v>0</v>
      </c>
      <c r="P344" t="n">
        <v>0</v>
      </c>
      <c r="Q344" t="n">
        <v>0</v>
      </c>
      <c r="R344" s="2" t="inlineStr"/>
    </row>
    <row r="345" ht="15" customHeight="1">
      <c r="A345" t="inlineStr">
        <is>
          <t>A 41707-2024</t>
        </is>
      </c>
      <c r="B345" s="1" t="n">
        <v>45560.69846064815</v>
      </c>
      <c r="C345" s="1" t="n">
        <v>45935</v>
      </c>
      <c r="D345" t="inlineStr">
        <is>
          <t>NORRBOTTENS LÄN</t>
        </is>
      </c>
      <c r="E345" t="inlineStr">
        <is>
          <t>LULEÅ</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41708-2024</t>
        </is>
      </c>
      <c r="B346" s="1" t="n">
        <v>45560.6984837963</v>
      </c>
      <c r="C346" s="1" t="n">
        <v>45935</v>
      </c>
      <c r="D346" t="inlineStr">
        <is>
          <t>NORRBOTTENS LÄN</t>
        </is>
      </c>
      <c r="E346" t="inlineStr">
        <is>
          <t>LULEÅ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28498-2024</t>
        </is>
      </c>
      <c r="B347" s="1" t="n">
        <v>45477.92725694444</v>
      </c>
      <c r="C347" s="1" t="n">
        <v>45935</v>
      </c>
      <c r="D347" t="inlineStr">
        <is>
          <t>NORRBOTTENS LÄN</t>
        </is>
      </c>
      <c r="E347" t="inlineStr">
        <is>
          <t>LULEÅ</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7393-2023</t>
        </is>
      </c>
      <c r="B348" s="1" t="n">
        <v>44966</v>
      </c>
      <c r="C348" s="1" t="n">
        <v>45935</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13068-2024</t>
        </is>
      </c>
      <c r="B349" s="1" t="n">
        <v>45385</v>
      </c>
      <c r="C349" s="1" t="n">
        <v>45935</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8521-2022</t>
        </is>
      </c>
      <c r="B350" s="1" t="n">
        <v>44610</v>
      </c>
      <c r="C350" s="1" t="n">
        <v>45935</v>
      </c>
      <c r="D350" t="inlineStr">
        <is>
          <t>NORRBOTTENS LÄN</t>
        </is>
      </c>
      <c r="E350" t="inlineStr">
        <is>
          <t>LULEÅ</t>
        </is>
      </c>
      <c r="G350" t="n">
        <v>2.2</v>
      </c>
      <c r="H350" t="n">
        <v>0</v>
      </c>
      <c r="I350" t="n">
        <v>0</v>
      </c>
      <c r="J350" t="n">
        <v>0</v>
      </c>
      <c r="K350" t="n">
        <v>0</v>
      </c>
      <c r="L350" t="n">
        <v>0</v>
      </c>
      <c r="M350" t="n">
        <v>0</v>
      </c>
      <c r="N350" t="n">
        <v>0</v>
      </c>
      <c r="O350" t="n">
        <v>0</v>
      </c>
      <c r="P350" t="n">
        <v>0</v>
      </c>
      <c r="Q350" t="n">
        <v>0</v>
      </c>
      <c r="R350" s="2" t="inlineStr"/>
    </row>
    <row r="351" ht="15" customHeight="1">
      <c r="A351" t="inlineStr">
        <is>
          <t>A 14159-2024</t>
        </is>
      </c>
      <c r="B351" s="1" t="n">
        <v>45392.92930555555</v>
      </c>
      <c r="C351" s="1" t="n">
        <v>45935</v>
      </c>
      <c r="D351" t="inlineStr">
        <is>
          <t>NORRBOTTENS LÄN</t>
        </is>
      </c>
      <c r="E351" t="inlineStr">
        <is>
          <t>LULEÅ</t>
        </is>
      </c>
      <c r="G351" t="n">
        <v>33.9</v>
      </c>
      <c r="H351" t="n">
        <v>0</v>
      </c>
      <c r="I351" t="n">
        <v>0</v>
      </c>
      <c r="J351" t="n">
        <v>0</v>
      </c>
      <c r="K351" t="n">
        <v>0</v>
      </c>
      <c r="L351" t="n">
        <v>0</v>
      </c>
      <c r="M351" t="n">
        <v>0</v>
      </c>
      <c r="N351" t="n">
        <v>0</v>
      </c>
      <c r="O351" t="n">
        <v>0</v>
      </c>
      <c r="P351" t="n">
        <v>0</v>
      </c>
      <c r="Q351" t="n">
        <v>0</v>
      </c>
      <c r="R351" s="2" t="inlineStr"/>
    </row>
    <row r="352" ht="15" customHeight="1">
      <c r="A352" t="inlineStr">
        <is>
          <t>A 54879-2021</t>
        </is>
      </c>
      <c r="B352" s="1" t="n">
        <v>44473</v>
      </c>
      <c r="C352" s="1" t="n">
        <v>45935</v>
      </c>
      <c r="D352" t="inlineStr">
        <is>
          <t>NORRBOTTENS LÄN</t>
        </is>
      </c>
      <c r="E352" t="inlineStr">
        <is>
          <t>LULEÅ</t>
        </is>
      </c>
      <c r="G352" t="n">
        <v>1.2</v>
      </c>
      <c r="H352" t="n">
        <v>0</v>
      </c>
      <c r="I352" t="n">
        <v>0</v>
      </c>
      <c r="J352" t="n">
        <v>0</v>
      </c>
      <c r="K352" t="n">
        <v>0</v>
      </c>
      <c r="L352" t="n">
        <v>0</v>
      </c>
      <c r="M352" t="n">
        <v>0</v>
      </c>
      <c r="N352" t="n">
        <v>0</v>
      </c>
      <c r="O352" t="n">
        <v>0</v>
      </c>
      <c r="P352" t="n">
        <v>0</v>
      </c>
      <c r="Q352" t="n">
        <v>0</v>
      </c>
      <c r="R352" s="2" t="inlineStr"/>
    </row>
    <row r="353" ht="15" customHeight="1">
      <c r="A353" t="inlineStr">
        <is>
          <t>A 57816-2022</t>
        </is>
      </c>
      <c r="B353" s="1" t="n">
        <v>44897.92487268519</v>
      </c>
      <c r="C353" s="1" t="n">
        <v>45935</v>
      </c>
      <c r="D353" t="inlineStr">
        <is>
          <t>NORRBOTTENS LÄN</t>
        </is>
      </c>
      <c r="E353" t="inlineStr">
        <is>
          <t>LULEÅ</t>
        </is>
      </c>
      <c r="G353" t="n">
        <v>3.4</v>
      </c>
      <c r="H353" t="n">
        <v>0</v>
      </c>
      <c r="I353" t="n">
        <v>0</v>
      </c>
      <c r="J353" t="n">
        <v>0</v>
      </c>
      <c r="K353" t="n">
        <v>0</v>
      </c>
      <c r="L353" t="n">
        <v>0</v>
      </c>
      <c r="M353" t="n">
        <v>0</v>
      </c>
      <c r="N353" t="n">
        <v>0</v>
      </c>
      <c r="O353" t="n">
        <v>0</v>
      </c>
      <c r="P353" t="n">
        <v>0</v>
      </c>
      <c r="Q353" t="n">
        <v>0</v>
      </c>
      <c r="R353" s="2" t="inlineStr"/>
    </row>
    <row r="354" ht="15" customHeight="1">
      <c r="A354" t="inlineStr">
        <is>
          <t>A 22017-2024</t>
        </is>
      </c>
      <c r="B354" s="1" t="n">
        <v>45443</v>
      </c>
      <c r="C354" s="1" t="n">
        <v>45935</v>
      </c>
      <c r="D354" t="inlineStr">
        <is>
          <t>NORRBOTTENS LÄN</t>
        </is>
      </c>
      <c r="E354" t="inlineStr">
        <is>
          <t>LULEÅ</t>
        </is>
      </c>
      <c r="G354" t="n">
        <v>0.2</v>
      </c>
      <c r="H354" t="n">
        <v>0</v>
      </c>
      <c r="I354" t="n">
        <v>0</v>
      </c>
      <c r="J354" t="n">
        <v>0</v>
      </c>
      <c r="K354" t="n">
        <v>0</v>
      </c>
      <c r="L354" t="n">
        <v>0</v>
      </c>
      <c r="M354" t="n">
        <v>0</v>
      </c>
      <c r="N354" t="n">
        <v>0</v>
      </c>
      <c r="O354" t="n">
        <v>0</v>
      </c>
      <c r="P354" t="n">
        <v>0</v>
      </c>
      <c r="Q354" t="n">
        <v>0</v>
      </c>
      <c r="R354" s="2" t="inlineStr"/>
    </row>
    <row r="355" ht="15" customHeight="1">
      <c r="A355" t="inlineStr">
        <is>
          <t>A 7390-2023</t>
        </is>
      </c>
      <c r="B355" s="1" t="n">
        <v>44966</v>
      </c>
      <c r="C355" s="1" t="n">
        <v>45935</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47918-2024</t>
        </is>
      </c>
      <c r="B356" s="1" t="n">
        <v>45589.34434027778</v>
      </c>
      <c r="C356" s="1" t="n">
        <v>45935</v>
      </c>
      <c r="D356" t="inlineStr">
        <is>
          <t>NORRBOTTENS LÄN</t>
        </is>
      </c>
      <c r="E356" t="inlineStr">
        <is>
          <t>LULEÅ</t>
        </is>
      </c>
      <c r="F356" t="inlineStr">
        <is>
          <t>Naturvårdsverket</t>
        </is>
      </c>
      <c r="G356" t="n">
        <v>6.2</v>
      </c>
      <c r="H356" t="n">
        <v>0</v>
      </c>
      <c r="I356" t="n">
        <v>0</v>
      </c>
      <c r="J356" t="n">
        <v>0</v>
      </c>
      <c r="K356" t="n">
        <v>0</v>
      </c>
      <c r="L356" t="n">
        <v>0</v>
      </c>
      <c r="M356" t="n">
        <v>0</v>
      </c>
      <c r="N356" t="n">
        <v>0</v>
      </c>
      <c r="O356" t="n">
        <v>0</v>
      </c>
      <c r="P356" t="n">
        <v>0</v>
      </c>
      <c r="Q356" t="n">
        <v>0</v>
      </c>
      <c r="R356" s="2" t="inlineStr"/>
    </row>
    <row r="357" ht="15" customHeight="1">
      <c r="A357" t="inlineStr">
        <is>
          <t>A 25676-2024</t>
        </is>
      </c>
      <c r="B357" s="1" t="n">
        <v>45463</v>
      </c>
      <c r="C357" s="1" t="n">
        <v>45935</v>
      </c>
      <c r="D357" t="inlineStr">
        <is>
          <t>NORRBOTTENS LÄN</t>
        </is>
      </c>
      <c r="E357" t="inlineStr">
        <is>
          <t>LULEÅ</t>
        </is>
      </c>
      <c r="G357" t="n">
        <v>0.5</v>
      </c>
      <c r="H357" t="n">
        <v>0</v>
      </c>
      <c r="I357" t="n">
        <v>0</v>
      </c>
      <c r="J357" t="n">
        <v>0</v>
      </c>
      <c r="K357" t="n">
        <v>0</v>
      </c>
      <c r="L357" t="n">
        <v>0</v>
      </c>
      <c r="M357" t="n">
        <v>0</v>
      </c>
      <c r="N357" t="n">
        <v>0</v>
      </c>
      <c r="O357" t="n">
        <v>0</v>
      </c>
      <c r="P357" t="n">
        <v>0</v>
      </c>
      <c r="Q357" t="n">
        <v>0</v>
      </c>
      <c r="R357" s="2" t="inlineStr"/>
    </row>
    <row r="358" ht="15" customHeight="1">
      <c r="A358" t="inlineStr">
        <is>
          <t>A 26594-2024</t>
        </is>
      </c>
      <c r="B358" s="1" t="n">
        <v>45469.68552083334</v>
      </c>
      <c r="C358" s="1" t="n">
        <v>45935</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45935</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12552-2024</t>
        </is>
      </c>
      <c r="B360" s="1" t="n">
        <v>45379</v>
      </c>
      <c r="C360" s="1" t="n">
        <v>45935</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60727-2024</t>
        </is>
      </c>
      <c r="B361" s="1" t="n">
        <v>45644.54008101852</v>
      </c>
      <c r="C361" s="1" t="n">
        <v>45935</v>
      </c>
      <c r="D361" t="inlineStr">
        <is>
          <t>NORRBOTTENS LÄN</t>
        </is>
      </c>
      <c r="E361" t="inlineStr">
        <is>
          <t>LULEÅ</t>
        </is>
      </c>
      <c r="G361" t="n">
        <v>18.7</v>
      </c>
      <c r="H361" t="n">
        <v>0</v>
      </c>
      <c r="I361" t="n">
        <v>0</v>
      </c>
      <c r="J361" t="n">
        <v>0</v>
      </c>
      <c r="K361" t="n">
        <v>0</v>
      </c>
      <c r="L361" t="n">
        <v>0</v>
      </c>
      <c r="M361" t="n">
        <v>0</v>
      </c>
      <c r="N361" t="n">
        <v>0</v>
      </c>
      <c r="O361" t="n">
        <v>0</v>
      </c>
      <c r="P361" t="n">
        <v>0</v>
      </c>
      <c r="Q361" t="n">
        <v>0</v>
      </c>
      <c r="R361" s="2" t="inlineStr"/>
    </row>
    <row r="362" ht="15" customHeight="1">
      <c r="A362" t="inlineStr">
        <is>
          <t>A 42024-2024</t>
        </is>
      </c>
      <c r="B362" s="1" t="n">
        <v>45561.72005787037</v>
      </c>
      <c r="C362" s="1" t="n">
        <v>45935</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11294-2024</t>
        </is>
      </c>
      <c r="B363" s="1" t="n">
        <v>45371</v>
      </c>
      <c r="C363" s="1" t="n">
        <v>45935</v>
      </c>
      <c r="D363" t="inlineStr">
        <is>
          <t>NORRBOTTENS LÄN</t>
        </is>
      </c>
      <c r="E363" t="inlineStr">
        <is>
          <t>LULEÅ</t>
        </is>
      </c>
      <c r="G363" t="n">
        <v>0.4</v>
      </c>
      <c r="H363" t="n">
        <v>0</v>
      </c>
      <c r="I363" t="n">
        <v>0</v>
      </c>
      <c r="J363" t="n">
        <v>0</v>
      </c>
      <c r="K363" t="n">
        <v>0</v>
      </c>
      <c r="L363" t="n">
        <v>0</v>
      </c>
      <c r="M363" t="n">
        <v>0</v>
      </c>
      <c r="N363" t="n">
        <v>0</v>
      </c>
      <c r="O363" t="n">
        <v>0</v>
      </c>
      <c r="P363" t="n">
        <v>0</v>
      </c>
      <c r="Q363" t="n">
        <v>0</v>
      </c>
      <c r="R363" s="2" t="inlineStr"/>
    </row>
    <row r="364" ht="15" customHeight="1">
      <c r="A364" t="inlineStr">
        <is>
          <t>A 38685-2025</t>
        </is>
      </c>
      <c r="B364" s="1" t="n">
        <v>45884.65607638889</v>
      </c>
      <c r="C364" s="1" t="n">
        <v>45935</v>
      </c>
      <c r="D364" t="inlineStr">
        <is>
          <t>NORRBOTTENS LÄN</t>
        </is>
      </c>
      <c r="E364" t="inlineStr">
        <is>
          <t>LULEÅ</t>
        </is>
      </c>
      <c r="G364" t="n">
        <v>1.2</v>
      </c>
      <c r="H364" t="n">
        <v>0</v>
      </c>
      <c r="I364" t="n">
        <v>0</v>
      </c>
      <c r="J364" t="n">
        <v>0</v>
      </c>
      <c r="K364" t="n">
        <v>0</v>
      </c>
      <c r="L364" t="n">
        <v>0</v>
      </c>
      <c r="M364" t="n">
        <v>0</v>
      </c>
      <c r="N364" t="n">
        <v>0</v>
      </c>
      <c r="O364" t="n">
        <v>0</v>
      </c>
      <c r="P364" t="n">
        <v>0</v>
      </c>
      <c r="Q364" t="n">
        <v>0</v>
      </c>
      <c r="R364" s="2" t="inlineStr"/>
    </row>
    <row r="365" ht="15" customHeight="1">
      <c r="A365" t="inlineStr">
        <is>
          <t>A 38841-2025</t>
        </is>
      </c>
      <c r="B365" s="1" t="n">
        <v>45887.53751157408</v>
      </c>
      <c r="C365" s="1" t="n">
        <v>45935</v>
      </c>
      <c r="D365" t="inlineStr">
        <is>
          <t>NORRBOTTENS LÄN</t>
        </is>
      </c>
      <c r="E365" t="inlineStr">
        <is>
          <t>LULEÅ</t>
        </is>
      </c>
      <c r="G365" t="n">
        <v>1.1</v>
      </c>
      <c r="H365" t="n">
        <v>0</v>
      </c>
      <c r="I365" t="n">
        <v>0</v>
      </c>
      <c r="J365" t="n">
        <v>0</v>
      </c>
      <c r="K365" t="n">
        <v>0</v>
      </c>
      <c r="L365" t="n">
        <v>0</v>
      </c>
      <c r="M365" t="n">
        <v>0</v>
      </c>
      <c r="N365" t="n">
        <v>0</v>
      </c>
      <c r="O365" t="n">
        <v>0</v>
      </c>
      <c r="P365" t="n">
        <v>0</v>
      </c>
      <c r="Q365" t="n">
        <v>0</v>
      </c>
      <c r="R365" s="2" t="inlineStr"/>
    </row>
    <row r="366" ht="15" customHeight="1">
      <c r="A366" t="inlineStr">
        <is>
          <t>A 18166-2023</t>
        </is>
      </c>
      <c r="B366" s="1" t="n">
        <v>45040.94335648148</v>
      </c>
      <c r="C366" s="1" t="n">
        <v>45935</v>
      </c>
      <c r="D366" t="inlineStr">
        <is>
          <t>NORRBOTTENS LÄN</t>
        </is>
      </c>
      <c r="E366" t="inlineStr">
        <is>
          <t>LULEÅ</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8903-2025</t>
        </is>
      </c>
      <c r="B367" s="1" t="n">
        <v>45712</v>
      </c>
      <c r="C367" s="1" t="n">
        <v>45935</v>
      </c>
      <c r="D367" t="inlineStr">
        <is>
          <t>NORRBOTTENS LÄN</t>
        </is>
      </c>
      <c r="E367" t="inlineStr">
        <is>
          <t>LULEÅ</t>
        </is>
      </c>
      <c r="G367" t="n">
        <v>1.8</v>
      </c>
      <c r="H367" t="n">
        <v>0</v>
      </c>
      <c r="I367" t="n">
        <v>0</v>
      </c>
      <c r="J367" t="n">
        <v>0</v>
      </c>
      <c r="K367" t="n">
        <v>0</v>
      </c>
      <c r="L367" t="n">
        <v>0</v>
      </c>
      <c r="M367" t="n">
        <v>0</v>
      </c>
      <c r="N367" t="n">
        <v>0</v>
      </c>
      <c r="O367" t="n">
        <v>0</v>
      </c>
      <c r="P367" t="n">
        <v>0</v>
      </c>
      <c r="Q367" t="n">
        <v>0</v>
      </c>
      <c r="R367" s="2" t="inlineStr"/>
    </row>
    <row r="368" ht="15" customHeight="1">
      <c r="A368" t="inlineStr">
        <is>
          <t>A 17897-2025</t>
        </is>
      </c>
      <c r="B368" s="1" t="n">
        <v>45758.69814814815</v>
      </c>
      <c r="C368" s="1" t="n">
        <v>45935</v>
      </c>
      <c r="D368" t="inlineStr">
        <is>
          <t>NORRBOTTENS LÄN</t>
        </is>
      </c>
      <c r="E368" t="inlineStr">
        <is>
          <t>LULEÅ</t>
        </is>
      </c>
      <c r="G368" t="n">
        <v>9.9</v>
      </c>
      <c r="H368" t="n">
        <v>0</v>
      </c>
      <c r="I368" t="n">
        <v>0</v>
      </c>
      <c r="J368" t="n">
        <v>0</v>
      </c>
      <c r="K368" t="n">
        <v>0</v>
      </c>
      <c r="L368" t="n">
        <v>0</v>
      </c>
      <c r="M368" t="n">
        <v>0</v>
      </c>
      <c r="N368" t="n">
        <v>0</v>
      </c>
      <c r="O368" t="n">
        <v>0</v>
      </c>
      <c r="P368" t="n">
        <v>0</v>
      </c>
      <c r="Q368" t="n">
        <v>0</v>
      </c>
      <c r="R368" s="2" t="inlineStr"/>
    </row>
    <row r="369" ht="15" customHeight="1">
      <c r="A369" t="inlineStr">
        <is>
          <t>A 14803-2023</t>
        </is>
      </c>
      <c r="B369" s="1" t="n">
        <v>45013</v>
      </c>
      <c r="C369" s="1" t="n">
        <v>45935</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656-2025</t>
        </is>
      </c>
      <c r="B370" s="1" t="n">
        <v>45661</v>
      </c>
      <c r="C370" s="1" t="n">
        <v>45935</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1058-2025</t>
        </is>
      </c>
      <c r="B371" s="1" t="n">
        <v>45665</v>
      </c>
      <c r="C371" s="1" t="n">
        <v>45935</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25578-2024</t>
        </is>
      </c>
      <c r="B372" s="1" t="n">
        <v>45463</v>
      </c>
      <c r="C372" s="1" t="n">
        <v>45935</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38683-2025</t>
        </is>
      </c>
      <c r="B373" s="1" t="n">
        <v>45884.65483796296</v>
      </c>
      <c r="C373" s="1" t="n">
        <v>45935</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60584-2024</t>
        </is>
      </c>
      <c r="B374" s="1" t="n">
        <v>45644.34611111111</v>
      </c>
      <c r="C374" s="1" t="n">
        <v>45935</v>
      </c>
      <c r="D374" t="inlineStr">
        <is>
          <t>NORRBOTTENS LÄN</t>
        </is>
      </c>
      <c r="E374" t="inlineStr">
        <is>
          <t>LULEÅ</t>
        </is>
      </c>
      <c r="G374" t="n">
        <v>0.6</v>
      </c>
      <c r="H374" t="n">
        <v>0</v>
      </c>
      <c r="I374" t="n">
        <v>0</v>
      </c>
      <c r="J374" t="n">
        <v>0</v>
      </c>
      <c r="K374" t="n">
        <v>0</v>
      </c>
      <c r="L374" t="n">
        <v>0</v>
      </c>
      <c r="M374" t="n">
        <v>0</v>
      </c>
      <c r="N374" t="n">
        <v>0</v>
      </c>
      <c r="O374" t="n">
        <v>0</v>
      </c>
      <c r="P374" t="n">
        <v>0</v>
      </c>
      <c r="Q374" t="n">
        <v>0</v>
      </c>
      <c r="R374" s="2" t="inlineStr"/>
    </row>
    <row r="375" ht="15" customHeight="1">
      <c r="A375" t="inlineStr">
        <is>
          <t>A 2659-2025</t>
        </is>
      </c>
      <c r="B375" s="1" t="n">
        <v>45676.8134375</v>
      </c>
      <c r="C375" s="1" t="n">
        <v>45935</v>
      </c>
      <c r="D375" t="inlineStr">
        <is>
          <t>NORRBOTTENS LÄN</t>
        </is>
      </c>
      <c r="E375" t="inlineStr">
        <is>
          <t>LULEÅ</t>
        </is>
      </c>
      <c r="G375" t="n">
        <v>1.2</v>
      </c>
      <c r="H375" t="n">
        <v>0</v>
      </c>
      <c r="I375" t="n">
        <v>0</v>
      </c>
      <c r="J375" t="n">
        <v>0</v>
      </c>
      <c r="K375" t="n">
        <v>0</v>
      </c>
      <c r="L375" t="n">
        <v>0</v>
      </c>
      <c r="M375" t="n">
        <v>0</v>
      </c>
      <c r="N375" t="n">
        <v>0</v>
      </c>
      <c r="O375" t="n">
        <v>0</v>
      </c>
      <c r="P375" t="n">
        <v>0</v>
      </c>
      <c r="Q375" t="n">
        <v>0</v>
      </c>
      <c r="R375" s="2" t="inlineStr"/>
    </row>
    <row r="376" ht="15" customHeight="1">
      <c r="A376" t="inlineStr">
        <is>
          <t>A 12782-2023</t>
        </is>
      </c>
      <c r="B376" s="1" t="n">
        <v>45000</v>
      </c>
      <c r="C376" s="1" t="n">
        <v>45935</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45935</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8928-2025</t>
        </is>
      </c>
      <c r="B378" s="1" t="n">
        <v>45712</v>
      </c>
      <c r="C378" s="1" t="n">
        <v>45935</v>
      </c>
      <c r="D378" t="inlineStr">
        <is>
          <t>NORRBOTTENS LÄN</t>
        </is>
      </c>
      <c r="E378" t="inlineStr">
        <is>
          <t>LULEÅ</t>
        </is>
      </c>
      <c r="G378" t="n">
        <v>3.3</v>
      </c>
      <c r="H378" t="n">
        <v>0</v>
      </c>
      <c r="I378" t="n">
        <v>0</v>
      </c>
      <c r="J378" t="n">
        <v>0</v>
      </c>
      <c r="K378" t="n">
        <v>0</v>
      </c>
      <c r="L378" t="n">
        <v>0</v>
      </c>
      <c r="M378" t="n">
        <v>0</v>
      </c>
      <c r="N378" t="n">
        <v>0</v>
      </c>
      <c r="O378" t="n">
        <v>0</v>
      </c>
      <c r="P378" t="n">
        <v>0</v>
      </c>
      <c r="Q378" t="n">
        <v>0</v>
      </c>
      <c r="R378" s="2" t="inlineStr"/>
    </row>
    <row r="379" ht="15" customHeight="1">
      <c r="A379" t="inlineStr">
        <is>
          <t>A 35090-2023</t>
        </is>
      </c>
      <c r="B379" s="1" t="n">
        <v>45145</v>
      </c>
      <c r="C379" s="1" t="n">
        <v>45935</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57518-2024</t>
        </is>
      </c>
      <c r="B380" s="1" t="n">
        <v>45629</v>
      </c>
      <c r="C380" s="1" t="n">
        <v>45935</v>
      </c>
      <c r="D380" t="inlineStr">
        <is>
          <t>NORRBOTTENS LÄN</t>
        </is>
      </c>
      <c r="E380" t="inlineStr">
        <is>
          <t>LULEÅ</t>
        </is>
      </c>
      <c r="G380" t="n">
        <v>3.4</v>
      </c>
      <c r="H380" t="n">
        <v>0</v>
      </c>
      <c r="I380" t="n">
        <v>0</v>
      </c>
      <c r="J380" t="n">
        <v>0</v>
      </c>
      <c r="K380" t="n">
        <v>0</v>
      </c>
      <c r="L380" t="n">
        <v>0</v>
      </c>
      <c r="M380" t="n">
        <v>0</v>
      </c>
      <c r="N380" t="n">
        <v>0</v>
      </c>
      <c r="O380" t="n">
        <v>0</v>
      </c>
      <c r="P380" t="n">
        <v>0</v>
      </c>
      <c r="Q380" t="n">
        <v>0</v>
      </c>
      <c r="R380" s="2" t="inlineStr"/>
    </row>
    <row r="381" ht="15" customHeight="1">
      <c r="A381" t="inlineStr">
        <is>
          <t>A 42753-2022</t>
        </is>
      </c>
      <c r="B381" s="1" t="n">
        <v>44832</v>
      </c>
      <c r="C381" s="1" t="n">
        <v>45935</v>
      </c>
      <c r="D381" t="inlineStr">
        <is>
          <t>NORRBOTTENS LÄN</t>
        </is>
      </c>
      <c r="E381" t="inlineStr">
        <is>
          <t>LULEÅ</t>
        </is>
      </c>
      <c r="G381" t="n">
        <v>10.8</v>
      </c>
      <c r="H381" t="n">
        <v>0</v>
      </c>
      <c r="I381" t="n">
        <v>0</v>
      </c>
      <c r="J381" t="n">
        <v>0</v>
      </c>
      <c r="K381" t="n">
        <v>0</v>
      </c>
      <c r="L381" t="n">
        <v>0</v>
      </c>
      <c r="M381" t="n">
        <v>0</v>
      </c>
      <c r="N381" t="n">
        <v>0</v>
      </c>
      <c r="O381" t="n">
        <v>0</v>
      </c>
      <c r="P381" t="n">
        <v>0</v>
      </c>
      <c r="Q381" t="n">
        <v>0</v>
      </c>
      <c r="R381" s="2" t="inlineStr"/>
    </row>
    <row r="382" ht="15" customHeight="1">
      <c r="A382" t="inlineStr">
        <is>
          <t>A 51108-2024</t>
        </is>
      </c>
      <c r="B382" s="1" t="n">
        <v>45603.49142361111</v>
      </c>
      <c r="C382" s="1" t="n">
        <v>45935</v>
      </c>
      <c r="D382" t="inlineStr">
        <is>
          <t>NORRBOTTENS LÄN</t>
        </is>
      </c>
      <c r="E382" t="inlineStr">
        <is>
          <t>LULEÅ</t>
        </is>
      </c>
      <c r="G382" t="n">
        <v>3.8</v>
      </c>
      <c r="H382" t="n">
        <v>0</v>
      </c>
      <c r="I382" t="n">
        <v>0</v>
      </c>
      <c r="J382" t="n">
        <v>0</v>
      </c>
      <c r="K382" t="n">
        <v>0</v>
      </c>
      <c r="L382" t="n">
        <v>0</v>
      </c>
      <c r="M382" t="n">
        <v>0</v>
      </c>
      <c r="N382" t="n">
        <v>0</v>
      </c>
      <c r="O382" t="n">
        <v>0</v>
      </c>
      <c r="P382" t="n">
        <v>0</v>
      </c>
      <c r="Q382" t="n">
        <v>0</v>
      </c>
      <c r="R382" s="2" t="inlineStr"/>
    </row>
    <row r="383" ht="15" customHeight="1">
      <c r="A383" t="inlineStr">
        <is>
          <t>A 46314-2025</t>
        </is>
      </c>
      <c r="B383" s="1" t="n">
        <v>45925</v>
      </c>
      <c r="C383" s="1" t="n">
        <v>45935</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39269-2025</t>
        </is>
      </c>
      <c r="B384" s="1" t="n">
        <v>45889.38579861111</v>
      </c>
      <c r="C384" s="1" t="n">
        <v>45935</v>
      </c>
      <c r="D384" t="inlineStr">
        <is>
          <t>NORRBOTTENS LÄN</t>
        </is>
      </c>
      <c r="E384" t="inlineStr">
        <is>
          <t>LULEÅ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46572-2025</t>
        </is>
      </c>
      <c r="B385" s="1" t="n">
        <v>45926.3683912037</v>
      </c>
      <c r="C385" s="1" t="n">
        <v>45935</v>
      </c>
      <c r="D385" t="inlineStr">
        <is>
          <t>NORRBOTTENS LÄN</t>
        </is>
      </c>
      <c r="E385" t="inlineStr">
        <is>
          <t>LULEÅ</t>
        </is>
      </c>
      <c r="G385" t="n">
        <v>15.1</v>
      </c>
      <c r="H385" t="n">
        <v>0</v>
      </c>
      <c r="I385" t="n">
        <v>0</v>
      </c>
      <c r="J385" t="n">
        <v>0</v>
      </c>
      <c r="K385" t="n">
        <v>0</v>
      </c>
      <c r="L385" t="n">
        <v>0</v>
      </c>
      <c r="M385" t="n">
        <v>0</v>
      </c>
      <c r="N385" t="n">
        <v>0</v>
      </c>
      <c r="O385" t="n">
        <v>0</v>
      </c>
      <c r="P385" t="n">
        <v>0</v>
      </c>
      <c r="Q385" t="n">
        <v>0</v>
      </c>
      <c r="R385" s="2" t="inlineStr"/>
    </row>
    <row r="386" ht="15" customHeight="1">
      <c r="A386" t="inlineStr">
        <is>
          <t>A 29550-2024</t>
        </is>
      </c>
      <c r="B386" s="1" t="n">
        <v>45484</v>
      </c>
      <c r="C386" s="1" t="n">
        <v>45935</v>
      </c>
      <c r="D386" t="inlineStr">
        <is>
          <t>NORRBOTTENS LÄN</t>
        </is>
      </c>
      <c r="E386" t="inlineStr">
        <is>
          <t>LULEÅ</t>
        </is>
      </c>
      <c r="G386" t="n">
        <v>0.8</v>
      </c>
      <c r="H386" t="n">
        <v>0</v>
      </c>
      <c r="I386" t="n">
        <v>0</v>
      </c>
      <c r="J386" t="n">
        <v>0</v>
      </c>
      <c r="K386" t="n">
        <v>0</v>
      </c>
      <c r="L386" t="n">
        <v>0</v>
      </c>
      <c r="M386" t="n">
        <v>0</v>
      </c>
      <c r="N386" t="n">
        <v>0</v>
      </c>
      <c r="O386" t="n">
        <v>0</v>
      </c>
      <c r="P386" t="n">
        <v>0</v>
      </c>
      <c r="Q386" t="n">
        <v>0</v>
      </c>
      <c r="R386" s="2" t="inlineStr"/>
    </row>
    <row r="387" ht="15" customHeight="1">
      <c r="A387" t="inlineStr">
        <is>
          <t>A 62732-2021</t>
        </is>
      </c>
      <c r="B387" s="1" t="n">
        <v>44503</v>
      </c>
      <c r="C387" s="1" t="n">
        <v>45935</v>
      </c>
      <c r="D387" t="inlineStr">
        <is>
          <t>NORRBOTTENS LÄN</t>
        </is>
      </c>
      <c r="E387" t="inlineStr">
        <is>
          <t>LULEÅ</t>
        </is>
      </c>
      <c r="G387" t="n">
        <v>2.5</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45935</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11855-2025</t>
        </is>
      </c>
      <c r="B389" s="1" t="n">
        <v>45727</v>
      </c>
      <c r="C389" s="1" t="n">
        <v>45935</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433-2022</t>
        </is>
      </c>
      <c r="B390" s="1" t="n">
        <v>44565.92903935185</v>
      </c>
      <c r="C390" s="1" t="n">
        <v>45935</v>
      </c>
      <c r="D390" t="inlineStr">
        <is>
          <t>NORRBOTTENS LÄN</t>
        </is>
      </c>
      <c r="E390" t="inlineStr">
        <is>
          <t>LULEÅ</t>
        </is>
      </c>
      <c r="G390" t="n">
        <v>1.3</v>
      </c>
      <c r="H390" t="n">
        <v>0</v>
      </c>
      <c r="I390" t="n">
        <v>0</v>
      </c>
      <c r="J390" t="n">
        <v>0</v>
      </c>
      <c r="K390" t="n">
        <v>0</v>
      </c>
      <c r="L390" t="n">
        <v>0</v>
      </c>
      <c r="M390" t="n">
        <v>0</v>
      </c>
      <c r="N390" t="n">
        <v>0</v>
      </c>
      <c r="O390" t="n">
        <v>0</v>
      </c>
      <c r="P390" t="n">
        <v>0</v>
      </c>
      <c r="Q390" t="n">
        <v>0</v>
      </c>
      <c r="R390" s="2" t="inlineStr"/>
    </row>
    <row r="391" ht="15" customHeight="1">
      <c r="A391" t="inlineStr">
        <is>
          <t>A 49208-2024</t>
        </is>
      </c>
      <c r="B391" s="1" t="n">
        <v>45595.37256944444</v>
      </c>
      <c r="C391" s="1" t="n">
        <v>45935</v>
      </c>
      <c r="D391" t="inlineStr">
        <is>
          <t>NORRBOTTENS LÄN</t>
        </is>
      </c>
      <c r="E391" t="inlineStr">
        <is>
          <t>LULEÅ</t>
        </is>
      </c>
      <c r="G391" t="n">
        <v>5.2</v>
      </c>
      <c r="H391" t="n">
        <v>0</v>
      </c>
      <c r="I391" t="n">
        <v>0</v>
      </c>
      <c r="J391" t="n">
        <v>0</v>
      </c>
      <c r="K391" t="n">
        <v>0</v>
      </c>
      <c r="L391" t="n">
        <v>0</v>
      </c>
      <c r="M391" t="n">
        <v>0</v>
      </c>
      <c r="N391" t="n">
        <v>0</v>
      </c>
      <c r="O391" t="n">
        <v>0</v>
      </c>
      <c r="P391" t="n">
        <v>0</v>
      </c>
      <c r="Q391" t="n">
        <v>0</v>
      </c>
      <c r="R391" s="2" t="inlineStr"/>
    </row>
    <row r="392" ht="15" customHeight="1">
      <c r="A392" t="inlineStr">
        <is>
          <t>A 61488-2024</t>
        </is>
      </c>
      <c r="B392" s="1" t="n">
        <v>45646.54873842592</v>
      </c>
      <c r="C392" s="1" t="n">
        <v>45935</v>
      </c>
      <c r="D392" t="inlineStr">
        <is>
          <t>NORRBOTTENS LÄN</t>
        </is>
      </c>
      <c r="E392" t="inlineStr">
        <is>
          <t>LULEÅ</t>
        </is>
      </c>
      <c r="G392" t="n">
        <v>3.4</v>
      </c>
      <c r="H392" t="n">
        <v>0</v>
      </c>
      <c r="I392" t="n">
        <v>0</v>
      </c>
      <c r="J392" t="n">
        <v>0</v>
      </c>
      <c r="K392" t="n">
        <v>0</v>
      </c>
      <c r="L392" t="n">
        <v>0</v>
      </c>
      <c r="M392" t="n">
        <v>0</v>
      </c>
      <c r="N392" t="n">
        <v>0</v>
      </c>
      <c r="O392" t="n">
        <v>0</v>
      </c>
      <c r="P392" t="n">
        <v>0</v>
      </c>
      <c r="Q392" t="n">
        <v>0</v>
      </c>
      <c r="R392" s="2" t="inlineStr"/>
    </row>
    <row r="393" ht="15" customHeight="1">
      <c r="A393" t="inlineStr">
        <is>
          <t>A 14337-2024</t>
        </is>
      </c>
      <c r="B393" s="1" t="n">
        <v>45393</v>
      </c>
      <c r="C393" s="1" t="n">
        <v>45935</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17125-2024</t>
        </is>
      </c>
      <c r="B394" s="1" t="n">
        <v>45412</v>
      </c>
      <c r="C394" s="1" t="n">
        <v>45935</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11845-2025</t>
        </is>
      </c>
      <c r="B395" s="1" t="n">
        <v>45727</v>
      </c>
      <c r="C395" s="1" t="n">
        <v>45935</v>
      </c>
      <c r="D395" t="inlineStr">
        <is>
          <t>NORRBOTTENS LÄN</t>
        </is>
      </c>
      <c r="E395" t="inlineStr">
        <is>
          <t>LULEÅ</t>
        </is>
      </c>
      <c r="G395" t="n">
        <v>9.6</v>
      </c>
      <c r="H395" t="n">
        <v>0</v>
      </c>
      <c r="I395" t="n">
        <v>0</v>
      </c>
      <c r="J395" t="n">
        <v>0</v>
      </c>
      <c r="K395" t="n">
        <v>0</v>
      </c>
      <c r="L395" t="n">
        <v>0</v>
      </c>
      <c r="M395" t="n">
        <v>0</v>
      </c>
      <c r="N395" t="n">
        <v>0</v>
      </c>
      <c r="O395" t="n">
        <v>0</v>
      </c>
      <c r="P395" t="n">
        <v>0</v>
      </c>
      <c r="Q395" t="n">
        <v>0</v>
      </c>
      <c r="R395" s="2" t="inlineStr"/>
    </row>
    <row r="396" ht="15" customHeight="1">
      <c r="A396" t="inlineStr">
        <is>
          <t>A 30784-2024</t>
        </is>
      </c>
      <c r="B396" s="1" t="n">
        <v>45496</v>
      </c>
      <c r="C396" s="1" t="n">
        <v>45935</v>
      </c>
      <c r="D396" t="inlineStr">
        <is>
          <t>NORRBOTTENS LÄN</t>
        </is>
      </c>
      <c r="E396" t="inlineStr">
        <is>
          <t>LULEÅ</t>
        </is>
      </c>
      <c r="F396" t="inlineStr">
        <is>
          <t>Naturvårdsverket</t>
        </is>
      </c>
      <c r="G396" t="n">
        <v>13.2</v>
      </c>
      <c r="H396" t="n">
        <v>0</v>
      </c>
      <c r="I396" t="n">
        <v>0</v>
      </c>
      <c r="J396" t="n">
        <v>0</v>
      </c>
      <c r="K396" t="n">
        <v>0</v>
      </c>
      <c r="L396" t="n">
        <v>0</v>
      </c>
      <c r="M396" t="n">
        <v>0</v>
      </c>
      <c r="N396" t="n">
        <v>0</v>
      </c>
      <c r="O396" t="n">
        <v>0</v>
      </c>
      <c r="P396" t="n">
        <v>0</v>
      </c>
      <c r="Q396" t="n">
        <v>0</v>
      </c>
      <c r="R396" s="2" t="inlineStr"/>
    </row>
    <row r="397" ht="15" customHeight="1">
      <c r="A397" t="inlineStr">
        <is>
          <t>A 30788-2024</t>
        </is>
      </c>
      <c r="B397" s="1" t="n">
        <v>45496</v>
      </c>
      <c r="C397" s="1" t="n">
        <v>45935</v>
      </c>
      <c r="D397" t="inlineStr">
        <is>
          <t>NORRBOTTENS LÄN</t>
        </is>
      </c>
      <c r="E397" t="inlineStr">
        <is>
          <t>LULEÅ</t>
        </is>
      </c>
      <c r="F397" t="inlineStr">
        <is>
          <t>Naturvårdsverket</t>
        </is>
      </c>
      <c r="G397" t="n">
        <v>6.7</v>
      </c>
      <c r="H397" t="n">
        <v>0</v>
      </c>
      <c r="I397" t="n">
        <v>0</v>
      </c>
      <c r="J397" t="n">
        <v>0</v>
      </c>
      <c r="K397" t="n">
        <v>0</v>
      </c>
      <c r="L397" t="n">
        <v>0</v>
      </c>
      <c r="M397" t="n">
        <v>0</v>
      </c>
      <c r="N397" t="n">
        <v>0</v>
      </c>
      <c r="O397" t="n">
        <v>0</v>
      </c>
      <c r="P397" t="n">
        <v>0</v>
      </c>
      <c r="Q397" t="n">
        <v>0</v>
      </c>
      <c r="R397" s="2" t="inlineStr"/>
    </row>
    <row r="398" ht="15" customHeight="1">
      <c r="A398" t="inlineStr">
        <is>
          <t>A 43955-2025</t>
        </is>
      </c>
      <c r="B398" s="1" t="n">
        <v>45915</v>
      </c>
      <c r="C398" s="1" t="n">
        <v>45935</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2700-2025</t>
        </is>
      </c>
      <c r="B399" s="1" t="n">
        <v>45677.40685185185</v>
      </c>
      <c r="C399" s="1" t="n">
        <v>45935</v>
      </c>
      <c r="D399" t="inlineStr">
        <is>
          <t>NORRBOTTENS LÄN</t>
        </is>
      </c>
      <c r="E399" t="inlineStr">
        <is>
          <t>LULEÅ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8764-2025</t>
        </is>
      </c>
      <c r="B400" s="1" t="n">
        <v>45712.58021990741</v>
      </c>
      <c r="C400" s="1" t="n">
        <v>45935</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4771-2024</t>
        </is>
      </c>
      <c r="B401" s="1" t="n">
        <v>45328</v>
      </c>
      <c r="C401" s="1" t="n">
        <v>45935</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31465-2024</t>
        </is>
      </c>
      <c r="B402" s="1" t="n">
        <v>45505</v>
      </c>
      <c r="C402" s="1" t="n">
        <v>45935</v>
      </c>
      <c r="D402" t="inlineStr">
        <is>
          <t>NORRBOTTENS LÄN</t>
        </is>
      </c>
      <c r="E402" t="inlineStr">
        <is>
          <t>LULEÅ</t>
        </is>
      </c>
      <c r="F402" t="inlineStr">
        <is>
          <t>Naturvårdsverket</t>
        </is>
      </c>
      <c r="G402" t="n">
        <v>7.1</v>
      </c>
      <c r="H402" t="n">
        <v>0</v>
      </c>
      <c r="I402" t="n">
        <v>0</v>
      </c>
      <c r="J402" t="n">
        <v>0</v>
      </c>
      <c r="K402" t="n">
        <v>0</v>
      </c>
      <c r="L402" t="n">
        <v>0</v>
      </c>
      <c r="M402" t="n">
        <v>0</v>
      </c>
      <c r="N402" t="n">
        <v>0</v>
      </c>
      <c r="O402" t="n">
        <v>0</v>
      </c>
      <c r="P402" t="n">
        <v>0</v>
      </c>
      <c r="Q402" t="n">
        <v>0</v>
      </c>
      <c r="R402" s="2" t="inlineStr"/>
    </row>
    <row r="403" ht="15" customHeight="1">
      <c r="A403" t="inlineStr">
        <is>
          <t>A 29417-2025</t>
        </is>
      </c>
      <c r="B403" s="1" t="n">
        <v>45824.63576388889</v>
      </c>
      <c r="C403" s="1" t="n">
        <v>45935</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52400-2023</t>
        </is>
      </c>
      <c r="B404" s="1" t="n">
        <v>45224</v>
      </c>
      <c r="C404" s="1" t="n">
        <v>45935</v>
      </c>
      <c r="D404" t="inlineStr">
        <is>
          <t>NORRBOTTENS LÄN</t>
        </is>
      </c>
      <c r="E404" t="inlineStr">
        <is>
          <t>LULEÅ</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53185-2022</t>
        </is>
      </c>
      <c r="B405" s="1" t="n">
        <v>44876.57346064815</v>
      </c>
      <c r="C405" s="1" t="n">
        <v>45935</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30289-2023</t>
        </is>
      </c>
      <c r="B406" s="1" t="n">
        <v>45110</v>
      </c>
      <c r="C406" s="1" t="n">
        <v>45935</v>
      </c>
      <c r="D406" t="inlineStr">
        <is>
          <t>NORRBOTTENS LÄN</t>
        </is>
      </c>
      <c r="E406" t="inlineStr">
        <is>
          <t>LULEÅ</t>
        </is>
      </c>
      <c r="G406" t="n">
        <v>4.1</v>
      </c>
      <c r="H406" t="n">
        <v>0</v>
      </c>
      <c r="I406" t="n">
        <v>0</v>
      </c>
      <c r="J406" t="n">
        <v>0</v>
      </c>
      <c r="K406" t="n">
        <v>0</v>
      </c>
      <c r="L406" t="n">
        <v>0</v>
      </c>
      <c r="M406" t="n">
        <v>0</v>
      </c>
      <c r="N406" t="n">
        <v>0</v>
      </c>
      <c r="O406" t="n">
        <v>0</v>
      </c>
      <c r="P406" t="n">
        <v>0</v>
      </c>
      <c r="Q406" t="n">
        <v>0</v>
      </c>
      <c r="R406" s="2" t="inlineStr"/>
    </row>
    <row r="407" ht="15" customHeight="1">
      <c r="A407" t="inlineStr">
        <is>
          <t>A 12549-2024</t>
        </is>
      </c>
      <c r="B407" s="1" t="n">
        <v>45379</v>
      </c>
      <c r="C407" s="1" t="n">
        <v>45935</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12685-2023</t>
        </is>
      </c>
      <c r="B408" s="1" t="n">
        <v>44999</v>
      </c>
      <c r="C408" s="1" t="n">
        <v>45935</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44005-2024</t>
        </is>
      </c>
      <c r="B409" s="1" t="n">
        <v>45572.54814814815</v>
      </c>
      <c r="C409" s="1" t="n">
        <v>45935</v>
      </c>
      <c r="D409" t="inlineStr">
        <is>
          <t>NORRBOTTENS LÄN</t>
        </is>
      </c>
      <c r="E409" t="inlineStr">
        <is>
          <t>LULEÅ</t>
        </is>
      </c>
      <c r="G409" t="n">
        <v>14.8</v>
      </c>
      <c r="H409" t="n">
        <v>0</v>
      </c>
      <c r="I409" t="n">
        <v>0</v>
      </c>
      <c r="J409" t="n">
        <v>0</v>
      </c>
      <c r="K409" t="n">
        <v>0</v>
      </c>
      <c r="L409" t="n">
        <v>0</v>
      </c>
      <c r="M409" t="n">
        <v>0</v>
      </c>
      <c r="N409" t="n">
        <v>0</v>
      </c>
      <c r="O409" t="n">
        <v>0</v>
      </c>
      <c r="P409" t="n">
        <v>0</v>
      </c>
      <c r="Q409" t="n">
        <v>0</v>
      </c>
      <c r="R409" s="2" t="inlineStr"/>
    </row>
    <row r="410" ht="15" customHeight="1">
      <c r="A410" t="inlineStr">
        <is>
          <t>A 21597-2024</t>
        </is>
      </c>
      <c r="B410" s="1" t="n">
        <v>45441.9291087963</v>
      </c>
      <c r="C410" s="1" t="n">
        <v>45935</v>
      </c>
      <c r="D410" t="inlineStr">
        <is>
          <t>NORRBOTTENS LÄN</t>
        </is>
      </c>
      <c r="E410" t="inlineStr">
        <is>
          <t>LULEÅ</t>
        </is>
      </c>
      <c r="G410" t="n">
        <v>3.7</v>
      </c>
      <c r="H410" t="n">
        <v>0</v>
      </c>
      <c r="I410" t="n">
        <v>0</v>
      </c>
      <c r="J410" t="n">
        <v>0</v>
      </c>
      <c r="K410" t="n">
        <v>0</v>
      </c>
      <c r="L410" t="n">
        <v>0</v>
      </c>
      <c r="M410" t="n">
        <v>0</v>
      </c>
      <c r="N410" t="n">
        <v>0</v>
      </c>
      <c r="O410" t="n">
        <v>0</v>
      </c>
      <c r="P410" t="n">
        <v>0</v>
      </c>
      <c r="Q410" t="n">
        <v>0</v>
      </c>
      <c r="R410" s="2" t="inlineStr"/>
    </row>
    <row r="411" ht="15" customHeight="1">
      <c r="A411" t="inlineStr">
        <is>
          <t>A 59656-2024</t>
        </is>
      </c>
      <c r="B411" s="1" t="n">
        <v>45639</v>
      </c>
      <c r="C411" s="1" t="n">
        <v>45935</v>
      </c>
      <c r="D411" t="inlineStr">
        <is>
          <t>NORRBOTTENS LÄN</t>
        </is>
      </c>
      <c r="E411" t="inlineStr">
        <is>
          <t>LULEÅ</t>
        </is>
      </c>
      <c r="G411" t="n">
        <v>4.3</v>
      </c>
      <c r="H411" t="n">
        <v>0</v>
      </c>
      <c r="I411" t="n">
        <v>0</v>
      </c>
      <c r="J411" t="n">
        <v>0</v>
      </c>
      <c r="K411" t="n">
        <v>0</v>
      </c>
      <c r="L411" t="n">
        <v>0</v>
      </c>
      <c r="M411" t="n">
        <v>0</v>
      </c>
      <c r="N411" t="n">
        <v>0</v>
      </c>
      <c r="O411" t="n">
        <v>0</v>
      </c>
      <c r="P411" t="n">
        <v>0</v>
      </c>
      <c r="Q411" t="n">
        <v>0</v>
      </c>
      <c r="R411" s="2" t="inlineStr"/>
    </row>
    <row r="412" ht="15" customHeight="1">
      <c r="A412" t="inlineStr">
        <is>
          <t>A 23534-2025</t>
        </is>
      </c>
      <c r="B412" s="1" t="n">
        <v>45792</v>
      </c>
      <c r="C412" s="1" t="n">
        <v>45935</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20340-2023</t>
        </is>
      </c>
      <c r="B413" s="1" t="n">
        <v>45054</v>
      </c>
      <c r="C413" s="1" t="n">
        <v>45935</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54738-2024</t>
        </is>
      </c>
      <c r="B414" s="1" t="n">
        <v>45618.44334490741</v>
      </c>
      <c r="C414" s="1" t="n">
        <v>45935</v>
      </c>
      <c r="D414" t="inlineStr">
        <is>
          <t>NORRBOTTENS LÄN</t>
        </is>
      </c>
      <c r="E414" t="inlineStr">
        <is>
          <t>LULEÅ</t>
        </is>
      </c>
      <c r="G414" t="n">
        <v>4.7</v>
      </c>
      <c r="H414" t="n">
        <v>0</v>
      </c>
      <c r="I414" t="n">
        <v>0</v>
      </c>
      <c r="J414" t="n">
        <v>0</v>
      </c>
      <c r="K414" t="n">
        <v>0</v>
      </c>
      <c r="L414" t="n">
        <v>0</v>
      </c>
      <c r="M414" t="n">
        <v>0</v>
      </c>
      <c r="N414" t="n">
        <v>0</v>
      </c>
      <c r="O414" t="n">
        <v>0</v>
      </c>
      <c r="P414" t="n">
        <v>0</v>
      </c>
      <c r="Q414" t="n">
        <v>0</v>
      </c>
      <c r="R414" s="2" t="inlineStr"/>
    </row>
    <row r="415" ht="15" customHeight="1">
      <c r="A415" t="inlineStr">
        <is>
          <t>A 39816-2024</t>
        </is>
      </c>
      <c r="B415" s="1" t="n">
        <v>45553.3859837963</v>
      </c>
      <c r="C415" s="1" t="n">
        <v>45935</v>
      </c>
      <c r="D415" t="inlineStr">
        <is>
          <t>NORRBOTTENS LÄN</t>
        </is>
      </c>
      <c r="E415" t="inlineStr">
        <is>
          <t>LULEÅ</t>
        </is>
      </c>
      <c r="F415" t="inlineStr">
        <is>
          <t>Naturvårdsverket</t>
        </is>
      </c>
      <c r="G415" t="n">
        <v>11.1</v>
      </c>
      <c r="H415" t="n">
        <v>0</v>
      </c>
      <c r="I415" t="n">
        <v>0</v>
      </c>
      <c r="J415" t="n">
        <v>0</v>
      </c>
      <c r="K415" t="n">
        <v>0</v>
      </c>
      <c r="L415" t="n">
        <v>0</v>
      </c>
      <c r="M415" t="n">
        <v>0</v>
      </c>
      <c r="N415" t="n">
        <v>0</v>
      </c>
      <c r="O415" t="n">
        <v>0</v>
      </c>
      <c r="P415" t="n">
        <v>0</v>
      </c>
      <c r="Q415" t="n">
        <v>0</v>
      </c>
      <c r="R415" s="2" t="inlineStr"/>
    </row>
    <row r="416" ht="15" customHeight="1">
      <c r="A416" t="inlineStr">
        <is>
          <t>A 44006-2025</t>
        </is>
      </c>
      <c r="B416" s="1" t="n">
        <v>45915</v>
      </c>
      <c r="C416" s="1" t="n">
        <v>45935</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45940-2021</t>
        </is>
      </c>
      <c r="B417" s="1" t="n">
        <v>44441</v>
      </c>
      <c r="C417" s="1" t="n">
        <v>45935</v>
      </c>
      <c r="D417" t="inlineStr">
        <is>
          <t>NORRBOTTENS LÄN</t>
        </is>
      </c>
      <c r="E417" t="inlineStr">
        <is>
          <t>LULEÅ</t>
        </is>
      </c>
      <c r="G417" t="n">
        <v>15.2</v>
      </c>
      <c r="H417" t="n">
        <v>0</v>
      </c>
      <c r="I417" t="n">
        <v>0</v>
      </c>
      <c r="J417" t="n">
        <v>0</v>
      </c>
      <c r="K417" t="n">
        <v>0</v>
      </c>
      <c r="L417" t="n">
        <v>0</v>
      </c>
      <c r="M417" t="n">
        <v>0</v>
      </c>
      <c r="N417" t="n">
        <v>0</v>
      </c>
      <c r="O417" t="n">
        <v>0</v>
      </c>
      <c r="P417" t="n">
        <v>0</v>
      </c>
      <c r="Q417" t="n">
        <v>0</v>
      </c>
      <c r="R417" s="2" t="inlineStr"/>
    </row>
    <row r="418" ht="15" customHeight="1">
      <c r="A418" t="inlineStr">
        <is>
          <t>A 7429-2021</t>
        </is>
      </c>
      <c r="B418" s="1" t="n">
        <v>44239</v>
      </c>
      <c r="C418" s="1" t="n">
        <v>45935</v>
      </c>
      <c r="D418" t="inlineStr">
        <is>
          <t>NORRBOTTENS LÄN</t>
        </is>
      </c>
      <c r="E418" t="inlineStr">
        <is>
          <t>LULEÅ</t>
        </is>
      </c>
      <c r="G418" t="n">
        <v>3.4</v>
      </c>
      <c r="H418" t="n">
        <v>0</v>
      </c>
      <c r="I418" t="n">
        <v>0</v>
      </c>
      <c r="J418" t="n">
        <v>0</v>
      </c>
      <c r="K418" t="n">
        <v>0</v>
      </c>
      <c r="L418" t="n">
        <v>0</v>
      </c>
      <c r="M418" t="n">
        <v>0</v>
      </c>
      <c r="N418" t="n">
        <v>0</v>
      </c>
      <c r="O418" t="n">
        <v>0</v>
      </c>
      <c r="P418" t="n">
        <v>0</v>
      </c>
      <c r="Q418" t="n">
        <v>0</v>
      </c>
      <c r="R418" s="2" t="inlineStr"/>
    </row>
    <row r="419" ht="15" customHeight="1">
      <c r="A419" t="inlineStr">
        <is>
          <t>A 38358-2023</t>
        </is>
      </c>
      <c r="B419" s="1" t="n">
        <v>45161.94293981481</v>
      </c>
      <c r="C419" s="1" t="n">
        <v>45935</v>
      </c>
      <c r="D419" t="inlineStr">
        <is>
          <t>NORRBOTTENS LÄN</t>
        </is>
      </c>
      <c r="E419" t="inlineStr">
        <is>
          <t>LULEÅ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58760-2023</t>
        </is>
      </c>
      <c r="B420" s="1" t="n">
        <v>45251</v>
      </c>
      <c r="C420" s="1" t="n">
        <v>45935</v>
      </c>
      <c r="D420" t="inlineStr">
        <is>
          <t>NORRBOTTENS LÄN</t>
        </is>
      </c>
      <c r="E420" t="inlineStr">
        <is>
          <t>LULEÅ</t>
        </is>
      </c>
      <c r="G420" t="n">
        <v>5.4</v>
      </c>
      <c r="H420" t="n">
        <v>0</v>
      </c>
      <c r="I420" t="n">
        <v>0</v>
      </c>
      <c r="J420" t="n">
        <v>0</v>
      </c>
      <c r="K420" t="n">
        <v>0</v>
      </c>
      <c r="L420" t="n">
        <v>0</v>
      </c>
      <c r="M420" t="n">
        <v>0</v>
      </c>
      <c r="N420" t="n">
        <v>0</v>
      </c>
      <c r="O420" t="n">
        <v>0</v>
      </c>
      <c r="P420" t="n">
        <v>0</v>
      </c>
      <c r="Q420" t="n">
        <v>0</v>
      </c>
      <c r="R420" s="2" t="inlineStr"/>
    </row>
    <row r="421" ht="15" customHeight="1">
      <c r="A421" t="inlineStr">
        <is>
          <t>A 57115-2024</t>
        </is>
      </c>
      <c r="B421" s="1" t="n">
        <v>45629.36509259259</v>
      </c>
      <c r="C421" s="1" t="n">
        <v>45935</v>
      </c>
      <c r="D421" t="inlineStr">
        <is>
          <t>NORRBOTTENS LÄN</t>
        </is>
      </c>
      <c r="E421" t="inlineStr">
        <is>
          <t>LULEÅ</t>
        </is>
      </c>
      <c r="G421" t="n">
        <v>10.4</v>
      </c>
      <c r="H421" t="n">
        <v>0</v>
      </c>
      <c r="I421" t="n">
        <v>0</v>
      </c>
      <c r="J421" t="n">
        <v>0</v>
      </c>
      <c r="K421" t="n">
        <v>0</v>
      </c>
      <c r="L421" t="n">
        <v>0</v>
      </c>
      <c r="M421" t="n">
        <v>0</v>
      </c>
      <c r="N421" t="n">
        <v>0</v>
      </c>
      <c r="O421" t="n">
        <v>0</v>
      </c>
      <c r="P421" t="n">
        <v>0</v>
      </c>
      <c r="Q421" t="n">
        <v>0</v>
      </c>
      <c r="R421" s="2" t="inlineStr"/>
    </row>
    <row r="422" ht="15" customHeight="1">
      <c r="A422" t="inlineStr">
        <is>
          <t>A 8816-2023</t>
        </is>
      </c>
      <c r="B422" s="1" t="n">
        <v>44973</v>
      </c>
      <c r="C422" s="1" t="n">
        <v>45935</v>
      </c>
      <c r="D422" t="inlineStr">
        <is>
          <t>NORRBOTTENS LÄN</t>
        </is>
      </c>
      <c r="E422" t="inlineStr">
        <is>
          <t>LULEÅ</t>
        </is>
      </c>
      <c r="G422" t="n">
        <v>7.4</v>
      </c>
      <c r="H422" t="n">
        <v>0</v>
      </c>
      <c r="I422" t="n">
        <v>0</v>
      </c>
      <c r="J422" t="n">
        <v>0</v>
      </c>
      <c r="K422" t="n">
        <v>0</v>
      </c>
      <c r="L422" t="n">
        <v>0</v>
      </c>
      <c r="M422" t="n">
        <v>0</v>
      </c>
      <c r="N422" t="n">
        <v>0</v>
      </c>
      <c r="O422" t="n">
        <v>0</v>
      </c>
      <c r="P422" t="n">
        <v>0</v>
      </c>
      <c r="Q422" t="n">
        <v>0</v>
      </c>
      <c r="R422" s="2" t="inlineStr"/>
    </row>
    <row r="423" ht="15" customHeight="1">
      <c r="A423" t="inlineStr">
        <is>
          <t>A 11853-2025</t>
        </is>
      </c>
      <c r="B423" s="1" t="n">
        <v>45727</v>
      </c>
      <c r="C423" s="1" t="n">
        <v>45935</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12323-2023</t>
        </is>
      </c>
      <c r="B424" s="1" t="n">
        <v>44995</v>
      </c>
      <c r="C424" s="1" t="n">
        <v>45935</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145-2025</t>
        </is>
      </c>
      <c r="B425" s="1" t="n">
        <v>45659.59091435185</v>
      </c>
      <c r="C425" s="1" t="n">
        <v>45935</v>
      </c>
      <c r="D425" t="inlineStr">
        <is>
          <t>NORRBOTTENS LÄN</t>
        </is>
      </c>
      <c r="E425" t="inlineStr">
        <is>
          <t>LULEÅ</t>
        </is>
      </c>
      <c r="G425" t="n">
        <v>1.4</v>
      </c>
      <c r="H425" t="n">
        <v>0</v>
      </c>
      <c r="I425" t="n">
        <v>0</v>
      </c>
      <c r="J425" t="n">
        <v>0</v>
      </c>
      <c r="K425" t="n">
        <v>0</v>
      </c>
      <c r="L425" t="n">
        <v>0</v>
      </c>
      <c r="M425" t="n">
        <v>0</v>
      </c>
      <c r="N425" t="n">
        <v>0</v>
      </c>
      <c r="O425" t="n">
        <v>0</v>
      </c>
      <c r="P425" t="n">
        <v>0</v>
      </c>
      <c r="Q425" t="n">
        <v>0</v>
      </c>
      <c r="R425" s="2" t="inlineStr"/>
    </row>
    <row r="426" ht="15" customHeight="1">
      <c r="A426" t="inlineStr">
        <is>
          <t>A 8068-2023</t>
        </is>
      </c>
      <c r="B426" s="1" t="n">
        <v>44974.36233796296</v>
      </c>
      <c r="C426" s="1" t="n">
        <v>45935</v>
      </c>
      <c r="D426" t="inlineStr">
        <is>
          <t>NORRBOTTENS LÄN</t>
        </is>
      </c>
      <c r="E426" t="inlineStr">
        <is>
          <t>LULEÅ</t>
        </is>
      </c>
      <c r="G426" t="n">
        <v>5.4</v>
      </c>
      <c r="H426" t="n">
        <v>0</v>
      </c>
      <c r="I426" t="n">
        <v>0</v>
      </c>
      <c r="J426" t="n">
        <v>0</v>
      </c>
      <c r="K426" t="n">
        <v>0</v>
      </c>
      <c r="L426" t="n">
        <v>0</v>
      </c>
      <c r="M426" t="n">
        <v>0</v>
      </c>
      <c r="N426" t="n">
        <v>0</v>
      </c>
      <c r="O426" t="n">
        <v>0</v>
      </c>
      <c r="P426" t="n">
        <v>0</v>
      </c>
      <c r="Q426" t="n">
        <v>0</v>
      </c>
      <c r="R426" s="2" t="inlineStr"/>
    </row>
    <row r="427" ht="15" customHeight="1">
      <c r="A427" t="inlineStr">
        <is>
          <t>A 50640-2024</t>
        </is>
      </c>
      <c r="B427" s="1" t="n">
        <v>45601.67827546296</v>
      </c>
      <c r="C427" s="1" t="n">
        <v>45935</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5342-2025</t>
        </is>
      </c>
      <c r="B428" s="1" t="n">
        <v>45692.55262731481</v>
      </c>
      <c r="C428" s="1" t="n">
        <v>45935</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7168-2025</t>
        </is>
      </c>
      <c r="B429" s="1" t="n">
        <v>45702.40306712963</v>
      </c>
      <c r="C429" s="1" t="n">
        <v>45935</v>
      </c>
      <c r="D429" t="inlineStr">
        <is>
          <t>NORRBOTTENS LÄN</t>
        </is>
      </c>
      <c r="E429" t="inlineStr">
        <is>
          <t>LULEÅ</t>
        </is>
      </c>
      <c r="G429" t="n">
        <v>1.8</v>
      </c>
      <c r="H429" t="n">
        <v>0</v>
      </c>
      <c r="I429" t="n">
        <v>0</v>
      </c>
      <c r="J429" t="n">
        <v>0</v>
      </c>
      <c r="K429" t="n">
        <v>0</v>
      </c>
      <c r="L429" t="n">
        <v>0</v>
      </c>
      <c r="M429" t="n">
        <v>0</v>
      </c>
      <c r="N429" t="n">
        <v>0</v>
      </c>
      <c r="O429" t="n">
        <v>0</v>
      </c>
      <c r="P429" t="n">
        <v>0</v>
      </c>
      <c r="Q429" t="n">
        <v>0</v>
      </c>
      <c r="R429" s="2" t="inlineStr"/>
    </row>
    <row r="430" ht="15" customHeight="1">
      <c r="A430" t="inlineStr">
        <is>
          <t>A 12602-2024</t>
        </is>
      </c>
      <c r="B430" s="1" t="n">
        <v>45381</v>
      </c>
      <c r="C430" s="1" t="n">
        <v>45935</v>
      </c>
      <c r="D430" t="inlineStr">
        <is>
          <t>NORRBOTTENS LÄN</t>
        </is>
      </c>
      <c r="E430" t="inlineStr">
        <is>
          <t>LULEÅ</t>
        </is>
      </c>
      <c r="G430" t="n">
        <v>5.6</v>
      </c>
      <c r="H430" t="n">
        <v>0</v>
      </c>
      <c r="I430" t="n">
        <v>0</v>
      </c>
      <c r="J430" t="n">
        <v>0</v>
      </c>
      <c r="K430" t="n">
        <v>0</v>
      </c>
      <c r="L430" t="n">
        <v>0</v>
      </c>
      <c r="M430" t="n">
        <v>0</v>
      </c>
      <c r="N430" t="n">
        <v>0</v>
      </c>
      <c r="O430" t="n">
        <v>0</v>
      </c>
      <c r="P430" t="n">
        <v>0</v>
      </c>
      <c r="Q430" t="n">
        <v>0</v>
      </c>
      <c r="R430" s="2" t="inlineStr"/>
    </row>
    <row r="431" ht="15" customHeight="1">
      <c r="A431" t="inlineStr">
        <is>
          <t>A 47849-2025</t>
        </is>
      </c>
      <c r="B431" s="1" t="n">
        <v>45932.38608796296</v>
      </c>
      <c r="C431" s="1" t="n">
        <v>45935</v>
      </c>
      <c r="D431" t="inlineStr">
        <is>
          <t>NORRBOTTENS LÄN</t>
        </is>
      </c>
      <c r="E431" t="inlineStr">
        <is>
          <t>LULEÅ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47888-2025</t>
        </is>
      </c>
      <c r="B432" s="1" t="n">
        <v>45932.46949074074</v>
      </c>
      <c r="C432" s="1" t="n">
        <v>45935</v>
      </c>
      <c r="D432" t="inlineStr">
        <is>
          <t>NORRBOTTENS LÄN</t>
        </is>
      </c>
      <c r="E432" t="inlineStr">
        <is>
          <t>LULEÅ</t>
        </is>
      </c>
      <c r="G432" t="n">
        <v>3.5</v>
      </c>
      <c r="H432" t="n">
        <v>0</v>
      </c>
      <c r="I432" t="n">
        <v>0</v>
      </c>
      <c r="J432" t="n">
        <v>0</v>
      </c>
      <c r="K432" t="n">
        <v>0</v>
      </c>
      <c r="L432" t="n">
        <v>0</v>
      </c>
      <c r="M432" t="n">
        <v>0</v>
      </c>
      <c r="N432" t="n">
        <v>0</v>
      </c>
      <c r="O432" t="n">
        <v>0</v>
      </c>
      <c r="P432" t="n">
        <v>0</v>
      </c>
      <c r="Q432" t="n">
        <v>0</v>
      </c>
      <c r="R432" s="2" t="inlineStr"/>
    </row>
    <row r="433" ht="15" customHeight="1">
      <c r="A433" t="inlineStr">
        <is>
          <t>A 5058-2025</t>
        </is>
      </c>
      <c r="B433" s="1" t="n">
        <v>45691.46903935185</v>
      </c>
      <c r="C433" s="1" t="n">
        <v>45935</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62697-2022</t>
        </is>
      </c>
      <c r="B434" s="1" t="n">
        <v>44917</v>
      </c>
      <c r="C434" s="1" t="n">
        <v>45935</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9502-2025</t>
        </is>
      </c>
      <c r="B435" s="1" t="n">
        <v>45714</v>
      </c>
      <c r="C435" s="1" t="n">
        <v>45935</v>
      </c>
      <c r="D435" t="inlineStr">
        <is>
          <t>NORRBOTTENS LÄN</t>
        </is>
      </c>
      <c r="E435" t="inlineStr">
        <is>
          <t>LULEÅ</t>
        </is>
      </c>
      <c r="G435" t="n">
        <v>5.6</v>
      </c>
      <c r="H435" t="n">
        <v>0</v>
      </c>
      <c r="I435" t="n">
        <v>0</v>
      </c>
      <c r="J435" t="n">
        <v>0</v>
      </c>
      <c r="K435" t="n">
        <v>0</v>
      </c>
      <c r="L435" t="n">
        <v>0</v>
      </c>
      <c r="M435" t="n">
        <v>0</v>
      </c>
      <c r="N435" t="n">
        <v>0</v>
      </c>
      <c r="O435" t="n">
        <v>0</v>
      </c>
      <c r="P435" t="n">
        <v>0</v>
      </c>
      <c r="Q435" t="n">
        <v>0</v>
      </c>
      <c r="R435" s="2" t="inlineStr"/>
    </row>
    <row r="436" ht="15" customHeight="1">
      <c r="A436" t="inlineStr">
        <is>
          <t>A 39644-2025</t>
        </is>
      </c>
      <c r="B436" s="1" t="n">
        <v>45890.61241898148</v>
      </c>
      <c r="C436" s="1" t="n">
        <v>45935</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24979-2024</t>
        </is>
      </c>
      <c r="B437" s="1" t="n">
        <v>45461</v>
      </c>
      <c r="C437" s="1" t="n">
        <v>45935</v>
      </c>
      <c r="D437" t="inlineStr">
        <is>
          <t>NORRBOTTENS LÄN</t>
        </is>
      </c>
      <c r="E437" t="inlineStr">
        <is>
          <t>LULEÅ</t>
        </is>
      </c>
      <c r="G437" t="n">
        <v>16.3</v>
      </c>
      <c r="H437" t="n">
        <v>0</v>
      </c>
      <c r="I437" t="n">
        <v>0</v>
      </c>
      <c r="J437" t="n">
        <v>0</v>
      </c>
      <c r="K437" t="n">
        <v>0</v>
      </c>
      <c r="L437" t="n">
        <v>0</v>
      </c>
      <c r="M437" t="n">
        <v>0</v>
      </c>
      <c r="N437" t="n">
        <v>0</v>
      </c>
      <c r="O437" t="n">
        <v>0</v>
      </c>
      <c r="P437" t="n">
        <v>0</v>
      </c>
      <c r="Q437" t="n">
        <v>0</v>
      </c>
      <c r="R437" s="2" t="inlineStr"/>
    </row>
    <row r="438" ht="15" customHeight="1">
      <c r="A438" t="inlineStr">
        <is>
          <t>A 2006-2023</t>
        </is>
      </c>
      <c r="B438" s="1" t="n">
        <v>44937</v>
      </c>
      <c r="C438" s="1" t="n">
        <v>45935</v>
      </c>
      <c r="D438" t="inlineStr">
        <is>
          <t>NORRBOTTENS LÄN</t>
        </is>
      </c>
      <c r="E438" t="inlineStr">
        <is>
          <t>LULEÅ</t>
        </is>
      </c>
      <c r="G438" t="n">
        <v>0.4</v>
      </c>
      <c r="H438" t="n">
        <v>0</v>
      </c>
      <c r="I438" t="n">
        <v>0</v>
      </c>
      <c r="J438" t="n">
        <v>0</v>
      </c>
      <c r="K438" t="n">
        <v>0</v>
      </c>
      <c r="L438" t="n">
        <v>0</v>
      </c>
      <c r="M438" t="n">
        <v>0</v>
      </c>
      <c r="N438" t="n">
        <v>0</v>
      </c>
      <c r="O438" t="n">
        <v>0</v>
      </c>
      <c r="P438" t="n">
        <v>0</v>
      </c>
      <c r="Q438" t="n">
        <v>0</v>
      </c>
      <c r="R438" s="2" t="inlineStr"/>
    </row>
    <row r="439" ht="15" customHeight="1">
      <c r="A439" t="inlineStr">
        <is>
          <t>A 47928-2025</t>
        </is>
      </c>
      <c r="B439" s="1" t="n">
        <v>45932.54988425926</v>
      </c>
      <c r="C439" s="1" t="n">
        <v>45935</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45935</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37820-2022</t>
        </is>
      </c>
      <c r="B441" s="1" t="n">
        <v>44810</v>
      </c>
      <c r="C441" s="1" t="n">
        <v>45935</v>
      </c>
      <c r="D441" t="inlineStr">
        <is>
          <t>NORRBOTTENS LÄN</t>
        </is>
      </c>
      <c r="E441" t="inlineStr">
        <is>
          <t>LULEÅ</t>
        </is>
      </c>
      <c r="G441" t="n">
        <v>3.1</v>
      </c>
      <c r="H441" t="n">
        <v>0</v>
      </c>
      <c r="I441" t="n">
        <v>0</v>
      </c>
      <c r="J441" t="n">
        <v>0</v>
      </c>
      <c r="K441" t="n">
        <v>0</v>
      </c>
      <c r="L441" t="n">
        <v>0</v>
      </c>
      <c r="M441" t="n">
        <v>0</v>
      </c>
      <c r="N441" t="n">
        <v>0</v>
      </c>
      <c r="O441" t="n">
        <v>0</v>
      </c>
      <c r="P441" t="n">
        <v>0</v>
      </c>
      <c r="Q441" t="n">
        <v>0</v>
      </c>
      <c r="R441" s="2" t="inlineStr"/>
    </row>
    <row r="442" ht="15" customHeight="1">
      <c r="A442" t="inlineStr">
        <is>
          <t>A 47937-2025</t>
        </is>
      </c>
      <c r="B442" s="1" t="n">
        <v>45932.56042824074</v>
      </c>
      <c r="C442" s="1" t="n">
        <v>45935</v>
      </c>
      <c r="D442" t="inlineStr">
        <is>
          <t>NORRBOTTENS LÄN</t>
        </is>
      </c>
      <c r="E442" t="inlineStr">
        <is>
          <t>LULEÅ</t>
        </is>
      </c>
      <c r="G442" t="n">
        <v>7</v>
      </c>
      <c r="H442" t="n">
        <v>0</v>
      </c>
      <c r="I442" t="n">
        <v>0</v>
      </c>
      <c r="J442" t="n">
        <v>0</v>
      </c>
      <c r="K442" t="n">
        <v>0</v>
      </c>
      <c r="L442" t="n">
        <v>0</v>
      </c>
      <c r="M442" t="n">
        <v>0</v>
      </c>
      <c r="N442" t="n">
        <v>0</v>
      </c>
      <c r="O442" t="n">
        <v>0</v>
      </c>
      <c r="P442" t="n">
        <v>0</v>
      </c>
      <c r="Q442" t="n">
        <v>0</v>
      </c>
      <c r="R442" s="2" t="inlineStr"/>
    </row>
    <row r="443" ht="15" customHeight="1">
      <c r="A443" t="inlineStr">
        <is>
          <t>A 39550-2025</t>
        </is>
      </c>
      <c r="B443" s="1" t="n">
        <v>45890</v>
      </c>
      <c r="C443" s="1" t="n">
        <v>45935</v>
      </c>
      <c r="D443" t="inlineStr">
        <is>
          <t>NORRBOTTENS LÄN</t>
        </is>
      </c>
      <c r="E443" t="inlineStr">
        <is>
          <t>LULEÅ</t>
        </is>
      </c>
      <c r="G443" t="n">
        <v>7.4</v>
      </c>
      <c r="H443" t="n">
        <v>0</v>
      </c>
      <c r="I443" t="n">
        <v>0</v>
      </c>
      <c r="J443" t="n">
        <v>0</v>
      </c>
      <c r="K443" t="n">
        <v>0</v>
      </c>
      <c r="L443" t="n">
        <v>0</v>
      </c>
      <c r="M443" t="n">
        <v>0</v>
      </c>
      <c r="N443" t="n">
        <v>0</v>
      </c>
      <c r="O443" t="n">
        <v>0</v>
      </c>
      <c r="P443" t="n">
        <v>0</v>
      </c>
      <c r="Q443" t="n">
        <v>0</v>
      </c>
      <c r="R443" s="2" t="inlineStr"/>
    </row>
    <row r="444" ht="15" customHeight="1">
      <c r="A444" t="inlineStr">
        <is>
          <t>A 52444-2021</t>
        </is>
      </c>
      <c r="B444" s="1" t="n">
        <v>44463</v>
      </c>
      <c r="C444" s="1" t="n">
        <v>45935</v>
      </c>
      <c r="D444" t="inlineStr">
        <is>
          <t>NORRBOTTENS LÄN</t>
        </is>
      </c>
      <c r="E444" t="inlineStr">
        <is>
          <t>LULEÅ</t>
        </is>
      </c>
      <c r="G444" t="n">
        <v>2.1</v>
      </c>
      <c r="H444" t="n">
        <v>0</v>
      </c>
      <c r="I444" t="n">
        <v>0</v>
      </c>
      <c r="J444" t="n">
        <v>0</v>
      </c>
      <c r="K444" t="n">
        <v>0</v>
      </c>
      <c r="L444" t="n">
        <v>0</v>
      </c>
      <c r="M444" t="n">
        <v>0</v>
      </c>
      <c r="N444" t="n">
        <v>0</v>
      </c>
      <c r="O444" t="n">
        <v>0</v>
      </c>
      <c r="P444" t="n">
        <v>0</v>
      </c>
      <c r="Q444" t="n">
        <v>0</v>
      </c>
      <c r="R444" s="2" t="inlineStr"/>
    </row>
    <row r="445" ht="15" customHeight="1">
      <c r="A445" t="inlineStr">
        <is>
          <t>A 51655-2023</t>
        </is>
      </c>
      <c r="B445" s="1" t="n">
        <v>45215</v>
      </c>
      <c r="C445" s="1" t="n">
        <v>45935</v>
      </c>
      <c r="D445" t="inlineStr">
        <is>
          <t>NORRBOTTENS LÄN</t>
        </is>
      </c>
      <c r="E445" t="inlineStr">
        <is>
          <t>LULEÅ</t>
        </is>
      </c>
      <c r="G445" t="n">
        <v>7.5</v>
      </c>
      <c r="H445" t="n">
        <v>0</v>
      </c>
      <c r="I445" t="n">
        <v>0</v>
      </c>
      <c r="J445" t="n">
        <v>0</v>
      </c>
      <c r="K445" t="n">
        <v>0</v>
      </c>
      <c r="L445" t="n">
        <v>0</v>
      </c>
      <c r="M445" t="n">
        <v>0</v>
      </c>
      <c r="N445" t="n">
        <v>0</v>
      </c>
      <c r="O445" t="n">
        <v>0</v>
      </c>
      <c r="P445" t="n">
        <v>0</v>
      </c>
      <c r="Q445" t="n">
        <v>0</v>
      </c>
      <c r="R445" s="2" t="inlineStr"/>
    </row>
    <row r="446" ht="15" customHeight="1">
      <c r="A446" t="inlineStr">
        <is>
          <t>A 50632-2021</t>
        </is>
      </c>
      <c r="B446" s="1" t="n">
        <v>44459</v>
      </c>
      <c r="C446" s="1" t="n">
        <v>45935</v>
      </c>
      <c r="D446" t="inlineStr">
        <is>
          <t>NORRBOTTENS LÄN</t>
        </is>
      </c>
      <c r="E446" t="inlineStr">
        <is>
          <t>LULEÅ</t>
        </is>
      </c>
      <c r="G446" t="n">
        <v>3.5</v>
      </c>
      <c r="H446" t="n">
        <v>0</v>
      </c>
      <c r="I446" t="n">
        <v>0</v>
      </c>
      <c r="J446" t="n">
        <v>0</v>
      </c>
      <c r="K446" t="n">
        <v>0</v>
      </c>
      <c r="L446" t="n">
        <v>0</v>
      </c>
      <c r="M446" t="n">
        <v>0</v>
      </c>
      <c r="N446" t="n">
        <v>0</v>
      </c>
      <c r="O446" t="n">
        <v>0</v>
      </c>
      <c r="P446" t="n">
        <v>0</v>
      </c>
      <c r="Q446" t="n">
        <v>0</v>
      </c>
      <c r="R446" s="2" t="inlineStr"/>
    </row>
    <row r="447" ht="15" customHeight="1">
      <c r="A447" t="inlineStr">
        <is>
          <t>A 57911-2023</t>
        </is>
      </c>
      <c r="B447" s="1" t="n">
        <v>45247</v>
      </c>
      <c r="C447" s="1" t="n">
        <v>45935</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39531-2025</t>
        </is>
      </c>
      <c r="B448" s="1" t="n">
        <v>45890.44831018519</v>
      </c>
      <c r="C448" s="1" t="n">
        <v>45935</v>
      </c>
      <c r="D448" t="inlineStr">
        <is>
          <t>NORRBOTTENS LÄN</t>
        </is>
      </c>
      <c r="E448" t="inlineStr">
        <is>
          <t>LULEÅ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53624-2023</t>
        </is>
      </c>
      <c r="B449" s="1" t="n">
        <v>45224</v>
      </c>
      <c r="C449" s="1" t="n">
        <v>45935</v>
      </c>
      <c r="D449" t="inlineStr">
        <is>
          <t>NORRBOTTENS LÄN</t>
        </is>
      </c>
      <c r="E449" t="inlineStr">
        <is>
          <t>LULEÅ</t>
        </is>
      </c>
      <c r="G449" t="n">
        <v>3</v>
      </c>
      <c r="H449" t="n">
        <v>0</v>
      </c>
      <c r="I449" t="n">
        <v>0</v>
      </c>
      <c r="J449" t="n">
        <v>0</v>
      </c>
      <c r="K449" t="n">
        <v>0</v>
      </c>
      <c r="L449" t="n">
        <v>0</v>
      </c>
      <c r="M449" t="n">
        <v>0</v>
      </c>
      <c r="N449" t="n">
        <v>0</v>
      </c>
      <c r="O449" t="n">
        <v>0</v>
      </c>
      <c r="P449" t="n">
        <v>0</v>
      </c>
      <c r="Q449" t="n">
        <v>0</v>
      </c>
      <c r="R449" s="2" t="inlineStr"/>
    </row>
    <row r="450" ht="15" customHeight="1">
      <c r="A450" t="inlineStr">
        <is>
          <t>A 35918-2024</t>
        </is>
      </c>
      <c r="B450" s="1" t="n">
        <v>45533</v>
      </c>
      <c r="C450" s="1" t="n">
        <v>45935</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64240-2023</t>
        </is>
      </c>
      <c r="B451" s="1" t="n">
        <v>45279</v>
      </c>
      <c r="C451" s="1" t="n">
        <v>45935</v>
      </c>
      <c r="D451" t="inlineStr">
        <is>
          <t>NORRBOTTENS LÄN</t>
        </is>
      </c>
      <c r="E451" t="inlineStr">
        <is>
          <t>LULEÅ</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49712-2022</t>
        </is>
      </c>
      <c r="B452" s="1" t="n">
        <v>44859</v>
      </c>
      <c r="C452" s="1" t="n">
        <v>45935</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8767-2025</t>
        </is>
      </c>
      <c r="B453" s="1" t="n">
        <v>45712.58931712963</v>
      </c>
      <c r="C453" s="1" t="n">
        <v>45935</v>
      </c>
      <c r="D453" t="inlineStr">
        <is>
          <t>NORRBOTTENS LÄN</t>
        </is>
      </c>
      <c r="E453" t="inlineStr">
        <is>
          <t>LULEÅ</t>
        </is>
      </c>
      <c r="G453" t="n">
        <v>3.4</v>
      </c>
      <c r="H453" t="n">
        <v>0</v>
      </c>
      <c r="I453" t="n">
        <v>0</v>
      </c>
      <c r="J453" t="n">
        <v>0</v>
      </c>
      <c r="K453" t="n">
        <v>0</v>
      </c>
      <c r="L453" t="n">
        <v>0</v>
      </c>
      <c r="M453" t="n">
        <v>0</v>
      </c>
      <c r="N453" t="n">
        <v>0</v>
      </c>
      <c r="O453" t="n">
        <v>0</v>
      </c>
      <c r="P453" t="n">
        <v>0</v>
      </c>
      <c r="Q453" t="n">
        <v>0</v>
      </c>
      <c r="R453" s="2" t="inlineStr"/>
    </row>
    <row r="454" ht="15" customHeight="1">
      <c r="A454" t="inlineStr">
        <is>
          <t>A 11982-2023</t>
        </is>
      </c>
      <c r="B454" s="1" t="n">
        <v>44994</v>
      </c>
      <c r="C454" s="1" t="n">
        <v>45935</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55195-2022</t>
        </is>
      </c>
      <c r="B455" s="1" t="n">
        <v>44886</v>
      </c>
      <c r="C455" s="1" t="n">
        <v>45935</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6958-2025</t>
        </is>
      </c>
      <c r="B456" s="1" t="n">
        <v>45701.49054398148</v>
      </c>
      <c r="C456" s="1" t="n">
        <v>45935</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62061-2022</t>
        </is>
      </c>
      <c r="B457" s="1" t="n">
        <v>44914</v>
      </c>
      <c r="C457" s="1" t="n">
        <v>45935</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3895-2025</t>
        </is>
      </c>
      <c r="B458" s="1" t="n">
        <v>45683</v>
      </c>
      <c r="C458" s="1" t="n">
        <v>45935</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60121-2024</t>
        </is>
      </c>
      <c r="B459" s="1" t="n">
        <v>45642.58465277778</v>
      </c>
      <c r="C459" s="1" t="n">
        <v>45935</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29490-2023</t>
        </is>
      </c>
      <c r="B460" s="1" t="n">
        <v>45098</v>
      </c>
      <c r="C460" s="1" t="n">
        <v>45935</v>
      </c>
      <c r="D460" t="inlineStr">
        <is>
          <t>NORRBOTTENS LÄN</t>
        </is>
      </c>
      <c r="E460" t="inlineStr">
        <is>
          <t>LULEÅ</t>
        </is>
      </c>
      <c r="G460" t="n">
        <v>1.7</v>
      </c>
      <c r="H460" t="n">
        <v>0</v>
      </c>
      <c r="I460" t="n">
        <v>0</v>
      </c>
      <c r="J460" t="n">
        <v>0</v>
      </c>
      <c r="K460" t="n">
        <v>0</v>
      </c>
      <c r="L460" t="n">
        <v>0</v>
      </c>
      <c r="M460" t="n">
        <v>0</v>
      </c>
      <c r="N460" t="n">
        <v>0</v>
      </c>
      <c r="O460" t="n">
        <v>0</v>
      </c>
      <c r="P460" t="n">
        <v>0</v>
      </c>
      <c r="Q460" t="n">
        <v>0</v>
      </c>
      <c r="R460" s="2" t="inlineStr"/>
    </row>
    <row r="461" ht="15" customHeight="1">
      <c r="A461" t="inlineStr">
        <is>
          <t>A 29510-2023</t>
        </is>
      </c>
      <c r="B461" s="1" t="n">
        <v>45098</v>
      </c>
      <c r="C461" s="1" t="n">
        <v>45935</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7880-2025</t>
        </is>
      </c>
      <c r="B462" s="1" t="n">
        <v>45706.785</v>
      </c>
      <c r="C462" s="1" t="n">
        <v>45935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60651-2023</t>
        </is>
      </c>
      <c r="B463" s="1" t="n">
        <v>45260</v>
      </c>
      <c r="C463" s="1" t="n">
        <v>45935</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8271-2025</t>
        </is>
      </c>
      <c r="B464" s="1" t="n">
        <v>45708</v>
      </c>
      <c r="C464" s="1" t="n">
        <v>45935</v>
      </c>
      <c r="D464" t="inlineStr">
        <is>
          <t>NORRBOTTENS LÄN</t>
        </is>
      </c>
      <c r="E464" t="inlineStr">
        <is>
          <t>LULEÅ</t>
        </is>
      </c>
      <c r="G464" t="n">
        <v>11.4</v>
      </c>
      <c r="H464" t="n">
        <v>0</v>
      </c>
      <c r="I464" t="n">
        <v>0</v>
      </c>
      <c r="J464" t="n">
        <v>0</v>
      </c>
      <c r="K464" t="n">
        <v>0</v>
      </c>
      <c r="L464" t="n">
        <v>0</v>
      </c>
      <c r="M464" t="n">
        <v>0</v>
      </c>
      <c r="N464" t="n">
        <v>0</v>
      </c>
      <c r="O464" t="n">
        <v>0</v>
      </c>
      <c r="P464" t="n">
        <v>0</v>
      </c>
      <c r="Q464" t="n">
        <v>0</v>
      </c>
      <c r="R464" s="2" t="inlineStr"/>
    </row>
    <row r="465" ht="15" customHeight="1">
      <c r="A465" t="inlineStr">
        <is>
          <t>A 13063-2024</t>
        </is>
      </c>
      <c r="B465" s="1" t="n">
        <v>45385</v>
      </c>
      <c r="C465" s="1" t="n">
        <v>45935</v>
      </c>
      <c r="D465" t="inlineStr">
        <is>
          <t>NORRBOTTENS LÄN</t>
        </is>
      </c>
      <c r="E465" t="inlineStr">
        <is>
          <t>LULEÅ</t>
        </is>
      </c>
      <c r="G465" t="n">
        <v>2.5</v>
      </c>
      <c r="H465" t="n">
        <v>0</v>
      </c>
      <c r="I465" t="n">
        <v>0</v>
      </c>
      <c r="J465" t="n">
        <v>0</v>
      </c>
      <c r="K465" t="n">
        <v>0</v>
      </c>
      <c r="L465" t="n">
        <v>0</v>
      </c>
      <c r="M465" t="n">
        <v>0</v>
      </c>
      <c r="N465" t="n">
        <v>0</v>
      </c>
      <c r="O465" t="n">
        <v>0</v>
      </c>
      <c r="P465" t="n">
        <v>0</v>
      </c>
      <c r="Q465" t="n">
        <v>0</v>
      </c>
      <c r="R465" s="2" t="inlineStr"/>
    </row>
    <row r="466" ht="15" customHeight="1">
      <c r="A466" t="inlineStr">
        <is>
          <t>A 13065-2024</t>
        </is>
      </c>
      <c r="B466" s="1" t="n">
        <v>45385</v>
      </c>
      <c r="C466" s="1" t="n">
        <v>45935</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17898-2025</t>
        </is>
      </c>
      <c r="B467" s="1" t="n">
        <v>45758</v>
      </c>
      <c r="C467" s="1" t="n">
        <v>45935</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17900-2025</t>
        </is>
      </c>
      <c r="B468" s="1" t="n">
        <v>45758.69837962963</v>
      </c>
      <c r="C468" s="1" t="n">
        <v>45935</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58759-2023</t>
        </is>
      </c>
      <c r="B469" s="1" t="n">
        <v>45251</v>
      </c>
      <c r="C469" s="1" t="n">
        <v>45935</v>
      </c>
      <c r="D469" t="inlineStr">
        <is>
          <t>NORRBOTTENS LÄN</t>
        </is>
      </c>
      <c r="E469" t="inlineStr">
        <is>
          <t>LULEÅ</t>
        </is>
      </c>
      <c r="G469" t="n">
        <v>2.6</v>
      </c>
      <c r="H469" t="n">
        <v>0</v>
      </c>
      <c r="I469" t="n">
        <v>0</v>
      </c>
      <c r="J469" t="n">
        <v>0</v>
      </c>
      <c r="K469" t="n">
        <v>0</v>
      </c>
      <c r="L469" t="n">
        <v>0</v>
      </c>
      <c r="M469" t="n">
        <v>0</v>
      </c>
      <c r="N469" t="n">
        <v>0</v>
      </c>
      <c r="O469" t="n">
        <v>0</v>
      </c>
      <c r="P469" t="n">
        <v>0</v>
      </c>
      <c r="Q469" t="n">
        <v>0</v>
      </c>
      <c r="R469" s="2" t="inlineStr"/>
    </row>
    <row r="470" ht="15" customHeight="1">
      <c r="A470" t="inlineStr">
        <is>
          <t>A 52697-2023</t>
        </is>
      </c>
      <c r="B470" s="1" t="n">
        <v>45219</v>
      </c>
      <c r="C470" s="1" t="n">
        <v>45935</v>
      </c>
      <c r="D470" t="inlineStr">
        <is>
          <t>NORRBOTTENS LÄN</t>
        </is>
      </c>
      <c r="E470" t="inlineStr">
        <is>
          <t>LULEÅ</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23516-2025</t>
        </is>
      </c>
      <c r="B471" s="1" t="n">
        <v>45792</v>
      </c>
      <c r="C471" s="1" t="n">
        <v>45935</v>
      </c>
      <c r="D471" t="inlineStr">
        <is>
          <t>NORRBOTTENS LÄN</t>
        </is>
      </c>
      <c r="E471" t="inlineStr">
        <is>
          <t>LULEÅ</t>
        </is>
      </c>
      <c r="G471" t="n">
        <v>2.7</v>
      </c>
      <c r="H471" t="n">
        <v>0</v>
      </c>
      <c r="I471" t="n">
        <v>0</v>
      </c>
      <c r="J471" t="n">
        <v>0</v>
      </c>
      <c r="K471" t="n">
        <v>0</v>
      </c>
      <c r="L471" t="n">
        <v>0</v>
      </c>
      <c r="M471" t="n">
        <v>0</v>
      </c>
      <c r="N471" t="n">
        <v>0</v>
      </c>
      <c r="O471" t="n">
        <v>0</v>
      </c>
      <c r="P471" t="n">
        <v>0</v>
      </c>
      <c r="Q471" t="n">
        <v>0</v>
      </c>
      <c r="R471" s="2" t="inlineStr"/>
    </row>
    <row r="472" ht="15" customHeight="1">
      <c r="A472" t="inlineStr">
        <is>
          <t>A 23519-2025</t>
        </is>
      </c>
      <c r="B472" s="1" t="n">
        <v>45792.51074074074</v>
      </c>
      <c r="C472" s="1" t="n">
        <v>45935</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45615.62185185185</v>
      </c>
      <c r="C473" s="1" t="n">
        <v>45935</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45792.51074074074</v>
      </c>
      <c r="C474" s="1" t="n">
        <v>45935</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23524-2025</t>
        </is>
      </c>
      <c r="B475" s="1" t="n">
        <v>45792</v>
      </c>
      <c r="C475" s="1" t="n">
        <v>45935</v>
      </c>
      <c r="D475" t="inlineStr">
        <is>
          <t>NORRBOTTENS LÄN</t>
        </is>
      </c>
      <c r="E475" t="inlineStr">
        <is>
          <t>LULEÅ</t>
        </is>
      </c>
      <c r="G475" t="n">
        <v>6.5</v>
      </c>
      <c r="H475" t="n">
        <v>0</v>
      </c>
      <c r="I475" t="n">
        <v>0</v>
      </c>
      <c r="J475" t="n">
        <v>0</v>
      </c>
      <c r="K475" t="n">
        <v>0</v>
      </c>
      <c r="L475" t="n">
        <v>0</v>
      </c>
      <c r="M475" t="n">
        <v>0</v>
      </c>
      <c r="N475" t="n">
        <v>0</v>
      </c>
      <c r="O475" t="n">
        <v>0</v>
      </c>
      <c r="P475" t="n">
        <v>0</v>
      </c>
      <c r="Q475" t="n">
        <v>0</v>
      </c>
      <c r="R475" s="2" t="inlineStr"/>
    </row>
    <row r="476" ht="15" customHeight="1">
      <c r="A476" t="inlineStr">
        <is>
          <t>A 23505-2025</t>
        </is>
      </c>
      <c r="B476" s="1" t="n">
        <v>45792</v>
      </c>
      <c r="C476" s="1" t="n">
        <v>45935</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12116-2025</t>
        </is>
      </c>
      <c r="B477" s="1" t="n">
        <v>45729.36509259259</v>
      </c>
      <c r="C477" s="1" t="n">
        <v>45935</v>
      </c>
      <c r="D477" t="inlineStr">
        <is>
          <t>NORRBOTTENS LÄN</t>
        </is>
      </c>
      <c r="E477" t="inlineStr">
        <is>
          <t>LULEÅ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1312-2024</t>
        </is>
      </c>
      <c r="B478" s="1" t="n">
        <v>45303</v>
      </c>
      <c r="C478" s="1" t="n">
        <v>45935</v>
      </c>
      <c r="D478" t="inlineStr">
        <is>
          <t>NORRBOTTENS LÄN</t>
        </is>
      </c>
      <c r="E478" t="inlineStr">
        <is>
          <t>LULEÅ</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30950-2024</t>
        </is>
      </c>
      <c r="B479" s="1" t="n">
        <v>45499</v>
      </c>
      <c r="C479" s="1" t="n">
        <v>45935</v>
      </c>
      <c r="D479" t="inlineStr">
        <is>
          <t>NORRBOTTENS LÄN</t>
        </is>
      </c>
      <c r="E479" t="inlineStr">
        <is>
          <t>LULEÅ</t>
        </is>
      </c>
      <c r="G479" t="n">
        <v>2.3</v>
      </c>
      <c r="H479" t="n">
        <v>0</v>
      </c>
      <c r="I479" t="n">
        <v>0</v>
      </c>
      <c r="J479" t="n">
        <v>0</v>
      </c>
      <c r="K479" t="n">
        <v>0</v>
      </c>
      <c r="L479" t="n">
        <v>0</v>
      </c>
      <c r="M479" t="n">
        <v>0</v>
      </c>
      <c r="N479" t="n">
        <v>0</v>
      </c>
      <c r="O479" t="n">
        <v>0</v>
      </c>
      <c r="P479" t="n">
        <v>0</v>
      </c>
      <c r="Q479" t="n">
        <v>0</v>
      </c>
      <c r="R479" s="2" t="inlineStr"/>
    </row>
    <row r="480" ht="15" customHeight="1">
      <c r="A480" t="inlineStr">
        <is>
          <t>A 46158-2021</t>
        </is>
      </c>
      <c r="B480" s="1" t="n">
        <v>44442.43422453704</v>
      </c>
      <c r="C480" s="1" t="n">
        <v>45935</v>
      </c>
      <c r="D480" t="inlineStr">
        <is>
          <t>NORRBOTTENS LÄN</t>
        </is>
      </c>
      <c r="E480" t="inlineStr">
        <is>
          <t>LULEÅ</t>
        </is>
      </c>
      <c r="G480" t="n">
        <v>4.8</v>
      </c>
      <c r="H480" t="n">
        <v>0</v>
      </c>
      <c r="I480" t="n">
        <v>0</v>
      </c>
      <c r="J480" t="n">
        <v>0</v>
      </c>
      <c r="K480" t="n">
        <v>0</v>
      </c>
      <c r="L480" t="n">
        <v>0</v>
      </c>
      <c r="M480" t="n">
        <v>0</v>
      </c>
      <c r="N480" t="n">
        <v>0</v>
      </c>
      <c r="O480" t="n">
        <v>0</v>
      </c>
      <c r="P480" t="n">
        <v>0</v>
      </c>
      <c r="Q480" t="n">
        <v>0</v>
      </c>
      <c r="R480" s="2" t="inlineStr"/>
    </row>
    <row r="481" ht="15" customHeight="1">
      <c r="A481" t="inlineStr">
        <is>
          <t>A 57327-2024</t>
        </is>
      </c>
      <c r="B481" s="1" t="n">
        <v>45629.62572916667</v>
      </c>
      <c r="C481" s="1" t="n">
        <v>45935</v>
      </c>
      <c r="D481" t="inlineStr">
        <is>
          <t>NORRBOTTENS LÄN</t>
        </is>
      </c>
      <c r="E481" t="inlineStr">
        <is>
          <t>LULEÅ</t>
        </is>
      </c>
      <c r="F481" t="inlineStr">
        <is>
          <t>Övriga Aktiebolag</t>
        </is>
      </c>
      <c r="G481" t="n">
        <v>6.5</v>
      </c>
      <c r="H481" t="n">
        <v>0</v>
      </c>
      <c r="I481" t="n">
        <v>0</v>
      </c>
      <c r="J481" t="n">
        <v>0</v>
      </c>
      <c r="K481" t="n">
        <v>0</v>
      </c>
      <c r="L481" t="n">
        <v>0</v>
      </c>
      <c r="M481" t="n">
        <v>0</v>
      </c>
      <c r="N481" t="n">
        <v>0</v>
      </c>
      <c r="O481" t="n">
        <v>0</v>
      </c>
      <c r="P481" t="n">
        <v>0</v>
      </c>
      <c r="Q481" t="n">
        <v>0</v>
      </c>
      <c r="R481" s="2" t="inlineStr"/>
    </row>
    <row r="482" ht="15" customHeight="1">
      <c r="A482" t="inlineStr">
        <is>
          <t>A 115-2025</t>
        </is>
      </c>
      <c r="B482" s="1" t="n">
        <v>45659.51613425926</v>
      </c>
      <c r="C482" s="1" t="n">
        <v>45935</v>
      </c>
      <c r="D482" t="inlineStr">
        <is>
          <t>NORRBOTTENS LÄN</t>
        </is>
      </c>
      <c r="E482" t="inlineStr">
        <is>
          <t>LULEÅ</t>
        </is>
      </c>
      <c r="G482" t="n">
        <v>4.3</v>
      </c>
      <c r="H482" t="n">
        <v>0</v>
      </c>
      <c r="I482" t="n">
        <v>0</v>
      </c>
      <c r="J482" t="n">
        <v>0</v>
      </c>
      <c r="K482" t="n">
        <v>0</v>
      </c>
      <c r="L482" t="n">
        <v>0</v>
      </c>
      <c r="M482" t="n">
        <v>0</v>
      </c>
      <c r="N482" t="n">
        <v>0</v>
      </c>
      <c r="O482" t="n">
        <v>0</v>
      </c>
      <c r="P482" t="n">
        <v>0</v>
      </c>
      <c r="Q482" t="n">
        <v>0</v>
      </c>
      <c r="R482" s="2" t="inlineStr"/>
    </row>
    <row r="483" ht="15" customHeight="1">
      <c r="A483" t="inlineStr">
        <is>
          <t>A 34680-2023</t>
        </is>
      </c>
      <c r="B483" s="1" t="n">
        <v>45140</v>
      </c>
      <c r="C483" s="1" t="n">
        <v>45935</v>
      </c>
      <c r="D483" t="inlineStr">
        <is>
          <t>NORRBOTTENS LÄN</t>
        </is>
      </c>
      <c r="E483" t="inlineStr">
        <is>
          <t>LULEÅ</t>
        </is>
      </c>
      <c r="G483" t="n">
        <v>4.9</v>
      </c>
      <c r="H483" t="n">
        <v>0</v>
      </c>
      <c r="I483" t="n">
        <v>0</v>
      </c>
      <c r="J483" t="n">
        <v>0</v>
      </c>
      <c r="K483" t="n">
        <v>0</v>
      </c>
      <c r="L483" t="n">
        <v>0</v>
      </c>
      <c r="M483" t="n">
        <v>0</v>
      </c>
      <c r="N483" t="n">
        <v>0</v>
      </c>
      <c r="O483" t="n">
        <v>0</v>
      </c>
      <c r="P483" t="n">
        <v>0</v>
      </c>
      <c r="Q483" t="n">
        <v>0</v>
      </c>
      <c r="R483" s="2" t="inlineStr"/>
    </row>
    <row r="484" ht="15" customHeight="1">
      <c r="A484" t="inlineStr">
        <is>
          <t>A 6459-2025</t>
        </is>
      </c>
      <c r="B484" s="1" t="n">
        <v>45699.56368055556</v>
      </c>
      <c r="C484" s="1" t="n">
        <v>45935</v>
      </c>
      <c r="D484" t="inlineStr">
        <is>
          <t>NORRBOTTENS LÄN</t>
        </is>
      </c>
      <c r="E484" t="inlineStr">
        <is>
          <t>LULEÅ</t>
        </is>
      </c>
      <c r="F484" t="inlineStr">
        <is>
          <t>Övriga Aktiebolag</t>
        </is>
      </c>
      <c r="G484" t="n">
        <v>2.8</v>
      </c>
      <c r="H484" t="n">
        <v>0</v>
      </c>
      <c r="I484" t="n">
        <v>0</v>
      </c>
      <c r="J484" t="n">
        <v>0</v>
      </c>
      <c r="K484" t="n">
        <v>0</v>
      </c>
      <c r="L484" t="n">
        <v>0</v>
      </c>
      <c r="M484" t="n">
        <v>0</v>
      </c>
      <c r="N484" t="n">
        <v>0</v>
      </c>
      <c r="O484" t="n">
        <v>0</v>
      </c>
      <c r="P484" t="n">
        <v>0</v>
      </c>
      <c r="Q484" t="n">
        <v>0</v>
      </c>
      <c r="R484" s="2" t="inlineStr"/>
    </row>
    <row r="485" ht="15" customHeight="1">
      <c r="A485" t="inlineStr">
        <is>
          <t>A 49721-2022</t>
        </is>
      </c>
      <c r="B485" s="1" t="n">
        <v>44859</v>
      </c>
      <c r="C485" s="1" t="n">
        <v>45935</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86-2025</t>
        </is>
      </c>
      <c r="B486" s="1" t="n">
        <v>45659.45902777778</v>
      </c>
      <c r="C486" s="1" t="n">
        <v>45935</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59825-2024</t>
        </is>
      </c>
      <c r="B487" s="1" t="n">
        <v>45639.64152777778</v>
      </c>
      <c r="C487" s="1" t="n">
        <v>45935</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4919-2025</t>
        </is>
      </c>
      <c r="B488" s="1" t="n">
        <v>45688.68407407407</v>
      </c>
      <c r="C488" s="1" t="n">
        <v>45935</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63828-2020</t>
        </is>
      </c>
      <c r="B489" s="1" t="n">
        <v>44165</v>
      </c>
      <c r="C489" s="1" t="n">
        <v>45935</v>
      </c>
      <c r="D489" t="inlineStr">
        <is>
          <t>NORRBOTTENS LÄN</t>
        </is>
      </c>
      <c r="E489" t="inlineStr">
        <is>
          <t>LULEÅ</t>
        </is>
      </c>
      <c r="G489" t="n">
        <v>5.3</v>
      </c>
      <c r="H489" t="n">
        <v>0</v>
      </c>
      <c r="I489" t="n">
        <v>0</v>
      </c>
      <c r="J489" t="n">
        <v>0</v>
      </c>
      <c r="K489" t="n">
        <v>0</v>
      </c>
      <c r="L489" t="n">
        <v>0</v>
      </c>
      <c r="M489" t="n">
        <v>0</v>
      </c>
      <c r="N489" t="n">
        <v>0</v>
      </c>
      <c r="O489" t="n">
        <v>0</v>
      </c>
      <c r="P489" t="n">
        <v>0</v>
      </c>
      <c r="Q489" t="n">
        <v>0</v>
      </c>
      <c r="R489" s="2" t="inlineStr"/>
    </row>
    <row r="490" ht="15" customHeight="1">
      <c r="A490" t="inlineStr">
        <is>
          <t>A 38885-2023</t>
        </is>
      </c>
      <c r="B490" s="1" t="n">
        <v>45161</v>
      </c>
      <c r="C490" s="1" t="n">
        <v>45935</v>
      </c>
      <c r="D490" t="inlineStr">
        <is>
          <t>NORRBOTTENS LÄN</t>
        </is>
      </c>
      <c r="E490" t="inlineStr">
        <is>
          <t>LULEÅ</t>
        </is>
      </c>
      <c r="G490" t="n">
        <v>0.4</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45700.59357638889</v>
      </c>
      <c r="C491" s="1" t="n">
        <v>45935</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19533-2025</t>
        </is>
      </c>
      <c r="B492" s="1" t="n">
        <v>45770.47331018518</v>
      </c>
      <c r="C492" s="1" t="n">
        <v>45935</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17290-2025</t>
        </is>
      </c>
      <c r="B493" s="1" t="n">
        <v>45756.58515046296</v>
      </c>
      <c r="C493" s="1" t="n">
        <v>45935</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4921-2025</t>
        </is>
      </c>
      <c r="B494" s="1" t="n">
        <v>45688.68416666667</v>
      </c>
      <c r="C494" s="1" t="n">
        <v>45935</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339-2025</t>
        </is>
      </c>
      <c r="B495" s="1" t="n">
        <v>45660.6911574074</v>
      </c>
      <c r="C495" s="1" t="n">
        <v>45935</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28150-2024</t>
        </is>
      </c>
      <c r="B496" s="1" t="n">
        <v>45476.76228009259</v>
      </c>
      <c r="C496" s="1" t="n">
        <v>45935</v>
      </c>
      <c r="D496" t="inlineStr">
        <is>
          <t>NORRBOTTENS LÄN</t>
        </is>
      </c>
      <c r="E496" t="inlineStr">
        <is>
          <t>LULEÅ</t>
        </is>
      </c>
      <c r="G496" t="n">
        <v>4</v>
      </c>
      <c r="H496" t="n">
        <v>0</v>
      </c>
      <c r="I496" t="n">
        <v>0</v>
      </c>
      <c r="J496" t="n">
        <v>0</v>
      </c>
      <c r="K496" t="n">
        <v>0</v>
      </c>
      <c r="L496" t="n">
        <v>0</v>
      </c>
      <c r="M496" t="n">
        <v>0</v>
      </c>
      <c r="N496" t="n">
        <v>0</v>
      </c>
      <c r="O496" t="n">
        <v>0</v>
      </c>
      <c r="P496" t="n">
        <v>0</v>
      </c>
      <c r="Q496" t="n">
        <v>0</v>
      </c>
      <c r="R496" s="2" t="inlineStr"/>
    </row>
    <row r="497" ht="15" customHeight="1">
      <c r="A497" t="inlineStr">
        <is>
          <t>A 24752-2025</t>
        </is>
      </c>
      <c r="B497" s="1" t="n">
        <v>45799.3653587963</v>
      </c>
      <c r="C497" s="1" t="n">
        <v>45935</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1513-2025</t>
        </is>
      </c>
      <c r="B498" s="1" t="n">
        <v>45670.45391203704</v>
      </c>
      <c r="C498" s="1" t="n">
        <v>45935</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52667-2024</t>
        </is>
      </c>
      <c r="B499" s="1" t="n">
        <v>45610</v>
      </c>
      <c r="C499" s="1" t="n">
        <v>45935</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54824-2022</t>
        </is>
      </c>
      <c r="B500" s="1" t="n">
        <v>44883.92393518519</v>
      </c>
      <c r="C500" s="1" t="n">
        <v>45935</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34992-2024</t>
        </is>
      </c>
      <c r="B501" s="1" t="n">
        <v>45527</v>
      </c>
      <c r="C501" s="1" t="n">
        <v>45935</v>
      </c>
      <c r="D501" t="inlineStr">
        <is>
          <t>NORRBOTTENS LÄN</t>
        </is>
      </c>
      <c r="E501" t="inlineStr">
        <is>
          <t>LULEÅ</t>
        </is>
      </c>
      <c r="G501" t="n">
        <v>2.6</v>
      </c>
      <c r="H501" t="n">
        <v>0</v>
      </c>
      <c r="I501" t="n">
        <v>0</v>
      </c>
      <c r="J501" t="n">
        <v>0</v>
      </c>
      <c r="K501" t="n">
        <v>0</v>
      </c>
      <c r="L501" t="n">
        <v>0</v>
      </c>
      <c r="M501" t="n">
        <v>0</v>
      </c>
      <c r="N501" t="n">
        <v>0</v>
      </c>
      <c r="O501" t="n">
        <v>0</v>
      </c>
      <c r="P501" t="n">
        <v>0</v>
      </c>
      <c r="Q501" t="n">
        <v>0</v>
      </c>
      <c r="R501" s="2" t="inlineStr"/>
    </row>
    <row r="502" ht="15" customHeight="1">
      <c r="A502" t="inlineStr">
        <is>
          <t>A 60585-2024</t>
        </is>
      </c>
      <c r="B502" s="1" t="n">
        <v>45644</v>
      </c>
      <c r="C502" s="1" t="n">
        <v>45935</v>
      </c>
      <c r="D502" t="inlineStr">
        <is>
          <t>NORRBOTTENS LÄN</t>
        </is>
      </c>
      <c r="E502" t="inlineStr">
        <is>
          <t>LULEÅ</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5137-2024</t>
        </is>
      </c>
      <c r="B503" s="1" t="n">
        <v>45330.46430555556</v>
      </c>
      <c r="C503" s="1" t="n">
        <v>45935</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57264-2022</t>
        </is>
      </c>
      <c r="B504" s="1" t="n">
        <v>44895</v>
      </c>
      <c r="C504" s="1" t="n">
        <v>45935</v>
      </c>
      <c r="D504" t="inlineStr">
        <is>
          <t>NORRBOTTENS LÄN</t>
        </is>
      </c>
      <c r="E504" t="inlineStr">
        <is>
          <t>LULEÅ</t>
        </is>
      </c>
      <c r="G504" t="n">
        <v>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45935</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1685-2025</t>
        </is>
      </c>
      <c r="B506" s="1" t="n">
        <v>45670.69877314815</v>
      </c>
      <c r="C506" s="1" t="n">
        <v>45935</v>
      </c>
      <c r="D506" t="inlineStr">
        <is>
          <t>NORRBOTTENS LÄN</t>
        </is>
      </c>
      <c r="E506" t="inlineStr">
        <is>
          <t>LULEÅ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3184-2025</t>
        </is>
      </c>
      <c r="B507" s="1" t="n">
        <v>45679</v>
      </c>
      <c r="C507" s="1" t="n">
        <v>45935</v>
      </c>
      <c r="D507" t="inlineStr">
        <is>
          <t>NORRBOTTENS LÄN</t>
        </is>
      </c>
      <c r="E507" t="inlineStr">
        <is>
          <t>LULEÅ</t>
        </is>
      </c>
      <c r="G507" t="n">
        <v>7.4</v>
      </c>
      <c r="H507" t="n">
        <v>0</v>
      </c>
      <c r="I507" t="n">
        <v>0</v>
      </c>
      <c r="J507" t="n">
        <v>0</v>
      </c>
      <c r="K507" t="n">
        <v>0</v>
      </c>
      <c r="L507" t="n">
        <v>0</v>
      </c>
      <c r="M507" t="n">
        <v>0</v>
      </c>
      <c r="N507" t="n">
        <v>0</v>
      </c>
      <c r="O507" t="n">
        <v>0</v>
      </c>
      <c r="P507" t="n">
        <v>0</v>
      </c>
      <c r="Q507" t="n">
        <v>0</v>
      </c>
      <c r="R507" s="2" t="inlineStr"/>
    </row>
    <row r="508" ht="15" customHeight="1">
      <c r="A508" t="inlineStr">
        <is>
          <t>A 49720-2024</t>
        </is>
      </c>
      <c r="B508" s="1" t="n">
        <v>45596.72625</v>
      </c>
      <c r="C508" s="1" t="n">
        <v>45935</v>
      </c>
      <c r="D508" t="inlineStr">
        <is>
          <t>NORRBOTTENS LÄN</t>
        </is>
      </c>
      <c r="E508" t="inlineStr">
        <is>
          <t>LULEÅ</t>
        </is>
      </c>
      <c r="G508" t="n">
        <v>3.3</v>
      </c>
      <c r="H508" t="n">
        <v>0</v>
      </c>
      <c r="I508" t="n">
        <v>0</v>
      </c>
      <c r="J508" t="n">
        <v>0</v>
      </c>
      <c r="K508" t="n">
        <v>0</v>
      </c>
      <c r="L508" t="n">
        <v>0</v>
      </c>
      <c r="M508" t="n">
        <v>0</v>
      </c>
      <c r="N508" t="n">
        <v>0</v>
      </c>
      <c r="O508" t="n">
        <v>0</v>
      </c>
      <c r="P508" t="n">
        <v>0</v>
      </c>
      <c r="Q508" t="n">
        <v>0</v>
      </c>
      <c r="R508" s="2" t="inlineStr"/>
    </row>
    <row r="509" ht="15" customHeight="1">
      <c r="A509" t="inlineStr">
        <is>
          <t>A 5131-2025</t>
        </is>
      </c>
      <c r="B509" s="1" t="n">
        <v>45691.57331018519</v>
      </c>
      <c r="C509" s="1" t="n">
        <v>45935</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53754-2023</t>
        </is>
      </c>
      <c r="B510" s="1" t="n">
        <v>45230</v>
      </c>
      <c r="C510" s="1" t="n">
        <v>45935</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46587-2023</t>
        </is>
      </c>
      <c r="B511" s="1" t="n">
        <v>45194</v>
      </c>
      <c r="C511" s="1" t="n">
        <v>45935</v>
      </c>
      <c r="D511" t="inlineStr">
        <is>
          <t>NORRBOTTENS LÄN</t>
        </is>
      </c>
      <c r="E511" t="inlineStr">
        <is>
          <t>LULEÅ</t>
        </is>
      </c>
      <c r="G511" t="n">
        <v>15.3</v>
      </c>
      <c r="H511" t="n">
        <v>0</v>
      </c>
      <c r="I511" t="n">
        <v>0</v>
      </c>
      <c r="J511" t="n">
        <v>0</v>
      </c>
      <c r="K511" t="n">
        <v>0</v>
      </c>
      <c r="L511" t="n">
        <v>0</v>
      </c>
      <c r="M511" t="n">
        <v>0</v>
      </c>
      <c r="N511" t="n">
        <v>0</v>
      </c>
      <c r="O511" t="n">
        <v>0</v>
      </c>
      <c r="P511" t="n">
        <v>0</v>
      </c>
      <c r="Q511" t="n">
        <v>0</v>
      </c>
      <c r="R511" s="2" t="inlineStr"/>
    </row>
    <row r="512" ht="15" customHeight="1">
      <c r="A512" t="inlineStr">
        <is>
          <t>A 12865-2023</t>
        </is>
      </c>
      <c r="B512" s="1" t="n">
        <v>45001</v>
      </c>
      <c r="C512" s="1" t="n">
        <v>45935</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10611-2025</t>
        </is>
      </c>
      <c r="B513" s="1" t="n">
        <v>45721</v>
      </c>
      <c r="C513" s="1" t="n">
        <v>45935</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44531-2023</t>
        </is>
      </c>
      <c r="B514" s="1" t="n">
        <v>45183</v>
      </c>
      <c r="C514" s="1" t="n">
        <v>45935</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7037-2025</t>
        </is>
      </c>
      <c r="B515" s="1" t="n">
        <v>45701.63607638889</v>
      </c>
      <c r="C515" s="1" t="n">
        <v>45935</v>
      </c>
      <c r="D515" t="inlineStr">
        <is>
          <t>NORRBOTTENS LÄN</t>
        </is>
      </c>
      <c r="E515" t="inlineStr">
        <is>
          <t>LULEÅ</t>
        </is>
      </c>
      <c r="G515" t="n">
        <v>1.9</v>
      </c>
      <c r="H515" t="n">
        <v>0</v>
      </c>
      <c r="I515" t="n">
        <v>0</v>
      </c>
      <c r="J515" t="n">
        <v>0</v>
      </c>
      <c r="K515" t="n">
        <v>0</v>
      </c>
      <c r="L515" t="n">
        <v>0</v>
      </c>
      <c r="M515" t="n">
        <v>0</v>
      </c>
      <c r="N515" t="n">
        <v>0</v>
      </c>
      <c r="O515" t="n">
        <v>0</v>
      </c>
      <c r="P515" t="n">
        <v>0</v>
      </c>
      <c r="Q515" t="n">
        <v>0</v>
      </c>
      <c r="R515" s="2" t="inlineStr"/>
    </row>
    <row r="516" ht="15" customHeight="1">
      <c r="A516" t="inlineStr">
        <is>
          <t>A 47931-2024</t>
        </is>
      </c>
      <c r="B516" s="1" t="n">
        <v>45589</v>
      </c>
      <c r="C516" s="1" t="n">
        <v>45935</v>
      </c>
      <c r="D516" t="inlineStr">
        <is>
          <t>NORRBOTTENS LÄN</t>
        </is>
      </c>
      <c r="E516" t="inlineStr">
        <is>
          <t>LULEÅ</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57764-2022</t>
        </is>
      </c>
      <c r="B517" s="1" t="n">
        <v>44890</v>
      </c>
      <c r="C517" s="1" t="n">
        <v>45935</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27107-2025</t>
        </is>
      </c>
      <c r="B518" s="1" t="n">
        <v>45811</v>
      </c>
      <c r="C518" s="1" t="n">
        <v>45935</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17176-2024</t>
        </is>
      </c>
      <c r="B519" s="1" t="n">
        <v>45412</v>
      </c>
      <c r="C519" s="1" t="n">
        <v>45935</v>
      </c>
      <c r="D519" t="inlineStr">
        <is>
          <t>NORRBOTTENS LÄN</t>
        </is>
      </c>
      <c r="E519" t="inlineStr">
        <is>
          <t>LULEÅ</t>
        </is>
      </c>
      <c r="F519" t="inlineStr">
        <is>
          <t>SCA</t>
        </is>
      </c>
      <c r="G519" t="n">
        <v>8.5</v>
      </c>
      <c r="H519" t="n">
        <v>0</v>
      </c>
      <c r="I519" t="n">
        <v>0</v>
      </c>
      <c r="J519" t="n">
        <v>0</v>
      </c>
      <c r="K519" t="n">
        <v>0</v>
      </c>
      <c r="L519" t="n">
        <v>0</v>
      </c>
      <c r="M519" t="n">
        <v>0</v>
      </c>
      <c r="N519" t="n">
        <v>0</v>
      </c>
      <c r="O519" t="n">
        <v>0</v>
      </c>
      <c r="P519" t="n">
        <v>0</v>
      </c>
      <c r="Q519" t="n">
        <v>0</v>
      </c>
      <c r="R519" s="2" t="inlineStr"/>
    </row>
    <row r="520" ht="15" customHeight="1">
      <c r="A520" t="inlineStr">
        <is>
          <t>A 27463-2025</t>
        </is>
      </c>
      <c r="B520" s="1" t="n">
        <v>45813.34618055556</v>
      </c>
      <c r="C520" s="1" t="n">
        <v>45935</v>
      </c>
      <c r="D520" t="inlineStr">
        <is>
          <t>NORRBOTTENS LÄN</t>
        </is>
      </c>
      <c r="E520" t="inlineStr">
        <is>
          <t>LULEÅ</t>
        </is>
      </c>
      <c r="F520" t="inlineStr">
        <is>
          <t>Naturvårdsverket</t>
        </is>
      </c>
      <c r="G520" t="n">
        <v>8.6</v>
      </c>
      <c r="H520" t="n">
        <v>0</v>
      </c>
      <c r="I520" t="n">
        <v>0</v>
      </c>
      <c r="J520" t="n">
        <v>0</v>
      </c>
      <c r="K520" t="n">
        <v>0</v>
      </c>
      <c r="L520" t="n">
        <v>0</v>
      </c>
      <c r="M520" t="n">
        <v>0</v>
      </c>
      <c r="N520" t="n">
        <v>0</v>
      </c>
      <c r="O520" t="n">
        <v>0</v>
      </c>
      <c r="P520" t="n">
        <v>0</v>
      </c>
      <c r="Q520" t="n">
        <v>0</v>
      </c>
      <c r="R520" s="2" t="inlineStr"/>
    </row>
    <row r="521" ht="15" customHeight="1">
      <c r="A521" t="inlineStr">
        <is>
          <t>A 27526-2025</t>
        </is>
      </c>
      <c r="B521" s="1" t="n">
        <v>45813</v>
      </c>
      <c r="C521" s="1" t="n">
        <v>45935</v>
      </c>
      <c r="D521" t="inlineStr">
        <is>
          <t>NORRBOTTENS LÄN</t>
        </is>
      </c>
      <c r="E521" t="inlineStr">
        <is>
          <t>LULEÅ</t>
        </is>
      </c>
      <c r="G521" t="n">
        <v>5.7</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45935</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822-2025</t>
        </is>
      </c>
      <c r="B523" s="1" t="n">
        <v>45664</v>
      </c>
      <c r="C523" s="1" t="n">
        <v>45935</v>
      </c>
      <c r="D523" t="inlineStr">
        <is>
          <t>NORRBOTTENS LÄN</t>
        </is>
      </c>
      <c r="E523" t="inlineStr">
        <is>
          <t>LULEÅ</t>
        </is>
      </c>
      <c r="G523" t="n">
        <v>0.9</v>
      </c>
      <c r="H523" t="n">
        <v>0</v>
      </c>
      <c r="I523" t="n">
        <v>0</v>
      </c>
      <c r="J523" t="n">
        <v>0</v>
      </c>
      <c r="K523" t="n">
        <v>0</v>
      </c>
      <c r="L523" t="n">
        <v>0</v>
      </c>
      <c r="M523" t="n">
        <v>0</v>
      </c>
      <c r="N523" t="n">
        <v>0</v>
      </c>
      <c r="O523" t="n">
        <v>0</v>
      </c>
      <c r="P523" t="n">
        <v>0</v>
      </c>
      <c r="Q523" t="n">
        <v>0</v>
      </c>
      <c r="R523" s="2" t="inlineStr"/>
    </row>
    <row r="524" ht="15" customHeight="1">
      <c r="A524" t="inlineStr">
        <is>
          <t>A 72756-2021</t>
        </is>
      </c>
      <c r="B524" s="1" t="n">
        <v>44546.92277777778</v>
      </c>
      <c r="C524" s="1" t="n">
        <v>45935</v>
      </c>
      <c r="D524" t="inlineStr">
        <is>
          <t>NORRBOTTENS LÄN</t>
        </is>
      </c>
      <c r="E524" t="inlineStr">
        <is>
          <t>LULEÅ</t>
        </is>
      </c>
      <c r="G524" t="n">
        <v>1.9</v>
      </c>
      <c r="H524" t="n">
        <v>0</v>
      </c>
      <c r="I524" t="n">
        <v>0</v>
      </c>
      <c r="J524" t="n">
        <v>0</v>
      </c>
      <c r="K524" t="n">
        <v>0</v>
      </c>
      <c r="L524" t="n">
        <v>0</v>
      </c>
      <c r="M524" t="n">
        <v>0</v>
      </c>
      <c r="N524" t="n">
        <v>0</v>
      </c>
      <c r="O524" t="n">
        <v>0</v>
      </c>
      <c r="P524" t="n">
        <v>0</v>
      </c>
      <c r="Q524" t="n">
        <v>0</v>
      </c>
      <c r="R524" s="2" t="inlineStr"/>
    </row>
    <row r="525" ht="15" customHeight="1">
      <c r="A525" t="inlineStr">
        <is>
          <t>A 28344-2025</t>
        </is>
      </c>
      <c r="B525" s="1" t="n">
        <v>45817</v>
      </c>
      <c r="C525" s="1" t="n">
        <v>45935</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22364-2021</t>
        </is>
      </c>
      <c r="B526" s="1" t="n">
        <v>44322</v>
      </c>
      <c r="C526" s="1" t="n">
        <v>45935</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7689-2025</t>
        </is>
      </c>
      <c r="B527" s="1" t="n">
        <v>45706</v>
      </c>
      <c r="C527" s="1" t="n">
        <v>45935</v>
      </c>
      <c r="D527" t="inlineStr">
        <is>
          <t>NORRBOTTENS LÄN</t>
        </is>
      </c>
      <c r="E527" t="inlineStr">
        <is>
          <t>LULEÅ</t>
        </is>
      </c>
      <c r="G527" t="n">
        <v>2</v>
      </c>
      <c r="H527" t="n">
        <v>0</v>
      </c>
      <c r="I527" t="n">
        <v>0</v>
      </c>
      <c r="J527" t="n">
        <v>0</v>
      </c>
      <c r="K527" t="n">
        <v>0</v>
      </c>
      <c r="L527" t="n">
        <v>0</v>
      </c>
      <c r="M527" t="n">
        <v>0</v>
      </c>
      <c r="N527" t="n">
        <v>0</v>
      </c>
      <c r="O527" t="n">
        <v>0</v>
      </c>
      <c r="P527" t="n">
        <v>0</v>
      </c>
      <c r="Q527" t="n">
        <v>0</v>
      </c>
      <c r="R527" s="2" t="inlineStr"/>
    </row>
    <row r="528" ht="15" customHeight="1">
      <c r="A528" t="inlineStr">
        <is>
          <t>A 29555-2024</t>
        </is>
      </c>
      <c r="B528" s="1" t="n">
        <v>45484</v>
      </c>
      <c r="C528" s="1" t="n">
        <v>45935</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19526-2025</t>
        </is>
      </c>
      <c r="B529" s="1" t="n">
        <v>45770.46388888889</v>
      </c>
      <c r="C529" s="1" t="n">
        <v>45935</v>
      </c>
      <c r="D529" t="inlineStr">
        <is>
          <t>NORRBOTTENS LÄN</t>
        </is>
      </c>
      <c r="E529" t="inlineStr">
        <is>
          <t>LULEÅ</t>
        </is>
      </c>
      <c r="G529" t="n">
        <v>10.6</v>
      </c>
      <c r="H529" t="n">
        <v>0</v>
      </c>
      <c r="I529" t="n">
        <v>0</v>
      </c>
      <c r="J529" t="n">
        <v>0</v>
      </c>
      <c r="K529" t="n">
        <v>0</v>
      </c>
      <c r="L529" t="n">
        <v>0</v>
      </c>
      <c r="M529" t="n">
        <v>0</v>
      </c>
      <c r="N529" t="n">
        <v>0</v>
      </c>
      <c r="O529" t="n">
        <v>0</v>
      </c>
      <c r="P529" t="n">
        <v>0</v>
      </c>
      <c r="Q529" t="n">
        <v>0</v>
      </c>
      <c r="R529" s="2" t="inlineStr"/>
    </row>
    <row r="530" ht="15" customHeight="1">
      <c r="A530" t="inlineStr">
        <is>
          <t>A 60721-2024</t>
        </is>
      </c>
      <c r="B530" s="1" t="n">
        <v>45644</v>
      </c>
      <c r="C530" s="1" t="n">
        <v>45935</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20690-2024</t>
        </is>
      </c>
      <c r="B531" s="1" t="n">
        <v>45436</v>
      </c>
      <c r="C531" s="1" t="n">
        <v>45935</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4237-2025</t>
        </is>
      </c>
      <c r="B532" s="1" t="n">
        <v>45685</v>
      </c>
      <c r="C532" s="1" t="n">
        <v>45935</v>
      </c>
      <c r="D532" t="inlineStr">
        <is>
          <t>NORRBOTTENS LÄN</t>
        </is>
      </c>
      <c r="E532" t="inlineStr">
        <is>
          <t>LULEÅ</t>
        </is>
      </c>
      <c r="G532" t="n">
        <v>4.9</v>
      </c>
      <c r="H532" t="n">
        <v>0</v>
      </c>
      <c r="I532" t="n">
        <v>0</v>
      </c>
      <c r="J532" t="n">
        <v>0</v>
      </c>
      <c r="K532" t="n">
        <v>0</v>
      </c>
      <c r="L532" t="n">
        <v>0</v>
      </c>
      <c r="M532" t="n">
        <v>0</v>
      </c>
      <c r="N532" t="n">
        <v>0</v>
      </c>
      <c r="O532" t="n">
        <v>0</v>
      </c>
      <c r="P532" t="n">
        <v>0</v>
      </c>
      <c r="Q532" t="n">
        <v>0</v>
      </c>
      <c r="R532" s="2" t="inlineStr"/>
    </row>
    <row r="533" ht="15" customHeight="1">
      <c r="A533" t="inlineStr">
        <is>
          <t>A 59115-2021</t>
        </is>
      </c>
      <c r="B533" s="1" t="n">
        <v>44490.43877314815</v>
      </c>
      <c r="C533" s="1" t="n">
        <v>45935</v>
      </c>
      <c r="D533" t="inlineStr">
        <is>
          <t>NORRBOTTENS LÄN</t>
        </is>
      </c>
      <c r="E533" t="inlineStr">
        <is>
          <t>LULEÅ</t>
        </is>
      </c>
      <c r="F533" t="inlineStr">
        <is>
          <t>Kommuner</t>
        </is>
      </c>
      <c r="G533" t="n">
        <v>2.4</v>
      </c>
      <c r="H533" t="n">
        <v>0</v>
      </c>
      <c r="I533" t="n">
        <v>0</v>
      </c>
      <c r="J533" t="n">
        <v>0</v>
      </c>
      <c r="K533" t="n">
        <v>0</v>
      </c>
      <c r="L533" t="n">
        <v>0</v>
      </c>
      <c r="M533" t="n">
        <v>0</v>
      </c>
      <c r="N533" t="n">
        <v>0</v>
      </c>
      <c r="O533" t="n">
        <v>0</v>
      </c>
      <c r="P533" t="n">
        <v>0</v>
      </c>
      <c r="Q533" t="n">
        <v>0</v>
      </c>
      <c r="R533" s="2" t="inlineStr"/>
    </row>
    <row r="534" ht="15" customHeight="1">
      <c r="A534" t="inlineStr">
        <is>
          <t>A 26925-2024</t>
        </is>
      </c>
      <c r="B534" s="1" t="n">
        <v>45470.93118055556</v>
      </c>
      <c r="C534" s="1" t="n">
        <v>45935</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29332-2025</t>
        </is>
      </c>
      <c r="B535" s="1" t="n">
        <v>45824</v>
      </c>
      <c r="C535" s="1" t="n">
        <v>45935</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37765-2021</t>
        </is>
      </c>
      <c r="B536" s="1" t="n">
        <v>44400</v>
      </c>
      <c r="C536" s="1" t="n">
        <v>45935</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5038-2025</t>
        </is>
      </c>
      <c r="B537" s="1" t="n">
        <v>45691.42896990741</v>
      </c>
      <c r="C537" s="1" t="n">
        <v>45935</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29530-2025</t>
        </is>
      </c>
      <c r="B538" s="1" t="n">
        <v>45825.3443287037</v>
      </c>
      <c r="C538" s="1" t="n">
        <v>45935</v>
      </c>
      <c r="D538" t="inlineStr">
        <is>
          <t>NORRBOTTENS LÄN</t>
        </is>
      </c>
      <c r="E538" t="inlineStr">
        <is>
          <t>LULEÅ</t>
        </is>
      </c>
      <c r="F538" t="inlineStr">
        <is>
          <t>SCA</t>
        </is>
      </c>
      <c r="G538" t="n">
        <v>17.5</v>
      </c>
      <c r="H538" t="n">
        <v>0</v>
      </c>
      <c r="I538" t="n">
        <v>0</v>
      </c>
      <c r="J538" t="n">
        <v>0</v>
      </c>
      <c r="K538" t="n">
        <v>0</v>
      </c>
      <c r="L538" t="n">
        <v>0</v>
      </c>
      <c r="M538" t="n">
        <v>0</v>
      </c>
      <c r="N538" t="n">
        <v>0</v>
      </c>
      <c r="O538" t="n">
        <v>0</v>
      </c>
      <c r="P538" t="n">
        <v>0</v>
      </c>
      <c r="Q538" t="n">
        <v>0</v>
      </c>
      <c r="R538" s="2" t="inlineStr"/>
    </row>
    <row r="539" ht="15" customHeight="1">
      <c r="A539" t="inlineStr">
        <is>
          <t>A 5051-2025</t>
        </is>
      </c>
      <c r="B539" s="1" t="n">
        <v>45691.45101851852</v>
      </c>
      <c r="C539" s="1" t="n">
        <v>45935</v>
      </c>
      <c r="D539" t="inlineStr">
        <is>
          <t>NORRBOTTENS LÄN</t>
        </is>
      </c>
      <c r="E539" t="inlineStr">
        <is>
          <t>LULEÅ</t>
        </is>
      </c>
      <c r="G539" t="n">
        <v>0.9</v>
      </c>
      <c r="H539" t="n">
        <v>0</v>
      </c>
      <c r="I539" t="n">
        <v>0</v>
      </c>
      <c r="J539" t="n">
        <v>0</v>
      </c>
      <c r="K539" t="n">
        <v>0</v>
      </c>
      <c r="L539" t="n">
        <v>0</v>
      </c>
      <c r="M539" t="n">
        <v>0</v>
      </c>
      <c r="N539" t="n">
        <v>0</v>
      </c>
      <c r="O539" t="n">
        <v>0</v>
      </c>
      <c r="P539" t="n">
        <v>0</v>
      </c>
      <c r="Q539" t="n">
        <v>0</v>
      </c>
      <c r="R539" s="2" t="inlineStr"/>
    </row>
    <row r="540" ht="15" customHeight="1">
      <c r="A540" t="inlineStr">
        <is>
          <t>A 29375-2025</t>
        </is>
      </c>
      <c r="B540" s="1" t="n">
        <v>45824.58546296296</v>
      </c>
      <c r="C540" s="1" t="n">
        <v>45935</v>
      </c>
      <c r="D540" t="inlineStr">
        <is>
          <t>NORRBOTTENS LÄN</t>
        </is>
      </c>
      <c r="E540" t="inlineStr">
        <is>
          <t>LULEÅ</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30035-2025</t>
        </is>
      </c>
      <c r="B541" s="1" t="n">
        <v>45826.57041666667</v>
      </c>
      <c r="C541" s="1" t="n">
        <v>45935</v>
      </c>
      <c r="D541" t="inlineStr">
        <is>
          <t>NORRBOTTENS LÄN</t>
        </is>
      </c>
      <c r="E541" t="inlineStr">
        <is>
          <t>LULEÅ</t>
        </is>
      </c>
      <c r="G541" t="n">
        <v>16.6</v>
      </c>
      <c r="H541" t="n">
        <v>0</v>
      </c>
      <c r="I541" t="n">
        <v>0</v>
      </c>
      <c r="J541" t="n">
        <v>0</v>
      </c>
      <c r="K541" t="n">
        <v>0</v>
      </c>
      <c r="L541" t="n">
        <v>0</v>
      </c>
      <c r="M541" t="n">
        <v>0</v>
      </c>
      <c r="N541" t="n">
        <v>0</v>
      </c>
      <c r="O541" t="n">
        <v>0</v>
      </c>
      <c r="P541" t="n">
        <v>0</v>
      </c>
      <c r="Q541" t="n">
        <v>0</v>
      </c>
      <c r="R541" s="2" t="inlineStr"/>
    </row>
    <row r="542" ht="15" customHeight="1">
      <c r="A542" t="inlineStr">
        <is>
          <t>A 30091-2025</t>
        </is>
      </c>
      <c r="B542" s="1" t="n">
        <v>45826</v>
      </c>
      <c r="C542" s="1" t="n">
        <v>45935</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47246-2022</t>
        </is>
      </c>
      <c r="B543" s="1" t="n">
        <v>44852</v>
      </c>
      <c r="C543" s="1" t="n">
        <v>45935</v>
      </c>
      <c r="D543" t="inlineStr">
        <is>
          <t>NORRBOTTENS LÄN</t>
        </is>
      </c>
      <c r="E543" t="inlineStr">
        <is>
          <t>LULEÅ</t>
        </is>
      </c>
      <c r="G543" t="n">
        <v>2.9</v>
      </c>
      <c r="H543" t="n">
        <v>0</v>
      </c>
      <c r="I543" t="n">
        <v>0</v>
      </c>
      <c r="J543" t="n">
        <v>0</v>
      </c>
      <c r="K543" t="n">
        <v>0</v>
      </c>
      <c r="L543" t="n">
        <v>0</v>
      </c>
      <c r="M543" t="n">
        <v>0</v>
      </c>
      <c r="N543" t="n">
        <v>0</v>
      </c>
      <c r="O543" t="n">
        <v>0</v>
      </c>
      <c r="P543" t="n">
        <v>0</v>
      </c>
      <c r="Q543" t="n">
        <v>0</v>
      </c>
      <c r="R543" s="2" t="inlineStr"/>
    </row>
    <row r="544" ht="15" customHeight="1">
      <c r="A544" t="inlineStr">
        <is>
          <t>A 29896-2025</t>
        </is>
      </c>
      <c r="B544" s="1" t="n">
        <v>45826.38290509259</v>
      </c>
      <c r="C544" s="1" t="n">
        <v>45935</v>
      </c>
      <c r="D544" t="inlineStr">
        <is>
          <t>NORRBOTTENS LÄN</t>
        </is>
      </c>
      <c r="E544" t="inlineStr">
        <is>
          <t>LULEÅ</t>
        </is>
      </c>
      <c r="G544" t="n">
        <v>17.9</v>
      </c>
      <c r="H544" t="n">
        <v>0</v>
      </c>
      <c r="I544" t="n">
        <v>0</v>
      </c>
      <c r="J544" t="n">
        <v>0</v>
      </c>
      <c r="K544" t="n">
        <v>0</v>
      </c>
      <c r="L544" t="n">
        <v>0</v>
      </c>
      <c r="M544" t="n">
        <v>0</v>
      </c>
      <c r="N544" t="n">
        <v>0</v>
      </c>
      <c r="O544" t="n">
        <v>0</v>
      </c>
      <c r="P544" t="n">
        <v>0</v>
      </c>
      <c r="Q544" t="n">
        <v>0</v>
      </c>
      <c r="R544" s="2" t="inlineStr"/>
    </row>
    <row r="545" ht="15" customHeight="1">
      <c r="A545" t="inlineStr">
        <is>
          <t>A 30241-2025</t>
        </is>
      </c>
      <c r="B545" s="1" t="n">
        <v>45827.40512731481</v>
      </c>
      <c r="C545" s="1" t="n">
        <v>45935</v>
      </c>
      <c r="D545" t="inlineStr">
        <is>
          <t>NORRBOTTENS LÄN</t>
        </is>
      </c>
      <c r="E545" t="inlineStr">
        <is>
          <t>LULEÅ</t>
        </is>
      </c>
      <c r="G545" t="n">
        <v>3</v>
      </c>
      <c r="H545" t="n">
        <v>0</v>
      </c>
      <c r="I545" t="n">
        <v>0</v>
      </c>
      <c r="J545" t="n">
        <v>0</v>
      </c>
      <c r="K545" t="n">
        <v>0</v>
      </c>
      <c r="L545" t="n">
        <v>0</v>
      </c>
      <c r="M545" t="n">
        <v>0</v>
      </c>
      <c r="N545" t="n">
        <v>0</v>
      </c>
      <c r="O545" t="n">
        <v>0</v>
      </c>
      <c r="P545" t="n">
        <v>0</v>
      </c>
      <c r="Q545" t="n">
        <v>0</v>
      </c>
      <c r="R545" s="2" t="inlineStr"/>
    </row>
    <row r="546" ht="15" customHeight="1">
      <c r="A546" t="inlineStr">
        <is>
          <t>A 30059-2025</t>
        </is>
      </c>
      <c r="B546" s="1" t="n">
        <v>45826.61388888889</v>
      </c>
      <c r="C546" s="1" t="n">
        <v>45935</v>
      </c>
      <c r="D546" t="inlineStr">
        <is>
          <t>NORRBOTTENS LÄN</t>
        </is>
      </c>
      <c r="E546" t="inlineStr">
        <is>
          <t>LULEÅ</t>
        </is>
      </c>
      <c r="G546" t="n">
        <v>1.2</v>
      </c>
      <c r="H546" t="n">
        <v>0</v>
      </c>
      <c r="I546" t="n">
        <v>0</v>
      </c>
      <c r="J546" t="n">
        <v>0</v>
      </c>
      <c r="K546" t="n">
        <v>0</v>
      </c>
      <c r="L546" t="n">
        <v>0</v>
      </c>
      <c r="M546" t="n">
        <v>0</v>
      </c>
      <c r="N546" t="n">
        <v>0</v>
      </c>
      <c r="O546" t="n">
        <v>0</v>
      </c>
      <c r="P546" t="n">
        <v>0</v>
      </c>
      <c r="Q546" t="n">
        <v>0</v>
      </c>
      <c r="R546" s="2" t="inlineStr"/>
    </row>
    <row r="547" ht="15" customHeight="1">
      <c r="A547" t="inlineStr">
        <is>
          <t>A 30065-2025</t>
        </is>
      </c>
      <c r="B547" s="1" t="n">
        <v>45826.6207175926</v>
      </c>
      <c r="C547" s="1" t="n">
        <v>45935</v>
      </c>
      <c r="D547" t="inlineStr">
        <is>
          <t>NORRBOTTENS LÄN</t>
        </is>
      </c>
      <c r="E547" t="inlineStr">
        <is>
          <t>LULEÅ</t>
        </is>
      </c>
      <c r="G547" t="n">
        <v>4</v>
      </c>
      <c r="H547" t="n">
        <v>0</v>
      </c>
      <c r="I547" t="n">
        <v>0</v>
      </c>
      <c r="J547" t="n">
        <v>0</v>
      </c>
      <c r="K547" t="n">
        <v>0</v>
      </c>
      <c r="L547" t="n">
        <v>0</v>
      </c>
      <c r="M547" t="n">
        <v>0</v>
      </c>
      <c r="N547" t="n">
        <v>0</v>
      </c>
      <c r="O547" t="n">
        <v>0</v>
      </c>
      <c r="P547" t="n">
        <v>0</v>
      </c>
      <c r="Q547" t="n">
        <v>0</v>
      </c>
      <c r="R547" s="2" t="inlineStr"/>
    </row>
    <row r="548" ht="15" customHeight="1">
      <c r="A548" t="inlineStr">
        <is>
          <t>A 30080-2025</t>
        </is>
      </c>
      <c r="B548" s="1" t="n">
        <v>45826.65047453704</v>
      </c>
      <c r="C548" s="1" t="n">
        <v>45935</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30245-2025</t>
        </is>
      </c>
      <c r="B549" s="1" t="n">
        <v>45827.4106712963</v>
      </c>
      <c r="C549" s="1" t="n">
        <v>45935</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30048-2025</t>
        </is>
      </c>
      <c r="B550" s="1" t="n">
        <v>45826.58424768518</v>
      </c>
      <c r="C550" s="1" t="n">
        <v>45935</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30052-2025</t>
        </is>
      </c>
      <c r="B551" s="1" t="n">
        <v>45826.59502314815</v>
      </c>
      <c r="C551" s="1" t="n">
        <v>45935</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30237-2025</t>
        </is>
      </c>
      <c r="B552" s="1" t="n">
        <v>45827.39997685186</v>
      </c>
      <c r="C552" s="1" t="n">
        <v>45935</v>
      </c>
      <c r="D552" t="inlineStr">
        <is>
          <t>NORRBOTTENS LÄN</t>
        </is>
      </c>
      <c r="E552" t="inlineStr">
        <is>
          <t>LULEÅ</t>
        </is>
      </c>
      <c r="G552" t="n">
        <v>17.6</v>
      </c>
      <c r="H552" t="n">
        <v>0</v>
      </c>
      <c r="I552" t="n">
        <v>0</v>
      </c>
      <c r="J552" t="n">
        <v>0</v>
      </c>
      <c r="K552" t="n">
        <v>0</v>
      </c>
      <c r="L552" t="n">
        <v>0</v>
      </c>
      <c r="M552" t="n">
        <v>0</v>
      </c>
      <c r="N552" t="n">
        <v>0</v>
      </c>
      <c r="O552" t="n">
        <v>0</v>
      </c>
      <c r="P552" t="n">
        <v>0</v>
      </c>
      <c r="Q552" t="n">
        <v>0</v>
      </c>
      <c r="R552" s="2" t="inlineStr"/>
    </row>
    <row r="553" ht="15" customHeight="1">
      <c r="A553" t="inlineStr">
        <is>
          <t>A 30238-2025</t>
        </is>
      </c>
      <c r="B553" s="1" t="n">
        <v>45827.40238425926</v>
      </c>
      <c r="C553" s="1" t="n">
        <v>45935</v>
      </c>
      <c r="D553" t="inlineStr">
        <is>
          <t>NORRBOTTENS LÄN</t>
        </is>
      </c>
      <c r="E553" t="inlineStr">
        <is>
          <t>LULEÅ</t>
        </is>
      </c>
      <c r="G553" t="n">
        <v>10.2</v>
      </c>
      <c r="H553" t="n">
        <v>0</v>
      </c>
      <c r="I553" t="n">
        <v>0</v>
      </c>
      <c r="J553" t="n">
        <v>0</v>
      </c>
      <c r="K553" t="n">
        <v>0</v>
      </c>
      <c r="L553" t="n">
        <v>0</v>
      </c>
      <c r="M553" t="n">
        <v>0</v>
      </c>
      <c r="N553" t="n">
        <v>0</v>
      </c>
      <c r="O553" t="n">
        <v>0</v>
      </c>
      <c r="P553" t="n">
        <v>0</v>
      </c>
      <c r="Q553" t="n">
        <v>0</v>
      </c>
      <c r="R553" s="2" t="inlineStr"/>
    </row>
    <row r="554" ht="15" customHeight="1">
      <c r="A554" t="inlineStr">
        <is>
          <t>A 30785-2024</t>
        </is>
      </c>
      <c r="B554" s="1" t="n">
        <v>45496</v>
      </c>
      <c r="C554" s="1" t="n">
        <v>45935</v>
      </c>
      <c r="D554" t="inlineStr">
        <is>
          <t>NORRBOTTENS LÄN</t>
        </is>
      </c>
      <c r="E554" t="inlineStr">
        <is>
          <t>LULEÅ</t>
        </is>
      </c>
      <c r="F554" t="inlineStr">
        <is>
          <t>Naturvårdsverket</t>
        </is>
      </c>
      <c r="G554" t="n">
        <v>11.7</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45935</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29975-2025</t>
        </is>
      </c>
      <c r="B556" s="1" t="n">
        <v>45826</v>
      </c>
      <c r="C556" s="1" t="n">
        <v>45935</v>
      </c>
      <c r="D556" t="inlineStr">
        <is>
          <t>NORRBOTTENS LÄN</t>
        </is>
      </c>
      <c r="E556" t="inlineStr">
        <is>
          <t>LULEÅ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30569-2025</t>
        </is>
      </c>
      <c r="B557" s="1" t="n">
        <v>45831</v>
      </c>
      <c r="C557" s="1" t="n">
        <v>45935</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30570-2025</t>
        </is>
      </c>
      <c r="B558" s="1" t="n">
        <v>45831.40694444445</v>
      </c>
      <c r="C558" s="1" t="n">
        <v>45935</v>
      </c>
      <c r="D558" t="inlineStr">
        <is>
          <t>NORRBOTTENS LÄN</t>
        </is>
      </c>
      <c r="E558" t="inlineStr">
        <is>
          <t>LULEÅ</t>
        </is>
      </c>
      <c r="G558" t="n">
        <v>4.8</v>
      </c>
      <c r="H558" t="n">
        <v>0</v>
      </c>
      <c r="I558" t="n">
        <v>0</v>
      </c>
      <c r="J558" t="n">
        <v>0</v>
      </c>
      <c r="K558" t="n">
        <v>0</v>
      </c>
      <c r="L558" t="n">
        <v>0</v>
      </c>
      <c r="M558" t="n">
        <v>0</v>
      </c>
      <c r="N558" t="n">
        <v>0</v>
      </c>
      <c r="O558" t="n">
        <v>0</v>
      </c>
      <c r="P558" t="n">
        <v>0</v>
      </c>
      <c r="Q558" t="n">
        <v>0</v>
      </c>
      <c r="R558" s="2" t="inlineStr"/>
    </row>
    <row r="559" ht="15" customHeight="1">
      <c r="A559" t="inlineStr">
        <is>
          <t>A 31025-2025</t>
        </is>
      </c>
      <c r="B559" s="1" t="n">
        <v>45831</v>
      </c>
      <c r="C559" s="1" t="n">
        <v>45935</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8022-2024</t>
        </is>
      </c>
      <c r="B560" s="1" t="n">
        <v>45350</v>
      </c>
      <c r="C560" s="1" t="n">
        <v>45935</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12539-2024</t>
        </is>
      </c>
      <c r="B561" s="1" t="n">
        <v>45379</v>
      </c>
      <c r="C561" s="1" t="n">
        <v>45935</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30727-2023</t>
        </is>
      </c>
      <c r="B562" s="1" t="n">
        <v>45112</v>
      </c>
      <c r="C562" s="1" t="n">
        <v>45935</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30907-2025</t>
        </is>
      </c>
      <c r="B563" s="1" t="n">
        <v>45832.36484953704</v>
      </c>
      <c r="C563" s="1" t="n">
        <v>45935</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19594-2025</t>
        </is>
      </c>
      <c r="B564" s="1" t="n">
        <v>45770.57881944445</v>
      </c>
      <c r="C564" s="1" t="n">
        <v>45935</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5822-2025</t>
        </is>
      </c>
      <c r="B565" s="1" t="n">
        <v>45694</v>
      </c>
      <c r="C565" s="1" t="n">
        <v>45935</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32223-2025</t>
        </is>
      </c>
      <c r="B566" s="1" t="n">
        <v>45835.59313657408</v>
      </c>
      <c r="C566" s="1" t="n">
        <v>45935</v>
      </c>
      <c r="D566" t="inlineStr">
        <is>
          <t>NORRBOTTENS LÄN</t>
        </is>
      </c>
      <c r="E566" t="inlineStr">
        <is>
          <t>LULEÅ</t>
        </is>
      </c>
      <c r="G566" t="n">
        <v>6.3</v>
      </c>
      <c r="H566" t="n">
        <v>0</v>
      </c>
      <c r="I566" t="n">
        <v>0</v>
      </c>
      <c r="J566" t="n">
        <v>0</v>
      </c>
      <c r="K566" t="n">
        <v>0</v>
      </c>
      <c r="L566" t="n">
        <v>0</v>
      </c>
      <c r="M566" t="n">
        <v>0</v>
      </c>
      <c r="N566" t="n">
        <v>0</v>
      </c>
      <c r="O566" t="n">
        <v>0</v>
      </c>
      <c r="P566" t="n">
        <v>0</v>
      </c>
      <c r="Q566" t="n">
        <v>0</v>
      </c>
      <c r="R566" s="2" t="inlineStr"/>
    </row>
    <row r="567" ht="15" customHeight="1">
      <c r="A567" t="inlineStr">
        <is>
          <t>A 59400-2024</t>
        </is>
      </c>
      <c r="B567" s="1" t="n">
        <v>45638</v>
      </c>
      <c r="C567" s="1" t="n">
        <v>45935</v>
      </c>
      <c r="D567" t="inlineStr">
        <is>
          <t>NORRBOTTENS LÄN</t>
        </is>
      </c>
      <c r="E567" t="inlineStr">
        <is>
          <t>LULEÅ</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32255-2025</t>
        </is>
      </c>
      <c r="B568" s="1" t="n">
        <v>45835.63332175926</v>
      </c>
      <c r="C568" s="1" t="n">
        <v>45935</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32127-2025</t>
        </is>
      </c>
      <c r="B569" s="1" t="n">
        <v>45835.49930555555</v>
      </c>
      <c r="C569" s="1" t="n">
        <v>45935</v>
      </c>
      <c r="D569" t="inlineStr">
        <is>
          <t>NORRBOTTENS LÄN</t>
        </is>
      </c>
      <c r="E569" t="inlineStr">
        <is>
          <t>LULEÅ</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31620-2025</t>
        </is>
      </c>
      <c r="B570" s="1" t="n">
        <v>45833.87428240741</v>
      </c>
      <c r="C570" s="1" t="n">
        <v>45935</v>
      </c>
      <c r="D570" t="inlineStr">
        <is>
          <t>NORRBOTTENS LÄN</t>
        </is>
      </c>
      <c r="E570" t="inlineStr">
        <is>
          <t>LULEÅ</t>
        </is>
      </c>
      <c r="G570" t="n">
        <v>7.7</v>
      </c>
      <c r="H570" t="n">
        <v>0</v>
      </c>
      <c r="I570" t="n">
        <v>0</v>
      </c>
      <c r="J570" t="n">
        <v>0</v>
      </c>
      <c r="K570" t="n">
        <v>0</v>
      </c>
      <c r="L570" t="n">
        <v>0</v>
      </c>
      <c r="M570" t="n">
        <v>0</v>
      </c>
      <c r="N570" t="n">
        <v>0</v>
      </c>
      <c r="O570" t="n">
        <v>0</v>
      </c>
      <c r="P570" t="n">
        <v>0</v>
      </c>
      <c r="Q570" t="n">
        <v>0</v>
      </c>
      <c r="R570" s="2" t="inlineStr"/>
    </row>
    <row r="571" ht="15" customHeight="1">
      <c r="A571" t="inlineStr">
        <is>
          <t>A 32154-2025</t>
        </is>
      </c>
      <c r="B571" s="1" t="n">
        <v>45835.53480324074</v>
      </c>
      <c r="C571" s="1" t="n">
        <v>45935</v>
      </c>
      <c r="D571" t="inlineStr">
        <is>
          <t>NORRBOTTENS LÄN</t>
        </is>
      </c>
      <c r="E571" t="inlineStr">
        <is>
          <t>LULEÅ</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32264-2025</t>
        </is>
      </c>
      <c r="B572" s="1" t="n">
        <v>45835.64934027778</v>
      </c>
      <c r="C572" s="1" t="n">
        <v>45935</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26513-2025</t>
        </is>
      </c>
      <c r="B573" s="1" t="n">
        <v>45807</v>
      </c>
      <c r="C573" s="1" t="n">
        <v>45935</v>
      </c>
      <c r="D573" t="inlineStr">
        <is>
          <t>NORRBOTTENS LÄN</t>
        </is>
      </c>
      <c r="E573" t="inlineStr">
        <is>
          <t>LULEÅ</t>
        </is>
      </c>
      <c r="G573" t="n">
        <v>5</v>
      </c>
      <c r="H573" t="n">
        <v>0</v>
      </c>
      <c r="I573" t="n">
        <v>0</v>
      </c>
      <c r="J573" t="n">
        <v>0</v>
      </c>
      <c r="K573" t="n">
        <v>0</v>
      </c>
      <c r="L573" t="n">
        <v>0</v>
      </c>
      <c r="M573" t="n">
        <v>0</v>
      </c>
      <c r="N573" t="n">
        <v>0</v>
      </c>
      <c r="O573" t="n">
        <v>0</v>
      </c>
      <c r="P573" t="n">
        <v>0</v>
      </c>
      <c r="Q573" t="n">
        <v>0</v>
      </c>
      <c r="R573" s="2" t="inlineStr"/>
    </row>
    <row r="574" ht="15" customHeight="1">
      <c r="A574" t="inlineStr">
        <is>
          <t>A 32253-2025</t>
        </is>
      </c>
      <c r="B574" s="1" t="n">
        <v>45835.63008101852</v>
      </c>
      <c r="C574" s="1" t="n">
        <v>45935</v>
      </c>
      <c r="D574" t="inlineStr">
        <is>
          <t>NORRBOTTENS LÄN</t>
        </is>
      </c>
      <c r="E574" t="inlineStr">
        <is>
          <t>LULEÅ</t>
        </is>
      </c>
      <c r="G574" t="n">
        <v>7.4</v>
      </c>
      <c r="H574" t="n">
        <v>0</v>
      </c>
      <c r="I574" t="n">
        <v>0</v>
      </c>
      <c r="J574" t="n">
        <v>0</v>
      </c>
      <c r="K574" t="n">
        <v>0</v>
      </c>
      <c r="L574" t="n">
        <v>0</v>
      </c>
      <c r="M574" t="n">
        <v>0</v>
      </c>
      <c r="N574" t="n">
        <v>0</v>
      </c>
      <c r="O574" t="n">
        <v>0</v>
      </c>
      <c r="P574" t="n">
        <v>0</v>
      </c>
      <c r="Q574" t="n">
        <v>0</v>
      </c>
      <c r="R574" s="2" t="inlineStr"/>
    </row>
    <row r="575" ht="15" customHeight="1">
      <c r="A575" t="inlineStr">
        <is>
          <t>A 32260-2025</t>
        </is>
      </c>
      <c r="B575" s="1" t="n">
        <v>45835.64260416666</v>
      </c>
      <c r="C575" s="1" t="n">
        <v>45935</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32460-2025</t>
        </is>
      </c>
      <c r="B576" s="1" t="n">
        <v>45838.41540509259</v>
      </c>
      <c r="C576" s="1" t="n">
        <v>45935</v>
      </c>
      <c r="D576" t="inlineStr">
        <is>
          <t>NORRBOTTENS LÄN</t>
        </is>
      </c>
      <c r="E576" t="inlineStr">
        <is>
          <t>LULEÅ</t>
        </is>
      </c>
      <c r="G576" t="n">
        <v>2.9</v>
      </c>
      <c r="H576" t="n">
        <v>0</v>
      </c>
      <c r="I576" t="n">
        <v>0</v>
      </c>
      <c r="J576" t="n">
        <v>0</v>
      </c>
      <c r="K576" t="n">
        <v>0</v>
      </c>
      <c r="L576" t="n">
        <v>0</v>
      </c>
      <c r="M576" t="n">
        <v>0</v>
      </c>
      <c r="N576" t="n">
        <v>0</v>
      </c>
      <c r="O576" t="n">
        <v>0</v>
      </c>
      <c r="P576" t="n">
        <v>0</v>
      </c>
      <c r="Q576" t="n">
        <v>0</v>
      </c>
      <c r="R576" s="2" t="inlineStr"/>
    </row>
    <row r="577" ht="15" customHeight="1">
      <c r="A577" t="inlineStr">
        <is>
          <t>A 32462-2025</t>
        </is>
      </c>
      <c r="B577" s="1" t="n">
        <v>45838.41660879629</v>
      </c>
      <c r="C577" s="1" t="n">
        <v>45935</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35249-2021</t>
        </is>
      </c>
      <c r="B578" s="1" t="n">
        <v>44384</v>
      </c>
      <c r="C578" s="1" t="n">
        <v>45935</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35962-2021</t>
        </is>
      </c>
      <c r="B579" s="1" t="n">
        <v>44385</v>
      </c>
      <c r="C579" s="1" t="n">
        <v>45935</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32458-2025</t>
        </is>
      </c>
      <c r="B580" s="1" t="n">
        <v>45838.41445601852</v>
      </c>
      <c r="C580" s="1" t="n">
        <v>45935</v>
      </c>
      <c r="D580" t="inlineStr">
        <is>
          <t>NORRBOTTENS LÄN</t>
        </is>
      </c>
      <c r="E580" t="inlineStr">
        <is>
          <t>LULEÅ</t>
        </is>
      </c>
      <c r="G580" t="n">
        <v>10.8</v>
      </c>
      <c r="H580" t="n">
        <v>0</v>
      </c>
      <c r="I580" t="n">
        <v>0</v>
      </c>
      <c r="J580" t="n">
        <v>0</v>
      </c>
      <c r="K580" t="n">
        <v>0</v>
      </c>
      <c r="L580" t="n">
        <v>0</v>
      </c>
      <c r="M580" t="n">
        <v>0</v>
      </c>
      <c r="N580" t="n">
        <v>0</v>
      </c>
      <c r="O580" t="n">
        <v>0</v>
      </c>
      <c r="P580" t="n">
        <v>0</v>
      </c>
      <c r="Q580" t="n">
        <v>0</v>
      </c>
      <c r="R580" s="2" t="inlineStr"/>
    </row>
    <row r="581" ht="15" customHeight="1">
      <c r="A581" t="inlineStr">
        <is>
          <t>A 33692-2025</t>
        </is>
      </c>
      <c r="B581" s="1" t="n">
        <v>45841.69819444444</v>
      </c>
      <c r="C581" s="1" t="n">
        <v>45935</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33608-2025</t>
        </is>
      </c>
      <c r="B582" s="1" t="n">
        <v>45841.61747685185</v>
      </c>
      <c r="C582" s="1" t="n">
        <v>45935</v>
      </c>
      <c r="D582" t="inlineStr">
        <is>
          <t>NORRBOTTENS LÄN</t>
        </is>
      </c>
      <c r="E582" t="inlineStr">
        <is>
          <t>LULEÅ</t>
        </is>
      </c>
      <c r="G582" t="n">
        <v>3.8</v>
      </c>
      <c r="H582" t="n">
        <v>0</v>
      </c>
      <c r="I582" t="n">
        <v>0</v>
      </c>
      <c r="J582" t="n">
        <v>0</v>
      </c>
      <c r="K582" t="n">
        <v>0</v>
      </c>
      <c r="L582" t="n">
        <v>0</v>
      </c>
      <c r="M582" t="n">
        <v>0</v>
      </c>
      <c r="N582" t="n">
        <v>0</v>
      </c>
      <c r="O582" t="n">
        <v>0</v>
      </c>
      <c r="P582" t="n">
        <v>0</v>
      </c>
      <c r="Q582" t="n">
        <v>0</v>
      </c>
      <c r="R582" s="2" t="inlineStr"/>
    </row>
    <row r="583" ht="15" customHeight="1">
      <c r="A583" t="inlineStr">
        <is>
          <t>A 33651-2025</t>
        </is>
      </c>
      <c r="B583" s="1" t="n">
        <v>45841.65722222222</v>
      </c>
      <c r="C583" s="1" t="n">
        <v>45935</v>
      </c>
      <c r="D583" t="inlineStr">
        <is>
          <t>NORRBOTTENS LÄN</t>
        </is>
      </c>
      <c r="E583" t="inlineStr">
        <is>
          <t>LULEÅ</t>
        </is>
      </c>
      <c r="G583" t="n">
        <v>15.5</v>
      </c>
      <c r="H583" t="n">
        <v>0</v>
      </c>
      <c r="I583" t="n">
        <v>0</v>
      </c>
      <c r="J583" t="n">
        <v>0</v>
      </c>
      <c r="K583" t="n">
        <v>0</v>
      </c>
      <c r="L583" t="n">
        <v>0</v>
      </c>
      <c r="M583" t="n">
        <v>0</v>
      </c>
      <c r="N583" t="n">
        <v>0</v>
      </c>
      <c r="O583" t="n">
        <v>0</v>
      </c>
      <c r="P583" t="n">
        <v>0</v>
      </c>
      <c r="Q583" t="n">
        <v>0</v>
      </c>
      <c r="R583" s="2" t="inlineStr"/>
    </row>
    <row r="584" ht="15" customHeight="1">
      <c r="A584" t="inlineStr">
        <is>
          <t>A 7306-2024</t>
        </is>
      </c>
      <c r="B584" s="1" t="n">
        <v>45344</v>
      </c>
      <c r="C584" s="1" t="n">
        <v>45935</v>
      </c>
      <c r="D584" t="inlineStr">
        <is>
          <t>NORRBOTTENS LÄN</t>
        </is>
      </c>
      <c r="E584" t="inlineStr">
        <is>
          <t>LULEÅ</t>
        </is>
      </c>
      <c r="G584" t="n">
        <v>29.2</v>
      </c>
      <c r="H584" t="n">
        <v>0</v>
      </c>
      <c r="I584" t="n">
        <v>0</v>
      </c>
      <c r="J584" t="n">
        <v>0</v>
      </c>
      <c r="K584" t="n">
        <v>0</v>
      </c>
      <c r="L584" t="n">
        <v>0</v>
      </c>
      <c r="M584" t="n">
        <v>0</v>
      </c>
      <c r="N584" t="n">
        <v>0</v>
      </c>
      <c r="O584" t="n">
        <v>0</v>
      </c>
      <c r="P584" t="n">
        <v>0</v>
      </c>
      <c r="Q584" t="n">
        <v>0</v>
      </c>
      <c r="R584" s="2" t="inlineStr"/>
    </row>
    <row r="585" ht="15" customHeight="1">
      <c r="A585" t="inlineStr">
        <is>
          <t>A 10183-2025</t>
        </is>
      </c>
      <c r="B585" s="1" t="n">
        <v>45719</v>
      </c>
      <c r="C585" s="1" t="n">
        <v>45935</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61866-2023</t>
        </is>
      </c>
      <c r="B586" s="1" t="n">
        <v>45264</v>
      </c>
      <c r="C586" s="1" t="n">
        <v>45935</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3693-2025</t>
        </is>
      </c>
      <c r="B587" s="1" t="n">
        <v>45681.46563657407</v>
      </c>
      <c r="C587" s="1" t="n">
        <v>45935</v>
      </c>
      <c r="D587" t="inlineStr">
        <is>
          <t>NORRBOTTENS LÄN</t>
        </is>
      </c>
      <c r="E587" t="inlineStr">
        <is>
          <t>LULEÅ</t>
        </is>
      </c>
      <c r="G587" t="n">
        <v>2.6</v>
      </c>
      <c r="H587" t="n">
        <v>0</v>
      </c>
      <c r="I587" t="n">
        <v>0</v>
      </c>
      <c r="J587" t="n">
        <v>0</v>
      </c>
      <c r="K587" t="n">
        <v>0</v>
      </c>
      <c r="L587" t="n">
        <v>0</v>
      </c>
      <c r="M587" t="n">
        <v>0</v>
      </c>
      <c r="N587" t="n">
        <v>0</v>
      </c>
      <c r="O587" t="n">
        <v>0</v>
      </c>
      <c r="P587" t="n">
        <v>0</v>
      </c>
      <c r="Q587" t="n">
        <v>0</v>
      </c>
      <c r="R587" s="2" t="inlineStr"/>
    </row>
    <row r="588" ht="15" customHeight="1">
      <c r="A588" t="inlineStr">
        <is>
          <t>A 23819-2023</t>
        </is>
      </c>
      <c r="B588" s="1" t="n">
        <v>45075</v>
      </c>
      <c r="C588" s="1" t="n">
        <v>45935</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14447-2023</t>
        </is>
      </c>
      <c r="B589" s="1" t="n">
        <v>45012</v>
      </c>
      <c r="C589" s="1" t="n">
        <v>45935</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17304-2025</t>
        </is>
      </c>
      <c r="B590" s="1" t="n">
        <v>45756</v>
      </c>
      <c r="C590" s="1" t="n">
        <v>45935</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17306-2025</t>
        </is>
      </c>
      <c r="B591" s="1" t="n">
        <v>45756.60434027778</v>
      </c>
      <c r="C591" s="1" t="n">
        <v>45935</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57826-2022</t>
        </is>
      </c>
      <c r="B592" s="1" t="n">
        <v>44897</v>
      </c>
      <c r="C592" s="1" t="n">
        <v>45935</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42496-2024</t>
        </is>
      </c>
      <c r="B593" s="1" t="n">
        <v>45565.49769675926</v>
      </c>
      <c r="C593" s="1" t="n">
        <v>45935</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42102-2024</t>
        </is>
      </c>
      <c r="B594" s="1" t="n">
        <v>45562.35875</v>
      </c>
      <c r="C594" s="1" t="n">
        <v>45935</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34655-2025</t>
        </is>
      </c>
      <c r="B595" s="1" t="n">
        <v>45847</v>
      </c>
      <c r="C595" s="1" t="n">
        <v>45935</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34565-2025</t>
        </is>
      </c>
      <c r="B596" s="1" t="n">
        <v>45847</v>
      </c>
      <c r="C596" s="1" t="n">
        <v>45935</v>
      </c>
      <c r="D596" t="inlineStr">
        <is>
          <t>NORRBOTTENS LÄN</t>
        </is>
      </c>
      <c r="E596" t="inlineStr">
        <is>
          <t>LULEÅ</t>
        </is>
      </c>
      <c r="G596" t="n">
        <v>10.2</v>
      </c>
      <c r="H596" t="n">
        <v>0</v>
      </c>
      <c r="I596" t="n">
        <v>0</v>
      </c>
      <c r="J596" t="n">
        <v>0</v>
      </c>
      <c r="K596" t="n">
        <v>0</v>
      </c>
      <c r="L596" t="n">
        <v>0</v>
      </c>
      <c r="M596" t="n">
        <v>0</v>
      </c>
      <c r="N596" t="n">
        <v>0</v>
      </c>
      <c r="O596" t="n">
        <v>0</v>
      </c>
      <c r="P596" t="n">
        <v>0</v>
      </c>
      <c r="Q596" t="n">
        <v>0</v>
      </c>
      <c r="R596" s="2" t="inlineStr"/>
    </row>
    <row r="597" ht="15" customHeight="1">
      <c r="A597" t="inlineStr">
        <is>
          <t>A 11834-2025</t>
        </is>
      </c>
      <c r="B597" s="1" t="n">
        <v>45727</v>
      </c>
      <c r="C597" s="1" t="n">
        <v>45935</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11834-2025 karta knärot.png", "A 11834-2025")</f>
        <v/>
      </c>
      <c r="V597">
        <f>HYPERLINK("https://klasma.github.io/Logging_2580/klagomål/A 11834-2025 FSC-klagomål.docx", "A 11834-2025")</f>
        <v/>
      </c>
      <c r="W597">
        <f>HYPERLINK("https://klasma.github.io/Logging_2580/klagomålsmail/A 11834-2025 FSC-klagomål mail.docx", "A 11834-2025")</f>
        <v/>
      </c>
      <c r="X597">
        <f>HYPERLINK("https://klasma.github.io/Logging_2580/tillsyn/A 11834-2025 tillsynsbegäran.docx", "A 11834-2025")</f>
        <v/>
      </c>
      <c r="Y597">
        <f>HYPERLINK("https://klasma.github.io/Logging_2580/tillsynsmail/A 11834-2025 tillsynsbegäran mail.docx", "A 11834-2025")</f>
        <v/>
      </c>
    </row>
    <row r="598" ht="15" customHeight="1">
      <c r="A598" t="inlineStr">
        <is>
          <t>A 23744-2023</t>
        </is>
      </c>
      <c r="B598" s="1" t="n">
        <v>45077.82532407407</v>
      </c>
      <c r="C598" s="1" t="n">
        <v>45935</v>
      </c>
      <c r="D598" t="inlineStr">
        <is>
          <t>NORRBOTTENS LÄN</t>
        </is>
      </c>
      <c r="E598" t="inlineStr">
        <is>
          <t>LULEÅ</t>
        </is>
      </c>
      <c r="G598" t="n">
        <v>3.9</v>
      </c>
      <c r="H598" t="n">
        <v>0</v>
      </c>
      <c r="I598" t="n">
        <v>0</v>
      </c>
      <c r="J598" t="n">
        <v>0</v>
      </c>
      <c r="K598" t="n">
        <v>0</v>
      </c>
      <c r="L598" t="n">
        <v>0</v>
      </c>
      <c r="M598" t="n">
        <v>0</v>
      </c>
      <c r="N598" t="n">
        <v>0</v>
      </c>
      <c r="O598" t="n">
        <v>0</v>
      </c>
      <c r="P598" t="n">
        <v>0</v>
      </c>
      <c r="Q598" t="n">
        <v>0</v>
      </c>
      <c r="R598" s="2" t="inlineStr"/>
    </row>
    <row r="599" ht="15" customHeight="1">
      <c r="A599" t="inlineStr">
        <is>
          <t>A 1572-2025</t>
        </is>
      </c>
      <c r="B599" s="1" t="n">
        <v>45670.55724537037</v>
      </c>
      <c r="C599" s="1" t="n">
        <v>45935</v>
      </c>
      <c r="D599" t="inlineStr">
        <is>
          <t>NORRBOTTENS LÄN</t>
        </is>
      </c>
      <c r="E599" t="inlineStr">
        <is>
          <t>LULEÅ</t>
        </is>
      </c>
      <c r="G599" t="n">
        <v>5.2</v>
      </c>
      <c r="H599" t="n">
        <v>0</v>
      </c>
      <c r="I599" t="n">
        <v>0</v>
      </c>
      <c r="J599" t="n">
        <v>0</v>
      </c>
      <c r="K599" t="n">
        <v>0</v>
      </c>
      <c r="L599" t="n">
        <v>0</v>
      </c>
      <c r="M599" t="n">
        <v>0</v>
      </c>
      <c r="N599" t="n">
        <v>0</v>
      </c>
      <c r="O599" t="n">
        <v>0</v>
      </c>
      <c r="P599" t="n">
        <v>0</v>
      </c>
      <c r="Q599" t="n">
        <v>0</v>
      </c>
      <c r="R599" s="2" t="inlineStr"/>
    </row>
    <row r="600" ht="15" customHeight="1">
      <c r="A600" t="inlineStr">
        <is>
          <t>A 4940-2025</t>
        </is>
      </c>
      <c r="B600" s="1" t="n">
        <v>45688.69949074074</v>
      </c>
      <c r="C600" s="1" t="n">
        <v>45935</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4347-2025</t>
        </is>
      </c>
      <c r="B601" s="1" t="n">
        <v>45685.92931712963</v>
      </c>
      <c r="C601" s="1" t="n">
        <v>45935</v>
      </c>
      <c r="D601" t="inlineStr">
        <is>
          <t>NORRBOTTENS LÄN</t>
        </is>
      </c>
      <c r="E601" t="inlineStr">
        <is>
          <t>LULEÅ</t>
        </is>
      </c>
      <c r="G601" t="n">
        <v>1.4</v>
      </c>
      <c r="H601" t="n">
        <v>0</v>
      </c>
      <c r="I601" t="n">
        <v>0</v>
      </c>
      <c r="J601" t="n">
        <v>0</v>
      </c>
      <c r="K601" t="n">
        <v>0</v>
      </c>
      <c r="L601" t="n">
        <v>0</v>
      </c>
      <c r="M601" t="n">
        <v>0</v>
      </c>
      <c r="N601" t="n">
        <v>0</v>
      </c>
      <c r="O601" t="n">
        <v>0</v>
      </c>
      <c r="P601" t="n">
        <v>0</v>
      </c>
      <c r="Q601" t="n">
        <v>0</v>
      </c>
      <c r="R601" s="2" t="inlineStr"/>
    </row>
    <row r="602" ht="15" customHeight="1">
      <c r="A602" t="inlineStr">
        <is>
          <t>A 40464-2025</t>
        </is>
      </c>
      <c r="B602" s="1" t="n">
        <v>45895.65347222222</v>
      </c>
      <c r="C602" s="1" t="n">
        <v>45935</v>
      </c>
      <c r="D602" t="inlineStr">
        <is>
          <t>NORRBOTTENS LÄN</t>
        </is>
      </c>
      <c r="E602" t="inlineStr">
        <is>
          <t>LULEÅ</t>
        </is>
      </c>
      <c r="G602" t="n">
        <v>6.9</v>
      </c>
      <c r="H602" t="n">
        <v>0</v>
      </c>
      <c r="I602" t="n">
        <v>0</v>
      </c>
      <c r="J602" t="n">
        <v>0</v>
      </c>
      <c r="K602" t="n">
        <v>0</v>
      </c>
      <c r="L602" t="n">
        <v>0</v>
      </c>
      <c r="M602" t="n">
        <v>0</v>
      </c>
      <c r="N602" t="n">
        <v>0</v>
      </c>
      <c r="O602" t="n">
        <v>0</v>
      </c>
      <c r="P602" t="n">
        <v>0</v>
      </c>
      <c r="Q602" t="n">
        <v>0</v>
      </c>
      <c r="R602" s="2" t="inlineStr"/>
    </row>
    <row r="603" ht="15" customHeight="1">
      <c r="A603" t="inlineStr">
        <is>
          <t>A 59681-2023</t>
        </is>
      </c>
      <c r="B603" s="1" t="n">
        <v>45255</v>
      </c>
      <c r="C603" s="1" t="n">
        <v>45935</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49648-2024</t>
        </is>
      </c>
      <c r="B604" s="1" t="n">
        <v>45596</v>
      </c>
      <c r="C604" s="1" t="n">
        <v>45935</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40643-2025</t>
        </is>
      </c>
      <c r="B605" s="1" t="n">
        <v>45896.61263888889</v>
      </c>
      <c r="C605" s="1" t="n">
        <v>45935</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40695-2025</t>
        </is>
      </c>
      <c r="B606" s="1" t="n">
        <v>45897.28637731481</v>
      </c>
      <c r="C606" s="1" t="n">
        <v>45935</v>
      </c>
      <c r="D606" t="inlineStr">
        <is>
          <t>NORRBOTTENS LÄN</t>
        </is>
      </c>
      <c r="E606" t="inlineStr">
        <is>
          <t>LULEÅ</t>
        </is>
      </c>
      <c r="G606" t="n">
        <v>2.4</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45935</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45935</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40644-2025</t>
        </is>
      </c>
      <c r="B609" s="1" t="n">
        <v>45896.6166087963</v>
      </c>
      <c r="C609" s="1" t="n">
        <v>45935</v>
      </c>
      <c r="D609" t="inlineStr">
        <is>
          <t>NORRBOTTENS LÄN</t>
        </is>
      </c>
      <c r="E609" t="inlineStr">
        <is>
          <t>LULEÅ</t>
        </is>
      </c>
      <c r="G609" t="n">
        <v>4.1</v>
      </c>
      <c r="H609" t="n">
        <v>0</v>
      </c>
      <c r="I609" t="n">
        <v>0</v>
      </c>
      <c r="J609" t="n">
        <v>0</v>
      </c>
      <c r="K609" t="n">
        <v>0</v>
      </c>
      <c r="L609" t="n">
        <v>0</v>
      </c>
      <c r="M609" t="n">
        <v>0</v>
      </c>
      <c r="N609" t="n">
        <v>0</v>
      </c>
      <c r="O609" t="n">
        <v>0</v>
      </c>
      <c r="P609" t="n">
        <v>0</v>
      </c>
      <c r="Q609" t="n">
        <v>0</v>
      </c>
      <c r="R609" s="2" t="inlineStr"/>
    </row>
    <row r="610" ht="15" customHeight="1">
      <c r="A610" t="inlineStr">
        <is>
          <t>A 12551-2024</t>
        </is>
      </c>
      <c r="B610" s="1" t="n">
        <v>45379</v>
      </c>
      <c r="C610" s="1" t="n">
        <v>45935</v>
      </c>
      <c r="D610" t="inlineStr">
        <is>
          <t>NORRBOTTENS LÄN</t>
        </is>
      </c>
      <c r="E610" t="inlineStr">
        <is>
          <t>LULEÅ</t>
        </is>
      </c>
      <c r="G610" t="n">
        <v>0.6</v>
      </c>
      <c r="H610" t="n">
        <v>0</v>
      </c>
      <c r="I610" t="n">
        <v>0</v>
      </c>
      <c r="J610" t="n">
        <v>0</v>
      </c>
      <c r="K610" t="n">
        <v>0</v>
      </c>
      <c r="L610" t="n">
        <v>0</v>
      </c>
      <c r="M610" t="n">
        <v>0</v>
      </c>
      <c r="N610" t="n">
        <v>0</v>
      </c>
      <c r="O610" t="n">
        <v>0</v>
      </c>
      <c r="P610" t="n">
        <v>0</v>
      </c>
      <c r="Q610" t="n">
        <v>0</v>
      </c>
      <c r="R610" s="2" t="inlineStr"/>
    </row>
    <row r="611" ht="15" customHeight="1">
      <c r="A611" t="inlineStr">
        <is>
          <t>A 17175-2024</t>
        </is>
      </c>
      <c r="B611" s="1" t="n">
        <v>45412</v>
      </c>
      <c r="C611" s="1" t="n">
        <v>45935</v>
      </c>
      <c r="D611" t="inlineStr">
        <is>
          <t>NORRBOTTENS LÄN</t>
        </is>
      </c>
      <c r="E611" t="inlineStr">
        <is>
          <t>LULEÅ</t>
        </is>
      </c>
      <c r="F611" t="inlineStr">
        <is>
          <t>SCA</t>
        </is>
      </c>
      <c r="G611" t="n">
        <v>18.5</v>
      </c>
      <c r="H611" t="n">
        <v>0</v>
      </c>
      <c r="I611" t="n">
        <v>0</v>
      </c>
      <c r="J611" t="n">
        <v>0</v>
      </c>
      <c r="K611" t="n">
        <v>0</v>
      </c>
      <c r="L611" t="n">
        <v>0</v>
      </c>
      <c r="M611" t="n">
        <v>0</v>
      </c>
      <c r="N611" t="n">
        <v>0</v>
      </c>
      <c r="O611" t="n">
        <v>0</v>
      </c>
      <c r="P611" t="n">
        <v>0</v>
      </c>
      <c r="Q611" t="n">
        <v>0</v>
      </c>
      <c r="R611" s="2" t="inlineStr"/>
    </row>
    <row r="612" ht="15" customHeight="1">
      <c r="A612" t="inlineStr">
        <is>
          <t>A 35682-2025</t>
        </is>
      </c>
      <c r="B612" s="1" t="n">
        <v>45859</v>
      </c>
      <c r="C612" s="1" t="n">
        <v>45935</v>
      </c>
      <c r="D612" t="inlineStr">
        <is>
          <t>NORRBOTTENS LÄN</t>
        </is>
      </c>
      <c r="E612" t="inlineStr">
        <is>
          <t>LULEÅ</t>
        </is>
      </c>
      <c r="G612" t="n">
        <v>5.2</v>
      </c>
      <c r="H612" t="n">
        <v>0</v>
      </c>
      <c r="I612" t="n">
        <v>0</v>
      </c>
      <c r="J612" t="n">
        <v>0</v>
      </c>
      <c r="K612" t="n">
        <v>0</v>
      </c>
      <c r="L612" t="n">
        <v>0</v>
      </c>
      <c r="M612" t="n">
        <v>0</v>
      </c>
      <c r="N612" t="n">
        <v>0</v>
      </c>
      <c r="O612" t="n">
        <v>0</v>
      </c>
      <c r="P612" t="n">
        <v>0</v>
      </c>
      <c r="Q612" t="n">
        <v>0</v>
      </c>
      <c r="R612" s="2" t="inlineStr"/>
    </row>
    <row r="613" ht="15" customHeight="1">
      <c r="A613" t="inlineStr">
        <is>
          <t>A 35234-2021</t>
        </is>
      </c>
      <c r="B613" s="1" t="n">
        <v>44384</v>
      </c>
      <c r="C613" s="1" t="n">
        <v>45935</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45935</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11135-2025</t>
        </is>
      </c>
      <c r="B615" s="1" t="n">
        <v>45723.65663194445</v>
      </c>
      <c r="C615" s="1" t="n">
        <v>45935</v>
      </c>
      <c r="D615" t="inlineStr">
        <is>
          <t>NORRBOTTENS LÄN</t>
        </is>
      </c>
      <c r="E615" t="inlineStr">
        <is>
          <t>LULEÅ</t>
        </is>
      </c>
      <c r="G615" t="n">
        <v>16.7</v>
      </c>
      <c r="H615" t="n">
        <v>0</v>
      </c>
      <c r="I615" t="n">
        <v>0</v>
      </c>
      <c r="J615" t="n">
        <v>0</v>
      </c>
      <c r="K615" t="n">
        <v>0</v>
      </c>
      <c r="L615" t="n">
        <v>0</v>
      </c>
      <c r="M615" t="n">
        <v>0</v>
      </c>
      <c r="N615" t="n">
        <v>0</v>
      </c>
      <c r="O615" t="n">
        <v>0</v>
      </c>
      <c r="P615" t="n">
        <v>0</v>
      </c>
      <c r="Q615" t="n">
        <v>0</v>
      </c>
      <c r="R615" s="2" t="inlineStr"/>
    </row>
    <row r="616" ht="15" customHeight="1">
      <c r="A616" t="inlineStr">
        <is>
          <t>A 60954-2021</t>
        </is>
      </c>
      <c r="B616" s="1" t="n">
        <v>44496</v>
      </c>
      <c r="C616" s="1" t="n">
        <v>45935</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35912-2025</t>
        </is>
      </c>
      <c r="B617" s="1" t="n">
        <v>45862.53150462963</v>
      </c>
      <c r="C617" s="1" t="n">
        <v>45935</v>
      </c>
      <c r="D617" t="inlineStr">
        <is>
          <t>NORRBOTTENS LÄN</t>
        </is>
      </c>
      <c r="E617" t="inlineStr">
        <is>
          <t>LULEÅ</t>
        </is>
      </c>
      <c r="G617" t="n">
        <v>5.5</v>
      </c>
      <c r="H617" t="n">
        <v>0</v>
      </c>
      <c r="I617" t="n">
        <v>0</v>
      </c>
      <c r="J617" t="n">
        <v>0</v>
      </c>
      <c r="K617" t="n">
        <v>0</v>
      </c>
      <c r="L617" t="n">
        <v>0</v>
      </c>
      <c r="M617" t="n">
        <v>0</v>
      </c>
      <c r="N617" t="n">
        <v>0</v>
      </c>
      <c r="O617" t="n">
        <v>0</v>
      </c>
      <c r="P617" t="n">
        <v>0</v>
      </c>
      <c r="Q617" t="n">
        <v>0</v>
      </c>
      <c r="R617" s="2" t="inlineStr"/>
    </row>
    <row r="618" ht="15" customHeight="1">
      <c r="A618" t="inlineStr">
        <is>
          <t>A 20063-2023</t>
        </is>
      </c>
      <c r="B618" s="1" t="n">
        <v>45054</v>
      </c>
      <c r="C618" s="1" t="n">
        <v>45935</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42217-2025</t>
        </is>
      </c>
      <c r="B619" s="1" t="n">
        <v>45904.51274305556</v>
      </c>
      <c r="C619" s="1" t="n">
        <v>45935</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42218-2025</t>
        </is>
      </c>
      <c r="B620" s="1" t="n">
        <v>45904.51621527778</v>
      </c>
      <c r="C620" s="1" t="n">
        <v>45935</v>
      </c>
      <c r="D620" t="inlineStr">
        <is>
          <t>NORRBOTTENS LÄN</t>
        </is>
      </c>
      <c r="E620" t="inlineStr">
        <is>
          <t>LULEÅ</t>
        </is>
      </c>
      <c r="G620" t="n">
        <v>0.7</v>
      </c>
      <c r="H620" t="n">
        <v>0</v>
      </c>
      <c r="I620" t="n">
        <v>0</v>
      </c>
      <c r="J620" t="n">
        <v>0</v>
      </c>
      <c r="K620" t="n">
        <v>0</v>
      </c>
      <c r="L620" t="n">
        <v>0</v>
      </c>
      <c r="M620" t="n">
        <v>0</v>
      </c>
      <c r="N620" t="n">
        <v>0</v>
      </c>
      <c r="O620" t="n">
        <v>0</v>
      </c>
      <c r="P620" t="n">
        <v>0</v>
      </c>
      <c r="Q620" t="n">
        <v>0</v>
      </c>
      <c r="R620" s="2" t="inlineStr"/>
    </row>
    <row r="621" ht="15" customHeight="1">
      <c r="A621" t="inlineStr">
        <is>
          <t>A 35902-2025</t>
        </is>
      </c>
      <c r="B621" s="1" t="n">
        <v>45862.48990740741</v>
      </c>
      <c r="C621" s="1" t="n">
        <v>45935</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26253-2023</t>
        </is>
      </c>
      <c r="B622" s="1" t="n">
        <v>45091</v>
      </c>
      <c r="C622" s="1" t="n">
        <v>45935</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49857-2023</t>
        </is>
      </c>
      <c r="B623" s="1" t="n">
        <v>45212</v>
      </c>
      <c r="C623" s="1" t="n">
        <v>45935</v>
      </c>
      <c r="D623" t="inlineStr">
        <is>
          <t>NORRBOTTENS LÄN</t>
        </is>
      </c>
      <c r="E623" t="inlineStr">
        <is>
          <t>LULEÅ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49858-2023</t>
        </is>
      </c>
      <c r="B624" s="1" t="n">
        <v>45212.95483796296</v>
      </c>
      <c r="C624" s="1" t="n">
        <v>45935</v>
      </c>
      <c r="D624" t="inlineStr">
        <is>
          <t>NORRBOTTENS LÄN</t>
        </is>
      </c>
      <c r="E624" t="inlineStr">
        <is>
          <t>LULEÅ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43113-2025</t>
        </is>
      </c>
      <c r="B625" s="1" t="n">
        <v>45909.6640625</v>
      </c>
      <c r="C625" s="1" t="n">
        <v>45935</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43116-2025</t>
        </is>
      </c>
      <c r="B626" s="1" t="n">
        <v>45909.66799768519</v>
      </c>
      <c r="C626" s="1" t="n">
        <v>45935</v>
      </c>
      <c r="D626" t="inlineStr">
        <is>
          <t>NORRBOTTENS LÄN</t>
        </is>
      </c>
      <c r="E626" t="inlineStr">
        <is>
          <t>LULEÅ</t>
        </is>
      </c>
      <c r="G626" t="n">
        <v>1.3</v>
      </c>
      <c r="H626" t="n">
        <v>0</v>
      </c>
      <c r="I626" t="n">
        <v>0</v>
      </c>
      <c r="J626" t="n">
        <v>0</v>
      </c>
      <c r="K626" t="n">
        <v>0</v>
      </c>
      <c r="L626" t="n">
        <v>0</v>
      </c>
      <c r="M626" t="n">
        <v>0</v>
      </c>
      <c r="N626" t="n">
        <v>0</v>
      </c>
      <c r="O626" t="n">
        <v>0</v>
      </c>
      <c r="P626" t="n">
        <v>0</v>
      </c>
      <c r="Q626" t="n">
        <v>0</v>
      </c>
      <c r="R626" s="2" t="inlineStr"/>
    </row>
    <row r="627" ht="15" customHeight="1">
      <c r="A627" t="inlineStr">
        <is>
          <t>A 44330-2024</t>
        </is>
      </c>
      <c r="B627" s="1" t="n">
        <v>45573.60027777778</v>
      </c>
      <c r="C627" s="1" t="n">
        <v>45935</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42103-2024</t>
        </is>
      </c>
      <c r="B628" s="1" t="n">
        <v>45562</v>
      </c>
      <c r="C628" s="1" t="n">
        <v>45935</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43115-2025</t>
        </is>
      </c>
      <c r="B629" s="1" t="n">
        <v>45909.66664351852</v>
      </c>
      <c r="C629" s="1" t="n">
        <v>45935</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35685-2025</t>
        </is>
      </c>
      <c r="B630" s="1" t="n">
        <v>45859.921875</v>
      </c>
      <c r="C630" s="1" t="n">
        <v>45935</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35686-2025</t>
        </is>
      </c>
      <c r="B631" s="1" t="n">
        <v>45859.92579861111</v>
      </c>
      <c r="C631" s="1" t="n">
        <v>45935</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18208-2023</t>
        </is>
      </c>
      <c r="B632" s="1" t="n">
        <v>45040</v>
      </c>
      <c r="C632" s="1" t="n">
        <v>45935</v>
      </c>
      <c r="D632" t="inlineStr">
        <is>
          <t>NORRBOTTENS LÄN</t>
        </is>
      </c>
      <c r="E632" t="inlineStr">
        <is>
          <t>LULEÅ</t>
        </is>
      </c>
      <c r="G632" t="n">
        <v>2.6</v>
      </c>
      <c r="H632" t="n">
        <v>0</v>
      </c>
      <c r="I632" t="n">
        <v>0</v>
      </c>
      <c r="J632" t="n">
        <v>0</v>
      </c>
      <c r="K632" t="n">
        <v>0</v>
      </c>
      <c r="L632" t="n">
        <v>0</v>
      </c>
      <c r="M632" t="n">
        <v>0</v>
      </c>
      <c r="N632" t="n">
        <v>0</v>
      </c>
      <c r="O632" t="n">
        <v>0</v>
      </c>
      <c r="P632" t="n">
        <v>0</v>
      </c>
      <c r="Q632" t="n">
        <v>0</v>
      </c>
      <c r="R632" s="2" t="inlineStr"/>
    </row>
    <row r="633" ht="15" customHeight="1">
      <c r="A633" t="inlineStr">
        <is>
          <t>A 35595-2025</t>
        </is>
      </c>
      <c r="B633" s="1" t="n">
        <v>45858.32641203704</v>
      </c>
      <c r="C633" s="1" t="n">
        <v>45935</v>
      </c>
      <c r="D633" t="inlineStr">
        <is>
          <t>NORRBOTTENS LÄN</t>
        </is>
      </c>
      <c r="E633" t="inlineStr">
        <is>
          <t>LULEÅ</t>
        </is>
      </c>
      <c r="G633" t="n">
        <v>13.1</v>
      </c>
      <c r="H633" t="n">
        <v>0</v>
      </c>
      <c r="I633" t="n">
        <v>0</v>
      </c>
      <c r="J633" t="n">
        <v>0</v>
      </c>
      <c r="K633" t="n">
        <v>0</v>
      </c>
      <c r="L633" t="n">
        <v>0</v>
      </c>
      <c r="M633" t="n">
        <v>0</v>
      </c>
      <c r="N633" t="n">
        <v>0</v>
      </c>
      <c r="O633" t="n">
        <v>0</v>
      </c>
      <c r="P633" t="n">
        <v>0</v>
      </c>
      <c r="Q633" t="n">
        <v>0</v>
      </c>
      <c r="R633" s="2" t="inlineStr"/>
    </row>
    <row r="634" ht="15" customHeight="1">
      <c r="A634" t="inlineStr">
        <is>
          <t>A 704-2025</t>
        </is>
      </c>
      <c r="B634" s="1" t="n">
        <v>45663</v>
      </c>
      <c r="C634" s="1" t="n">
        <v>45935</v>
      </c>
      <c r="D634" t="inlineStr">
        <is>
          <t>NORRBOTTENS LÄN</t>
        </is>
      </c>
      <c r="E634" t="inlineStr">
        <is>
          <t>LULEÅ</t>
        </is>
      </c>
      <c r="G634" t="n">
        <v>1.6</v>
      </c>
      <c r="H634" t="n">
        <v>0</v>
      </c>
      <c r="I634" t="n">
        <v>0</v>
      </c>
      <c r="J634" t="n">
        <v>0</v>
      </c>
      <c r="K634" t="n">
        <v>0</v>
      </c>
      <c r="L634" t="n">
        <v>0</v>
      </c>
      <c r="M634" t="n">
        <v>0</v>
      </c>
      <c r="N634" t="n">
        <v>0</v>
      </c>
      <c r="O634" t="n">
        <v>0</v>
      </c>
      <c r="P634" t="n">
        <v>0</v>
      </c>
      <c r="Q634" t="n">
        <v>0</v>
      </c>
      <c r="R634" s="2" t="inlineStr"/>
    </row>
    <row r="635" ht="15" customHeight="1">
      <c r="A635" t="inlineStr">
        <is>
          <t>A 731-2025</t>
        </is>
      </c>
      <c r="B635" s="1" t="n">
        <v>45664</v>
      </c>
      <c r="C635" s="1" t="n">
        <v>45935</v>
      </c>
      <c r="D635" t="inlineStr">
        <is>
          <t>NORRBOTTENS LÄN</t>
        </is>
      </c>
      <c r="E635" t="inlineStr">
        <is>
          <t>LULEÅ</t>
        </is>
      </c>
      <c r="G635" t="n">
        <v>0.4</v>
      </c>
      <c r="H635" t="n">
        <v>0</v>
      </c>
      <c r="I635" t="n">
        <v>0</v>
      </c>
      <c r="J635" t="n">
        <v>0</v>
      </c>
      <c r="K635" t="n">
        <v>0</v>
      </c>
      <c r="L635" t="n">
        <v>0</v>
      </c>
      <c r="M635" t="n">
        <v>0</v>
      </c>
      <c r="N635" t="n">
        <v>0</v>
      </c>
      <c r="O635" t="n">
        <v>0</v>
      </c>
      <c r="P635" t="n">
        <v>0</v>
      </c>
      <c r="Q635" t="n">
        <v>0</v>
      </c>
      <c r="R635" s="2" t="inlineStr"/>
    </row>
    <row r="636" ht="15" customHeight="1">
      <c r="A636" t="inlineStr">
        <is>
          <t>A 40641-2025</t>
        </is>
      </c>
      <c r="B636" s="1" t="n">
        <v>45896</v>
      </c>
      <c r="C636" s="1" t="n">
        <v>45935</v>
      </c>
      <c r="D636" t="inlineStr">
        <is>
          <t>NORRBOTTENS LÄN</t>
        </is>
      </c>
      <c r="E636" t="inlineStr">
        <is>
          <t>LULEÅ</t>
        </is>
      </c>
      <c r="G636" t="n">
        <v>4.2</v>
      </c>
      <c r="H636" t="n">
        <v>0</v>
      </c>
      <c r="I636" t="n">
        <v>0</v>
      </c>
      <c r="J636" t="n">
        <v>0</v>
      </c>
      <c r="K636" t="n">
        <v>0</v>
      </c>
      <c r="L636" t="n">
        <v>0</v>
      </c>
      <c r="M636" t="n">
        <v>0</v>
      </c>
      <c r="N636" t="n">
        <v>0</v>
      </c>
      <c r="O636" t="n">
        <v>0</v>
      </c>
      <c r="P636" t="n">
        <v>0</v>
      </c>
      <c r="Q636" t="n">
        <v>0</v>
      </c>
      <c r="R636" s="2" t="inlineStr"/>
    </row>
    <row r="637" ht="15" customHeight="1">
      <c r="A637" t="inlineStr">
        <is>
          <t>A 23730-2023</t>
        </is>
      </c>
      <c r="B637" s="1" t="n">
        <v>45077</v>
      </c>
      <c r="C637" s="1" t="n">
        <v>45935</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63024-2020</t>
        </is>
      </c>
      <c r="B638" s="1" t="n">
        <v>44162</v>
      </c>
      <c r="C638" s="1" t="n">
        <v>45935</v>
      </c>
      <c r="D638" t="inlineStr">
        <is>
          <t>NORRBOTTENS LÄN</t>
        </is>
      </c>
      <c r="E638" t="inlineStr">
        <is>
          <t>LULEÅ</t>
        </is>
      </c>
      <c r="F638" t="inlineStr">
        <is>
          <t>Kyrkan</t>
        </is>
      </c>
      <c r="G638" t="n">
        <v>27.4</v>
      </c>
      <c r="H638" t="n">
        <v>0</v>
      </c>
      <c r="I638" t="n">
        <v>0</v>
      </c>
      <c r="J638" t="n">
        <v>0</v>
      </c>
      <c r="K638" t="n">
        <v>0</v>
      </c>
      <c r="L638" t="n">
        <v>0</v>
      </c>
      <c r="M638" t="n">
        <v>0</v>
      </c>
      <c r="N638" t="n">
        <v>0</v>
      </c>
      <c r="O638" t="n">
        <v>0</v>
      </c>
      <c r="P638" t="n">
        <v>0</v>
      </c>
      <c r="Q638" t="n">
        <v>0</v>
      </c>
      <c r="R638" s="2" t="inlineStr"/>
    </row>
    <row r="639" ht="15" customHeight="1">
      <c r="A639" t="inlineStr">
        <is>
          <t>A 53985-2023</t>
        </is>
      </c>
      <c r="B639" s="1" t="n">
        <v>45225</v>
      </c>
      <c r="C639" s="1" t="n">
        <v>45935</v>
      </c>
      <c r="D639" t="inlineStr">
        <is>
          <t>NORRBOTTENS LÄN</t>
        </is>
      </c>
      <c r="E639" t="inlineStr">
        <is>
          <t>LULEÅ</t>
        </is>
      </c>
      <c r="G639" t="n">
        <v>3.2</v>
      </c>
      <c r="H639" t="n">
        <v>0</v>
      </c>
      <c r="I639" t="n">
        <v>0</v>
      </c>
      <c r="J639" t="n">
        <v>0</v>
      </c>
      <c r="K639" t="n">
        <v>0</v>
      </c>
      <c r="L639" t="n">
        <v>0</v>
      </c>
      <c r="M639" t="n">
        <v>0</v>
      </c>
      <c r="N639" t="n">
        <v>0</v>
      </c>
      <c r="O639" t="n">
        <v>0</v>
      </c>
      <c r="P639" t="n">
        <v>0</v>
      </c>
      <c r="Q639" t="n">
        <v>0</v>
      </c>
      <c r="R639" s="2" t="inlineStr"/>
    </row>
    <row r="640" ht="15" customHeight="1">
      <c r="A640" t="inlineStr">
        <is>
          <t>A 58831-2024</t>
        </is>
      </c>
      <c r="B640" s="1" t="n">
        <v>45635</v>
      </c>
      <c r="C640" s="1" t="n">
        <v>45935</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2561-2022</t>
        </is>
      </c>
      <c r="B641" s="1" t="n">
        <v>44579</v>
      </c>
      <c r="C641" s="1" t="n">
        <v>45935</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48059-2023</t>
        </is>
      </c>
      <c r="B642" s="1" t="n">
        <v>45204</v>
      </c>
      <c r="C642" s="1" t="n">
        <v>45935</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c r="A643" t="inlineStr">
        <is>
          <t>A 14196-2025</t>
        </is>
      </c>
      <c r="B643" s="1" t="n">
        <v>45740.56502314815</v>
      </c>
      <c r="C643" s="1" t="n">
        <v>45935</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2025-10-05T12:38:08Z</dcterms:created>
  <dcterms:modified xmlns:dcterms="http://purl.org/dc/terms/" xmlns:xsi="http://www.w3.org/2001/XMLSchema-instance" xsi:type="dcterms:W3CDTF">2025-10-05T12:38:08Z</dcterms:modified>
</cp:coreProperties>
</file>