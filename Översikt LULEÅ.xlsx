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45913</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45913</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45913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882-2025</t>
        </is>
      </c>
      <c r="B12" s="1" t="n">
        <v>45664</v>
      </c>
      <c r="C12" s="1" t="n">
        <v>45913</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45913</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45913</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45913</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45913</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45913</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45913</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45913</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45913</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50085-2021</t>
        </is>
      </c>
      <c r="B22" s="1" t="n">
        <v>44456</v>
      </c>
      <c r="C22" s="1" t="n">
        <v>45913</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45913</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45913</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45913</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25528-2024</t>
        </is>
      </c>
      <c r="B26" s="1" t="n">
        <v>45463</v>
      </c>
      <c r="C26" s="1" t="n">
        <v>45913</v>
      </c>
      <c r="D26" t="inlineStr">
        <is>
          <t>NORRBOTTENS LÄN</t>
        </is>
      </c>
      <c r="E26" t="inlineStr">
        <is>
          <t>LULEÅ</t>
        </is>
      </c>
      <c r="G26" t="n">
        <v>1.4</v>
      </c>
      <c r="H26" t="n">
        <v>0</v>
      </c>
      <c r="I26" t="n">
        <v>0</v>
      </c>
      <c r="J26" t="n">
        <v>1</v>
      </c>
      <c r="K26" t="n">
        <v>0</v>
      </c>
      <c r="L26" t="n">
        <v>0</v>
      </c>
      <c r="M26" t="n">
        <v>0</v>
      </c>
      <c r="N26" t="n">
        <v>0</v>
      </c>
      <c r="O26" t="n">
        <v>1</v>
      </c>
      <c r="P26" t="n">
        <v>0</v>
      </c>
      <c r="Q26" t="n">
        <v>1</v>
      </c>
      <c r="R26" s="2" t="inlineStr">
        <is>
          <t>Granticka</t>
        </is>
      </c>
      <c r="S26">
        <f>HYPERLINK("https://klasma.github.io/Logging_2580/artfynd/A 25528-2024 artfynd.xlsx", "A 25528-2024")</f>
        <v/>
      </c>
      <c r="T26">
        <f>HYPERLINK("https://klasma.github.io/Logging_2580/kartor/A 25528-2024 karta.png", "A 25528-2024")</f>
        <v/>
      </c>
      <c r="V26">
        <f>HYPERLINK("https://klasma.github.io/Logging_2580/klagomål/A 25528-2024 FSC-klagomål.docx", "A 25528-2024")</f>
        <v/>
      </c>
      <c r="W26">
        <f>HYPERLINK("https://klasma.github.io/Logging_2580/klagomålsmail/A 25528-2024 FSC-klagomål mail.docx", "A 25528-2024")</f>
        <v/>
      </c>
      <c r="X26">
        <f>HYPERLINK("https://klasma.github.io/Logging_2580/tillsyn/A 25528-2024 tillsynsbegäran.docx", "A 25528-2024")</f>
        <v/>
      </c>
      <c r="Y26">
        <f>HYPERLINK("https://klasma.github.io/Logging_2580/tillsynsmail/A 25528-2024 tillsynsbegäran mail.docx", "A 25528-2024")</f>
        <v/>
      </c>
    </row>
    <row r="27" ht="15" customHeight="1">
      <c r="A27" t="inlineStr">
        <is>
          <t>A 38333-2024</t>
        </is>
      </c>
      <c r="B27" s="1" t="n">
        <v>45545</v>
      </c>
      <c r="C27" s="1" t="n">
        <v>45913</v>
      </c>
      <c r="D27" t="inlineStr">
        <is>
          <t>NORRBOTTENS LÄN</t>
        </is>
      </c>
      <c r="E27" t="inlineStr">
        <is>
          <t>LULEÅ</t>
        </is>
      </c>
      <c r="F27" t="inlineStr">
        <is>
          <t>Sveaskog</t>
        </is>
      </c>
      <c r="G27" t="n">
        <v>2.9</v>
      </c>
      <c r="H27" t="n">
        <v>1</v>
      </c>
      <c r="I27" t="n">
        <v>0</v>
      </c>
      <c r="J27" t="n">
        <v>0</v>
      </c>
      <c r="K27" t="n">
        <v>1</v>
      </c>
      <c r="L27" t="n">
        <v>0</v>
      </c>
      <c r="M27" t="n">
        <v>0</v>
      </c>
      <c r="N27" t="n">
        <v>0</v>
      </c>
      <c r="O27" t="n">
        <v>1</v>
      </c>
      <c r="P27" t="n">
        <v>1</v>
      </c>
      <c r="Q27" t="n">
        <v>1</v>
      </c>
      <c r="R27" s="2" t="inlineStr">
        <is>
          <t>Knärot</t>
        </is>
      </c>
      <c r="S27">
        <f>HYPERLINK("https://klasma.github.io/Logging_2580/artfynd/A 38333-2024 artfynd.xlsx", "A 38333-2024")</f>
        <v/>
      </c>
      <c r="T27">
        <f>HYPERLINK("https://klasma.github.io/Logging_2580/kartor/A 38333-2024 karta.png", "A 38333-2024")</f>
        <v/>
      </c>
      <c r="U27">
        <f>HYPERLINK("https://klasma.github.io/Logging_2580/knärot/A 38333-2024 karta knärot.png", "A 38333-2024")</f>
        <v/>
      </c>
      <c r="V27">
        <f>HYPERLINK("https://klasma.github.io/Logging_2580/klagomål/A 38333-2024 FSC-klagomål.docx", "A 38333-2024")</f>
        <v/>
      </c>
      <c r="W27">
        <f>HYPERLINK("https://klasma.github.io/Logging_2580/klagomålsmail/A 38333-2024 FSC-klagomål mail.docx", "A 38333-2024")</f>
        <v/>
      </c>
      <c r="X27">
        <f>HYPERLINK("https://klasma.github.io/Logging_2580/tillsyn/A 38333-2024 tillsynsbegäran.docx", "A 38333-2024")</f>
        <v/>
      </c>
      <c r="Y27">
        <f>HYPERLINK("https://klasma.github.io/Logging_2580/tillsynsmail/A 38333-2024 tillsynsbegäran mail.docx", "A 38333-2024")</f>
        <v/>
      </c>
    </row>
    <row r="28" ht="15" customHeight="1">
      <c r="A28" t="inlineStr">
        <is>
          <t>A 29381-2025</t>
        </is>
      </c>
      <c r="B28" s="1" t="n">
        <v>45824.59027777778</v>
      </c>
      <c r="C28" s="1" t="n">
        <v>45913</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31900-2025</t>
        </is>
      </c>
      <c r="B29" s="1" t="n">
        <v>45834</v>
      </c>
      <c r="C29" s="1" t="n">
        <v>45913</v>
      </c>
      <c r="D29" t="inlineStr">
        <is>
          <t>NORRBOTTENS LÄN</t>
        </is>
      </c>
      <c r="E29" t="inlineStr">
        <is>
          <t>LULEÅ</t>
        </is>
      </c>
      <c r="G29" t="n">
        <v>1.9</v>
      </c>
      <c r="H29" t="n">
        <v>0</v>
      </c>
      <c r="I29" t="n">
        <v>1</v>
      </c>
      <c r="J29" t="n">
        <v>0</v>
      </c>
      <c r="K29" t="n">
        <v>0</v>
      </c>
      <c r="L29" t="n">
        <v>0</v>
      </c>
      <c r="M29" t="n">
        <v>0</v>
      </c>
      <c r="N29" t="n">
        <v>0</v>
      </c>
      <c r="O29" t="n">
        <v>0</v>
      </c>
      <c r="P29" t="n">
        <v>0</v>
      </c>
      <c r="Q29" t="n">
        <v>1</v>
      </c>
      <c r="R29" s="2" t="inlineStr">
        <is>
          <t>Strutbräken</t>
        </is>
      </c>
      <c r="S29">
        <f>HYPERLINK("https://klasma.github.io/Logging_2580/artfynd/A 31900-2025 artfynd.xlsx", "A 31900-2025")</f>
        <v/>
      </c>
      <c r="T29">
        <f>HYPERLINK("https://klasma.github.io/Logging_2580/kartor/A 31900-2025 karta.png", "A 31900-2025")</f>
        <v/>
      </c>
      <c r="V29">
        <f>HYPERLINK("https://klasma.github.io/Logging_2580/klagomål/A 31900-2025 FSC-klagomål.docx", "A 31900-2025")</f>
        <v/>
      </c>
      <c r="W29">
        <f>HYPERLINK("https://klasma.github.io/Logging_2580/klagomålsmail/A 31900-2025 FSC-klagomål mail.docx", "A 31900-2025")</f>
        <v/>
      </c>
      <c r="X29">
        <f>HYPERLINK("https://klasma.github.io/Logging_2580/tillsyn/A 31900-2025 tillsynsbegäran.docx", "A 31900-2025")</f>
        <v/>
      </c>
      <c r="Y29">
        <f>HYPERLINK("https://klasma.github.io/Logging_2580/tillsynsmail/A 31900-2025 tillsynsbegäran mail.docx", "A 31900-2025")</f>
        <v/>
      </c>
    </row>
    <row r="30" ht="15" customHeight="1">
      <c r="A30" t="inlineStr">
        <is>
          <t>A 4561-2023</t>
        </is>
      </c>
      <c r="B30" s="1" t="n">
        <v>44951</v>
      </c>
      <c r="C30" s="1" t="n">
        <v>45913</v>
      </c>
      <c r="D30" t="inlineStr">
        <is>
          <t>NORRBOTTENS LÄN</t>
        </is>
      </c>
      <c r="E30" t="inlineStr">
        <is>
          <t>LULEÅ</t>
        </is>
      </c>
      <c r="G30" t="n">
        <v>4.1</v>
      </c>
      <c r="H30" t="n">
        <v>1</v>
      </c>
      <c r="I30" t="n">
        <v>0</v>
      </c>
      <c r="J30" t="n">
        <v>0</v>
      </c>
      <c r="K30" t="n">
        <v>1</v>
      </c>
      <c r="L30" t="n">
        <v>0</v>
      </c>
      <c r="M30" t="n">
        <v>0</v>
      </c>
      <c r="N30" t="n">
        <v>0</v>
      </c>
      <c r="O30" t="n">
        <v>1</v>
      </c>
      <c r="P30" t="n">
        <v>1</v>
      </c>
      <c r="Q30" t="n">
        <v>1</v>
      </c>
      <c r="R30" s="2" t="inlineStr">
        <is>
          <t>Topplåsbräken</t>
        </is>
      </c>
      <c r="S30">
        <f>HYPERLINK("https://klasma.github.io/Logging_2580/artfynd/A 4561-2023 artfynd.xlsx", "A 4561-2023")</f>
        <v/>
      </c>
      <c r="T30">
        <f>HYPERLINK("https://klasma.github.io/Logging_2580/kartor/A 4561-2023 karta.png", "A 4561-2023")</f>
        <v/>
      </c>
      <c r="V30">
        <f>HYPERLINK("https://klasma.github.io/Logging_2580/klagomål/A 4561-2023 FSC-klagomål.docx", "A 4561-2023")</f>
        <v/>
      </c>
      <c r="W30">
        <f>HYPERLINK("https://klasma.github.io/Logging_2580/klagomålsmail/A 4561-2023 FSC-klagomål mail.docx", "A 4561-2023")</f>
        <v/>
      </c>
      <c r="X30">
        <f>HYPERLINK("https://klasma.github.io/Logging_2580/tillsyn/A 4561-2023 tillsynsbegäran.docx", "A 4561-2023")</f>
        <v/>
      </c>
      <c r="Y30">
        <f>HYPERLINK("https://klasma.github.io/Logging_2580/tillsynsmail/A 4561-2023 tillsynsbegäran mail.docx", "A 4561-2023")</f>
        <v/>
      </c>
    </row>
    <row r="31" ht="15" customHeight="1">
      <c r="A31" t="inlineStr">
        <is>
          <t>A 59466-2023</t>
        </is>
      </c>
      <c r="B31" s="1" t="n">
        <v>45254.4122337963</v>
      </c>
      <c r="C31" s="1" t="n">
        <v>45913</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32148-2025</t>
        </is>
      </c>
      <c r="B32" s="1" t="n">
        <v>45835.52969907408</v>
      </c>
      <c r="C32" s="1" t="n">
        <v>45913</v>
      </c>
      <c r="D32" t="inlineStr">
        <is>
          <t>NORRBOTTENS LÄN</t>
        </is>
      </c>
      <c r="E32" t="inlineStr">
        <is>
          <t>LULEÅ</t>
        </is>
      </c>
      <c r="F32" t="inlineStr">
        <is>
          <t>Sveaskog</t>
        </is>
      </c>
      <c r="G32" t="n">
        <v>2.2</v>
      </c>
      <c r="H32" t="n">
        <v>0</v>
      </c>
      <c r="I32" t="n">
        <v>0</v>
      </c>
      <c r="J32" t="n">
        <v>1</v>
      </c>
      <c r="K32" t="n">
        <v>0</v>
      </c>
      <c r="L32" t="n">
        <v>0</v>
      </c>
      <c r="M32" t="n">
        <v>0</v>
      </c>
      <c r="N32" t="n">
        <v>0</v>
      </c>
      <c r="O32" t="n">
        <v>1</v>
      </c>
      <c r="P32" t="n">
        <v>0</v>
      </c>
      <c r="Q32" t="n">
        <v>1</v>
      </c>
      <c r="R32" s="2" t="inlineStr">
        <is>
          <t>Tallticka</t>
        </is>
      </c>
      <c r="S32">
        <f>HYPERLINK("https://klasma.github.io/Logging_2580/artfynd/A 32148-2025 artfynd.xlsx", "A 32148-2025")</f>
        <v/>
      </c>
      <c r="T32">
        <f>HYPERLINK("https://klasma.github.io/Logging_2580/kartor/A 32148-2025 karta.png", "A 32148-2025")</f>
        <v/>
      </c>
      <c r="V32">
        <f>HYPERLINK("https://klasma.github.io/Logging_2580/klagomål/A 32148-2025 FSC-klagomål.docx", "A 32148-2025")</f>
        <v/>
      </c>
      <c r="W32">
        <f>HYPERLINK("https://klasma.github.io/Logging_2580/klagomålsmail/A 32148-2025 FSC-klagomål mail.docx", "A 32148-2025")</f>
        <v/>
      </c>
      <c r="X32">
        <f>HYPERLINK("https://klasma.github.io/Logging_2580/tillsyn/A 32148-2025 tillsynsbegäran.docx", "A 32148-2025")</f>
        <v/>
      </c>
      <c r="Y32">
        <f>HYPERLINK("https://klasma.github.io/Logging_2580/tillsynsmail/A 32148-2025 tillsynsbegäran mail.docx", "A 32148-2025")</f>
        <v/>
      </c>
    </row>
    <row r="33" ht="15" customHeight="1">
      <c r="A33" t="inlineStr">
        <is>
          <t>A 59395-2024</t>
        </is>
      </c>
      <c r="B33" s="1" t="n">
        <v>45638</v>
      </c>
      <c r="C33" s="1" t="n">
        <v>45913</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45913</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33514-2025</t>
        </is>
      </c>
      <c r="B35" s="1" t="n">
        <v>45841.52672453703</v>
      </c>
      <c r="C35" s="1" t="n">
        <v>45913</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6527-2021</t>
        </is>
      </c>
      <c r="B36" s="1" t="n">
        <v>44236</v>
      </c>
      <c r="C36" s="1" t="n">
        <v>45913</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38889-2025</t>
        </is>
      </c>
      <c r="B37" s="1" t="n">
        <v>45887.58668981482</v>
      </c>
      <c r="C37" s="1" t="n">
        <v>45913</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60002-2024</t>
        </is>
      </c>
      <c r="B38" s="1" t="n">
        <v>45642.41423611111</v>
      </c>
      <c r="C38" s="1" t="n">
        <v>45913</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3578-2025</t>
        </is>
      </c>
      <c r="B39" s="1" t="n">
        <v>45680</v>
      </c>
      <c r="C39" s="1" t="n">
        <v>45913</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51641-2022</t>
        </is>
      </c>
      <c r="B40" s="1" t="n">
        <v>44867</v>
      </c>
      <c r="C40" s="1" t="n">
        <v>45913</v>
      </c>
      <c r="D40" t="inlineStr">
        <is>
          <t>NORRBOTTENS LÄN</t>
        </is>
      </c>
      <c r="E40" t="inlineStr">
        <is>
          <t>LULEÅ</t>
        </is>
      </c>
      <c r="G40" t="n">
        <v>5.7</v>
      </c>
      <c r="H40" t="n">
        <v>0</v>
      </c>
      <c r="I40" t="n">
        <v>0</v>
      </c>
      <c r="J40" t="n">
        <v>1</v>
      </c>
      <c r="K40" t="n">
        <v>0</v>
      </c>
      <c r="L40" t="n">
        <v>0</v>
      </c>
      <c r="M40" t="n">
        <v>0</v>
      </c>
      <c r="N40" t="n">
        <v>0</v>
      </c>
      <c r="O40" t="n">
        <v>1</v>
      </c>
      <c r="P40" t="n">
        <v>0</v>
      </c>
      <c r="Q40" t="n">
        <v>1</v>
      </c>
      <c r="R40" s="2" t="inlineStr">
        <is>
          <t>Granticka</t>
        </is>
      </c>
      <c r="S40">
        <f>HYPERLINK("https://klasma.github.io/Logging_2580/artfynd/A 51641-2022 artfynd.xlsx", "A 51641-2022")</f>
        <v/>
      </c>
      <c r="T40">
        <f>HYPERLINK("https://klasma.github.io/Logging_2580/kartor/A 51641-2022 karta.png", "A 51641-2022")</f>
        <v/>
      </c>
      <c r="V40">
        <f>HYPERLINK("https://klasma.github.io/Logging_2580/klagomål/A 51641-2022 FSC-klagomål.docx", "A 51641-2022")</f>
        <v/>
      </c>
      <c r="W40">
        <f>HYPERLINK("https://klasma.github.io/Logging_2580/klagomålsmail/A 51641-2022 FSC-klagomål mail.docx", "A 51641-2022")</f>
        <v/>
      </c>
      <c r="X40">
        <f>HYPERLINK("https://klasma.github.io/Logging_2580/tillsyn/A 51641-2022 tillsynsbegäran.docx", "A 51641-2022")</f>
        <v/>
      </c>
      <c r="Y40">
        <f>HYPERLINK("https://klasma.github.io/Logging_2580/tillsynsmail/A 51641-2022 tillsynsbegäran mail.docx", "A 51641-2022")</f>
        <v/>
      </c>
    </row>
    <row r="41" ht="15" customHeight="1">
      <c r="A41" t="inlineStr">
        <is>
          <t>A 17428-2023</t>
        </is>
      </c>
      <c r="B41" s="1" t="n">
        <v>45035.9266087963</v>
      </c>
      <c r="C41" s="1" t="n">
        <v>45913</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739-2025</t>
        </is>
      </c>
      <c r="B42" s="1" t="n">
        <v>45664</v>
      </c>
      <c r="C42" s="1" t="n">
        <v>45913</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48323-2022</t>
        </is>
      </c>
      <c r="B43" s="1" t="n">
        <v>44854</v>
      </c>
      <c r="C43" s="1" t="n">
        <v>45913</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45913</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56781-2021</t>
        </is>
      </c>
      <c r="B45" s="1" t="n">
        <v>44481</v>
      </c>
      <c r="C45" s="1" t="n">
        <v>45913</v>
      </c>
      <c r="D45" t="inlineStr">
        <is>
          <t>NORRBOTTENS LÄN</t>
        </is>
      </c>
      <c r="E45" t="inlineStr">
        <is>
          <t>LULEÅ</t>
        </is>
      </c>
      <c r="G45" t="n">
        <v>2.2</v>
      </c>
      <c r="H45" t="n">
        <v>0</v>
      </c>
      <c r="I45" t="n">
        <v>0</v>
      </c>
      <c r="J45" t="n">
        <v>0</v>
      </c>
      <c r="K45" t="n">
        <v>0</v>
      </c>
      <c r="L45" t="n">
        <v>0</v>
      </c>
      <c r="M45" t="n">
        <v>0</v>
      </c>
      <c r="N45" t="n">
        <v>0</v>
      </c>
      <c r="O45" t="n">
        <v>0</v>
      </c>
      <c r="P45" t="n">
        <v>0</v>
      </c>
      <c r="Q45" t="n">
        <v>0</v>
      </c>
      <c r="R45" s="2" t="inlineStr"/>
    </row>
    <row r="46" ht="15" customHeight="1">
      <c r="A46" t="inlineStr">
        <is>
          <t>A 3951-2022</t>
        </is>
      </c>
      <c r="B46" s="1" t="n">
        <v>44587</v>
      </c>
      <c r="C46" s="1" t="n">
        <v>45913</v>
      </c>
      <c r="D46" t="inlineStr">
        <is>
          <t>NORRBOTTENS LÄN</t>
        </is>
      </c>
      <c r="E46" t="inlineStr">
        <is>
          <t>LULEÅ</t>
        </is>
      </c>
      <c r="G46" t="n">
        <v>2.7</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45913</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45913</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45913</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45913</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51128-2020</t>
        </is>
      </c>
      <c r="B51" s="1" t="n">
        <v>44112</v>
      </c>
      <c r="C51" s="1" t="n">
        <v>45913</v>
      </c>
      <c r="D51" t="inlineStr">
        <is>
          <t>NORRBOTTENS LÄN</t>
        </is>
      </c>
      <c r="E51" t="inlineStr">
        <is>
          <t>LULEÅ</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45913</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45913</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47170-2022</t>
        </is>
      </c>
      <c r="B54" s="1" t="n">
        <v>44852.61033564815</v>
      </c>
      <c r="C54" s="1" t="n">
        <v>45913</v>
      </c>
      <c r="D54" t="inlineStr">
        <is>
          <t>NORRBOTTENS LÄN</t>
        </is>
      </c>
      <c r="E54" t="inlineStr">
        <is>
          <t>LULEÅ</t>
        </is>
      </c>
      <c r="G54" t="n">
        <v>7.7</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45913</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2385-2021</t>
        </is>
      </c>
      <c r="B56" s="1" t="n">
        <v>44211</v>
      </c>
      <c r="C56" s="1" t="n">
        <v>45913</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61600-2020</t>
        </is>
      </c>
      <c r="B57" s="1" t="n">
        <v>44154</v>
      </c>
      <c r="C57" s="1" t="n">
        <v>45913</v>
      </c>
      <c r="D57" t="inlineStr">
        <is>
          <t>NORRBOTTENS LÄN</t>
        </is>
      </c>
      <c r="E57" t="inlineStr">
        <is>
          <t>LULEÅ</t>
        </is>
      </c>
      <c r="G57" t="n">
        <v>1</v>
      </c>
      <c r="H57" t="n">
        <v>0</v>
      </c>
      <c r="I57" t="n">
        <v>0</v>
      </c>
      <c r="J57" t="n">
        <v>0</v>
      </c>
      <c r="K57" t="n">
        <v>0</v>
      </c>
      <c r="L57" t="n">
        <v>0</v>
      </c>
      <c r="M57" t="n">
        <v>0</v>
      </c>
      <c r="N57" t="n">
        <v>0</v>
      </c>
      <c r="O57" t="n">
        <v>0</v>
      </c>
      <c r="P57" t="n">
        <v>0</v>
      </c>
      <c r="Q57" t="n">
        <v>0</v>
      </c>
      <c r="R57" s="2" t="inlineStr"/>
    </row>
    <row r="58" ht="15" customHeight="1">
      <c r="A58" t="inlineStr">
        <is>
          <t>A 48341-2022</t>
        </is>
      </c>
      <c r="B58" s="1" t="n">
        <v>44854</v>
      </c>
      <c r="C58" s="1" t="n">
        <v>45913</v>
      </c>
      <c r="D58" t="inlineStr">
        <is>
          <t>NORRBOTTENS LÄN</t>
        </is>
      </c>
      <c r="E58" t="inlineStr">
        <is>
          <t>LULEÅ</t>
        </is>
      </c>
      <c r="G58" t="n">
        <v>2.9</v>
      </c>
      <c r="H58" t="n">
        <v>0</v>
      </c>
      <c r="I58" t="n">
        <v>0</v>
      </c>
      <c r="J58" t="n">
        <v>0</v>
      </c>
      <c r="K58" t="n">
        <v>0</v>
      </c>
      <c r="L58" t="n">
        <v>0</v>
      </c>
      <c r="M58" t="n">
        <v>0</v>
      </c>
      <c r="N58" t="n">
        <v>0</v>
      </c>
      <c r="O58" t="n">
        <v>0</v>
      </c>
      <c r="P58" t="n">
        <v>0</v>
      </c>
      <c r="Q58" t="n">
        <v>0</v>
      </c>
      <c r="R58" s="2" t="inlineStr"/>
    </row>
    <row r="59" ht="15" customHeight="1">
      <c r="A59" t="inlineStr">
        <is>
          <t>A 14886-2021</t>
        </is>
      </c>
      <c r="B59" s="1" t="n">
        <v>44280</v>
      </c>
      <c r="C59" s="1" t="n">
        <v>45913</v>
      </c>
      <c r="D59" t="inlineStr">
        <is>
          <t>NORRBOTTENS LÄN</t>
        </is>
      </c>
      <c r="E59" t="inlineStr">
        <is>
          <t>LULEÅ</t>
        </is>
      </c>
      <c r="G59" t="n">
        <v>0.6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45913</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32108-2022</t>
        </is>
      </c>
      <c r="B61" s="1" t="n">
        <v>44778.92490740741</v>
      </c>
      <c r="C61" s="1" t="n">
        <v>45913</v>
      </c>
      <c r="D61" t="inlineStr">
        <is>
          <t>NORRBOTTENS LÄN</t>
        </is>
      </c>
      <c r="E61" t="inlineStr">
        <is>
          <t>LULEÅ</t>
        </is>
      </c>
      <c r="G61" t="n">
        <v>0.9</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45913</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45913</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45913</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45913</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45913</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45913</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30027-2021</t>
        </is>
      </c>
      <c r="B68" s="1" t="n">
        <v>44363</v>
      </c>
      <c r="C68" s="1" t="n">
        <v>45913</v>
      </c>
      <c r="D68" t="inlineStr">
        <is>
          <t>NORRBOTTENS LÄN</t>
        </is>
      </c>
      <c r="E68" t="inlineStr">
        <is>
          <t>LULEÅ</t>
        </is>
      </c>
      <c r="G68" t="n">
        <v>5.8</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45913</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45913</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45913</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45913</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45913</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45913</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45913</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45913</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64527-2020</t>
        </is>
      </c>
      <c r="B77" s="1" t="n">
        <v>44166</v>
      </c>
      <c r="C77" s="1" t="n">
        <v>45913</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45913</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45913</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45913</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45913</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45913</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45913</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45913</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45913</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45913</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45913</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45913</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45913</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45913</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45913</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45913</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45913</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45913</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45913</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45913</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45913</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45913</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44205-2022</t>
        </is>
      </c>
      <c r="B99" s="1" t="n">
        <v>44837</v>
      </c>
      <c r="C99" s="1" t="n">
        <v>45913</v>
      </c>
      <c r="D99" t="inlineStr">
        <is>
          <t>NORRBOTTENS LÄN</t>
        </is>
      </c>
      <c r="E99" t="inlineStr">
        <is>
          <t>LULEÅ</t>
        </is>
      </c>
      <c r="G99" t="n">
        <v>4.9</v>
      </c>
      <c r="H99" t="n">
        <v>0</v>
      </c>
      <c r="I99" t="n">
        <v>0</v>
      </c>
      <c r="J99" t="n">
        <v>0</v>
      </c>
      <c r="K99" t="n">
        <v>0</v>
      </c>
      <c r="L99" t="n">
        <v>0</v>
      </c>
      <c r="M99" t="n">
        <v>0</v>
      </c>
      <c r="N99" t="n">
        <v>0</v>
      </c>
      <c r="O99" t="n">
        <v>0</v>
      </c>
      <c r="P99" t="n">
        <v>0</v>
      </c>
      <c r="Q99" t="n">
        <v>0</v>
      </c>
      <c r="R99" s="2" t="inlineStr"/>
    </row>
    <row r="100" ht="15" customHeight="1">
      <c r="A100" t="inlineStr">
        <is>
          <t>A 61072-2020</t>
        </is>
      </c>
      <c r="B100" s="1" t="n">
        <v>44154.66923611111</v>
      </c>
      <c r="C100" s="1" t="n">
        <v>45913</v>
      </c>
      <c r="D100" t="inlineStr">
        <is>
          <t>NORRBOTTENS LÄN</t>
        </is>
      </c>
      <c r="E100" t="inlineStr">
        <is>
          <t>LULEÅ</t>
        </is>
      </c>
      <c r="G100" t="n">
        <v>4.1</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45913</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8834-2021</t>
        </is>
      </c>
      <c r="B102" s="1" t="n">
        <v>44245</v>
      </c>
      <c r="C102" s="1" t="n">
        <v>45913</v>
      </c>
      <c r="D102" t="inlineStr">
        <is>
          <t>NORRBOTTENS LÄN</t>
        </is>
      </c>
      <c r="E102" t="inlineStr">
        <is>
          <t>LULEÅ</t>
        </is>
      </c>
      <c r="G102" t="n">
        <v>7.7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45913</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45913</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45913</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45913</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45913</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45913</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45913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45913</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45913</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59858-2020</t>
        </is>
      </c>
      <c r="B112" s="1" t="n">
        <v>44148</v>
      </c>
      <c r="C112" s="1" t="n">
        <v>45913</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45913</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68808-2021</t>
        </is>
      </c>
      <c r="B114" s="1" t="n">
        <v>44529</v>
      </c>
      <c r="C114" s="1" t="n">
        <v>45913</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45913</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1144-2021</t>
        </is>
      </c>
      <c r="B116" s="1" t="n">
        <v>44207</v>
      </c>
      <c r="C116" s="1" t="n">
        <v>45913</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1147-2021</t>
        </is>
      </c>
      <c r="B117" s="1" t="n">
        <v>44207</v>
      </c>
      <c r="C117" s="1" t="n">
        <v>45913</v>
      </c>
      <c r="D117" t="inlineStr">
        <is>
          <t>NORRBOTTENS LÄN</t>
        </is>
      </c>
      <c r="E117" t="inlineStr">
        <is>
          <t>LULEÅ</t>
        </is>
      </c>
      <c r="G117" t="n">
        <v>6.5</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45913</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45913</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45913</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45913</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11734-2021</t>
        </is>
      </c>
      <c r="B122" s="1" t="n">
        <v>44264</v>
      </c>
      <c r="C122" s="1" t="n">
        <v>45913</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45913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45913</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44987-2022</t>
        </is>
      </c>
      <c r="B125" s="1" t="n">
        <v>44841.59989583334</v>
      </c>
      <c r="C125" s="1" t="n">
        <v>45913</v>
      </c>
      <c r="D125" t="inlineStr">
        <is>
          <t>NORRBOTTENS LÄN</t>
        </is>
      </c>
      <c r="E125" t="inlineStr">
        <is>
          <t>LULEÅ</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45913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45913</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45913</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73907-2021</t>
        </is>
      </c>
      <c r="B129" s="1" t="n">
        <v>44552</v>
      </c>
      <c r="C129" s="1" t="n">
        <v>45913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32378-2021</t>
        </is>
      </c>
      <c r="B130" s="1" t="n">
        <v>44371.61725694445</v>
      </c>
      <c r="C130" s="1" t="n">
        <v>45913</v>
      </c>
      <c r="D130" t="inlineStr">
        <is>
          <t>NORRBOTTENS LÄN</t>
        </is>
      </c>
      <c r="E130" t="inlineStr">
        <is>
          <t>LULEÅ</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53118-2020</t>
        </is>
      </c>
      <c r="B131" s="1" t="n">
        <v>44120</v>
      </c>
      <c r="C131" s="1" t="n">
        <v>45913</v>
      </c>
      <c r="D131" t="inlineStr">
        <is>
          <t>NORRBOTTENS LÄN</t>
        </is>
      </c>
      <c r="E131" t="inlineStr">
        <is>
          <t>LULEÅ</t>
        </is>
      </c>
      <c r="G131" t="n">
        <v>0.6</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45913</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45913</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45913</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45913</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45913</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49742-2022</t>
        </is>
      </c>
      <c r="B137" s="1" t="n">
        <v>44859</v>
      </c>
      <c r="C137" s="1" t="n">
        <v>45913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46826-2021</t>
        </is>
      </c>
      <c r="B138" s="1" t="n">
        <v>44446</v>
      </c>
      <c r="C138" s="1" t="n">
        <v>45913</v>
      </c>
      <c r="D138" t="inlineStr">
        <is>
          <t>NORRBOTTENS LÄN</t>
        </is>
      </c>
      <c r="E138" t="inlineStr">
        <is>
          <t>LULEÅ</t>
        </is>
      </c>
      <c r="G138" t="n">
        <v>1.5</v>
      </c>
      <c r="H138" t="n">
        <v>0</v>
      </c>
      <c r="I138" t="n">
        <v>0</v>
      </c>
      <c r="J138" t="n">
        <v>0</v>
      </c>
      <c r="K138" t="n">
        <v>0</v>
      </c>
      <c r="L138" t="n">
        <v>0</v>
      </c>
      <c r="M138" t="n">
        <v>0</v>
      </c>
      <c r="N138" t="n">
        <v>0</v>
      </c>
      <c r="O138" t="n">
        <v>0</v>
      </c>
      <c r="P138" t="n">
        <v>0</v>
      </c>
      <c r="Q138" t="n">
        <v>0</v>
      </c>
      <c r="R138" s="2" t="inlineStr"/>
    </row>
    <row r="139" ht="15" customHeight="1">
      <c r="A139" t="inlineStr">
        <is>
          <t>A 48412-2023</t>
        </is>
      </c>
      <c r="B139" s="1" t="n">
        <v>45205</v>
      </c>
      <c r="C139" s="1" t="n">
        <v>45913</v>
      </c>
      <c r="D139" t="inlineStr">
        <is>
          <t>NORRBOTTENS LÄN</t>
        </is>
      </c>
      <c r="E139" t="inlineStr">
        <is>
          <t>LULEÅ</t>
        </is>
      </c>
      <c r="G139" t="n">
        <v>45.8</v>
      </c>
      <c r="H139" t="n">
        <v>0</v>
      </c>
      <c r="I139" t="n">
        <v>0</v>
      </c>
      <c r="J139" t="n">
        <v>0</v>
      </c>
      <c r="K139" t="n">
        <v>0</v>
      </c>
      <c r="L139" t="n">
        <v>0</v>
      </c>
      <c r="M139" t="n">
        <v>0</v>
      </c>
      <c r="N139" t="n">
        <v>0</v>
      </c>
      <c r="O139" t="n">
        <v>0</v>
      </c>
      <c r="P139" t="n">
        <v>0</v>
      </c>
      <c r="Q139" t="n">
        <v>0</v>
      </c>
      <c r="R139" s="2" t="inlineStr"/>
    </row>
    <row r="140" ht="15" customHeight="1">
      <c r="A140" t="inlineStr">
        <is>
          <t>A 49857-2023</t>
        </is>
      </c>
      <c r="B140" s="1" t="n">
        <v>45212</v>
      </c>
      <c r="C140" s="1" t="n">
        <v>45913</v>
      </c>
      <c r="D140" t="inlineStr">
        <is>
          <t>NORRBOTTENS LÄN</t>
        </is>
      </c>
      <c r="E140" t="inlineStr">
        <is>
          <t>LULEÅ</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49858-2023</t>
        </is>
      </c>
      <c r="B141" s="1" t="n">
        <v>45212.95483796296</v>
      </c>
      <c r="C141" s="1" t="n">
        <v>45913</v>
      </c>
      <c r="D141" t="inlineStr">
        <is>
          <t>NORRBOTTENS LÄN</t>
        </is>
      </c>
      <c r="E141" t="inlineStr">
        <is>
          <t>LULEÅ</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17175-2024</t>
        </is>
      </c>
      <c r="B142" s="1" t="n">
        <v>45412</v>
      </c>
      <c r="C142" s="1" t="n">
        <v>45913</v>
      </c>
      <c r="D142" t="inlineStr">
        <is>
          <t>NORRBOTTENS LÄN</t>
        </is>
      </c>
      <c r="E142" t="inlineStr">
        <is>
          <t>LULEÅ</t>
        </is>
      </c>
      <c r="F142" t="inlineStr">
        <is>
          <t>SCA</t>
        </is>
      </c>
      <c r="G142" t="n">
        <v>18.5</v>
      </c>
      <c r="H142" t="n">
        <v>0</v>
      </c>
      <c r="I142" t="n">
        <v>0</v>
      </c>
      <c r="J142" t="n">
        <v>0</v>
      </c>
      <c r="K142" t="n">
        <v>0</v>
      </c>
      <c r="L142" t="n">
        <v>0</v>
      </c>
      <c r="M142" t="n">
        <v>0</v>
      </c>
      <c r="N142" t="n">
        <v>0</v>
      </c>
      <c r="O142" t="n">
        <v>0</v>
      </c>
      <c r="P142" t="n">
        <v>0</v>
      </c>
      <c r="Q142" t="n">
        <v>0</v>
      </c>
      <c r="R142" s="2" t="inlineStr"/>
    </row>
    <row r="143" ht="15" customHeight="1">
      <c r="A143" t="inlineStr">
        <is>
          <t>A 13248-2021</t>
        </is>
      </c>
      <c r="B143" s="1" t="n">
        <v>44272</v>
      </c>
      <c r="C143" s="1" t="n">
        <v>45913</v>
      </c>
      <c r="D143" t="inlineStr">
        <is>
          <t>NORRBOTTENS LÄN</t>
        </is>
      </c>
      <c r="E143" t="inlineStr">
        <is>
          <t>LULEÅ</t>
        </is>
      </c>
      <c r="G143" t="n">
        <v>9.9</v>
      </c>
      <c r="H143" t="n">
        <v>0</v>
      </c>
      <c r="I143" t="n">
        <v>0</v>
      </c>
      <c r="J143" t="n">
        <v>0</v>
      </c>
      <c r="K143" t="n">
        <v>0</v>
      </c>
      <c r="L143" t="n">
        <v>0</v>
      </c>
      <c r="M143" t="n">
        <v>0</v>
      </c>
      <c r="N143" t="n">
        <v>0</v>
      </c>
      <c r="O143" t="n">
        <v>0</v>
      </c>
      <c r="P143" t="n">
        <v>0</v>
      </c>
      <c r="Q143" t="n">
        <v>0</v>
      </c>
      <c r="R143" s="2" t="inlineStr"/>
    </row>
    <row r="144" ht="15" customHeight="1">
      <c r="A144" t="inlineStr">
        <is>
          <t>A 14159-2024</t>
        </is>
      </c>
      <c r="B144" s="1" t="n">
        <v>45392.92930555555</v>
      </c>
      <c r="C144" s="1" t="n">
        <v>45913</v>
      </c>
      <c r="D144" t="inlineStr">
        <is>
          <t>NORRBOTTENS LÄN</t>
        </is>
      </c>
      <c r="E144" t="inlineStr">
        <is>
          <t>LULEÅ</t>
        </is>
      </c>
      <c r="G144" t="n">
        <v>33.9</v>
      </c>
      <c r="H144" t="n">
        <v>0</v>
      </c>
      <c r="I144" t="n">
        <v>0</v>
      </c>
      <c r="J144" t="n">
        <v>0</v>
      </c>
      <c r="K144" t="n">
        <v>0</v>
      </c>
      <c r="L144" t="n">
        <v>0</v>
      </c>
      <c r="M144" t="n">
        <v>0</v>
      </c>
      <c r="N144" t="n">
        <v>0</v>
      </c>
      <c r="O144" t="n">
        <v>0</v>
      </c>
      <c r="P144" t="n">
        <v>0</v>
      </c>
      <c r="Q144" t="n">
        <v>0</v>
      </c>
      <c r="R144" s="2" t="inlineStr"/>
    </row>
    <row r="145" ht="15" customHeight="1">
      <c r="A145" t="inlineStr">
        <is>
          <t>A 56465-2021</t>
        </is>
      </c>
      <c r="B145" s="1" t="n">
        <v>44480</v>
      </c>
      <c r="C145" s="1" t="n">
        <v>45913</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49018-2023</t>
        </is>
      </c>
      <c r="B146" s="1" t="n">
        <v>45204</v>
      </c>
      <c r="C146" s="1" t="n">
        <v>45913</v>
      </c>
      <c r="D146" t="inlineStr">
        <is>
          <t>NORRBOTTENS LÄN</t>
        </is>
      </c>
      <c r="E146" t="inlineStr">
        <is>
          <t>LULEÅ</t>
        </is>
      </c>
      <c r="G146" t="n">
        <v>2.8</v>
      </c>
      <c r="H146" t="n">
        <v>0</v>
      </c>
      <c r="I146" t="n">
        <v>0</v>
      </c>
      <c r="J146" t="n">
        <v>0</v>
      </c>
      <c r="K146" t="n">
        <v>0</v>
      </c>
      <c r="L146" t="n">
        <v>0</v>
      </c>
      <c r="M146" t="n">
        <v>0</v>
      </c>
      <c r="N146" t="n">
        <v>0</v>
      </c>
      <c r="O146" t="n">
        <v>0</v>
      </c>
      <c r="P146" t="n">
        <v>0</v>
      </c>
      <c r="Q146" t="n">
        <v>0</v>
      </c>
      <c r="R146" s="2" t="inlineStr"/>
    </row>
    <row r="147" ht="15" customHeight="1">
      <c r="A147" t="inlineStr">
        <is>
          <t>A 5132-2025</t>
        </is>
      </c>
      <c r="B147" s="1" t="n">
        <v>45691.57336805556</v>
      </c>
      <c r="C147" s="1" t="n">
        <v>45913</v>
      </c>
      <c r="D147" t="inlineStr">
        <is>
          <t>NORRBOTTENS LÄN</t>
        </is>
      </c>
      <c r="E147" t="inlineStr">
        <is>
          <t>LULEÅ</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9932-2022</t>
        </is>
      </c>
      <c r="B148" s="1" t="n">
        <v>44620</v>
      </c>
      <c r="C148" s="1" t="n">
        <v>45913</v>
      </c>
      <c r="D148" t="inlineStr">
        <is>
          <t>NORRBOTTENS LÄN</t>
        </is>
      </c>
      <c r="E148" t="inlineStr">
        <is>
          <t>LULEÅ</t>
        </is>
      </c>
      <c r="G148" t="n">
        <v>3.8</v>
      </c>
      <c r="H148" t="n">
        <v>0</v>
      </c>
      <c r="I148" t="n">
        <v>0</v>
      </c>
      <c r="J148" t="n">
        <v>0</v>
      </c>
      <c r="K148" t="n">
        <v>0</v>
      </c>
      <c r="L148" t="n">
        <v>0</v>
      </c>
      <c r="M148" t="n">
        <v>0</v>
      </c>
      <c r="N148" t="n">
        <v>0</v>
      </c>
      <c r="O148" t="n">
        <v>0</v>
      </c>
      <c r="P148" t="n">
        <v>0</v>
      </c>
      <c r="Q148" t="n">
        <v>0</v>
      </c>
      <c r="R148" s="2" t="inlineStr"/>
    </row>
    <row r="149" ht="15" customHeight="1">
      <c r="A149" t="inlineStr">
        <is>
          <t>A 3693-2025</t>
        </is>
      </c>
      <c r="B149" s="1" t="n">
        <v>45681.46563657407</v>
      </c>
      <c r="C149" s="1" t="n">
        <v>45913</v>
      </c>
      <c r="D149" t="inlineStr">
        <is>
          <t>NORRBOTTENS LÄN</t>
        </is>
      </c>
      <c r="E149" t="inlineStr">
        <is>
          <t>LULEÅ</t>
        </is>
      </c>
      <c r="G149" t="n">
        <v>2.6</v>
      </c>
      <c r="H149" t="n">
        <v>0</v>
      </c>
      <c r="I149" t="n">
        <v>0</v>
      </c>
      <c r="J149" t="n">
        <v>0</v>
      </c>
      <c r="K149" t="n">
        <v>0</v>
      </c>
      <c r="L149" t="n">
        <v>0</v>
      </c>
      <c r="M149" t="n">
        <v>0</v>
      </c>
      <c r="N149" t="n">
        <v>0</v>
      </c>
      <c r="O149" t="n">
        <v>0</v>
      </c>
      <c r="P149" t="n">
        <v>0</v>
      </c>
      <c r="Q149" t="n">
        <v>0</v>
      </c>
      <c r="R149" s="2" t="inlineStr"/>
    </row>
    <row r="150" ht="15" customHeight="1">
      <c r="A150" t="inlineStr">
        <is>
          <t>A 12602-2024</t>
        </is>
      </c>
      <c r="B150" s="1" t="n">
        <v>45381</v>
      </c>
      <c r="C150" s="1" t="n">
        <v>45913</v>
      </c>
      <c r="D150" t="inlineStr">
        <is>
          <t>NORRBOTTENS LÄN</t>
        </is>
      </c>
      <c r="E150" t="inlineStr">
        <is>
          <t>LULEÅ</t>
        </is>
      </c>
      <c r="G150" t="n">
        <v>5.6</v>
      </c>
      <c r="H150" t="n">
        <v>0</v>
      </c>
      <c r="I150" t="n">
        <v>0</v>
      </c>
      <c r="J150" t="n">
        <v>0</v>
      </c>
      <c r="K150" t="n">
        <v>0</v>
      </c>
      <c r="L150" t="n">
        <v>0</v>
      </c>
      <c r="M150" t="n">
        <v>0</v>
      </c>
      <c r="N150" t="n">
        <v>0</v>
      </c>
      <c r="O150" t="n">
        <v>0</v>
      </c>
      <c r="P150" t="n">
        <v>0</v>
      </c>
      <c r="Q150" t="n">
        <v>0</v>
      </c>
      <c r="R150" s="2" t="inlineStr"/>
    </row>
    <row r="151" ht="15" customHeight="1">
      <c r="A151" t="inlineStr">
        <is>
          <t>A 52854-2022</t>
        </is>
      </c>
      <c r="B151" s="1" t="n">
        <v>44872</v>
      </c>
      <c r="C151" s="1" t="n">
        <v>45913</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45913</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59115-2021</t>
        </is>
      </c>
      <c r="B153" s="1" t="n">
        <v>44490.43877314815</v>
      </c>
      <c r="C153" s="1" t="n">
        <v>45913</v>
      </c>
      <c r="D153" t="inlineStr">
        <is>
          <t>NORRBOTTENS LÄN</t>
        </is>
      </c>
      <c r="E153" t="inlineStr">
        <is>
          <t>LULEÅ</t>
        </is>
      </c>
      <c r="F153" t="inlineStr">
        <is>
          <t>Kommuner</t>
        </is>
      </c>
      <c r="G153" t="n">
        <v>2.4</v>
      </c>
      <c r="H153" t="n">
        <v>0</v>
      </c>
      <c r="I153" t="n">
        <v>0</v>
      </c>
      <c r="J153" t="n">
        <v>0</v>
      </c>
      <c r="K153" t="n">
        <v>0</v>
      </c>
      <c r="L153" t="n">
        <v>0</v>
      </c>
      <c r="M153" t="n">
        <v>0</v>
      </c>
      <c r="N153" t="n">
        <v>0</v>
      </c>
      <c r="O153" t="n">
        <v>0</v>
      </c>
      <c r="P153" t="n">
        <v>0</v>
      </c>
      <c r="Q153" t="n">
        <v>0</v>
      </c>
      <c r="R153" s="2" t="inlineStr"/>
    </row>
    <row r="154" ht="15" customHeight="1">
      <c r="A154" t="inlineStr">
        <is>
          <t>A 12551-2024</t>
        </is>
      </c>
      <c r="B154" s="1" t="n">
        <v>45379</v>
      </c>
      <c r="C154" s="1" t="n">
        <v>45913</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45913</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45913</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45913</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42496-2024</t>
        </is>
      </c>
      <c r="B158" s="1" t="n">
        <v>45565.49769675926</v>
      </c>
      <c r="C158" s="1" t="n">
        <v>45913</v>
      </c>
      <c r="D158" t="inlineStr">
        <is>
          <t>NORRBOTTENS LÄN</t>
        </is>
      </c>
      <c r="E158" t="inlineStr">
        <is>
          <t>LULEÅ</t>
        </is>
      </c>
      <c r="G158" t="n">
        <v>13</v>
      </c>
      <c r="H158" t="n">
        <v>0</v>
      </c>
      <c r="I158" t="n">
        <v>0</v>
      </c>
      <c r="J158" t="n">
        <v>0</v>
      </c>
      <c r="K158" t="n">
        <v>0</v>
      </c>
      <c r="L158" t="n">
        <v>0</v>
      </c>
      <c r="M158" t="n">
        <v>0</v>
      </c>
      <c r="N158" t="n">
        <v>0</v>
      </c>
      <c r="O158" t="n">
        <v>0</v>
      </c>
      <c r="P158" t="n">
        <v>0</v>
      </c>
      <c r="Q158" t="n">
        <v>0</v>
      </c>
      <c r="R158" s="2" t="inlineStr"/>
    </row>
    <row r="159" ht="15" customHeight="1">
      <c r="A159" t="inlineStr">
        <is>
          <t>A 37935-2024</t>
        </is>
      </c>
      <c r="B159" s="1" t="n">
        <v>45544</v>
      </c>
      <c r="C159" s="1" t="n">
        <v>45913</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21597-2024</t>
        </is>
      </c>
      <c r="B160" s="1" t="n">
        <v>45441.9291087963</v>
      </c>
      <c r="C160" s="1" t="n">
        <v>45913</v>
      </c>
      <c r="D160" t="inlineStr">
        <is>
          <t>NORRBOTTENS LÄN</t>
        </is>
      </c>
      <c r="E160" t="inlineStr">
        <is>
          <t>LULEÅ</t>
        </is>
      </c>
      <c r="G160" t="n">
        <v>3.7</v>
      </c>
      <c r="H160" t="n">
        <v>0</v>
      </c>
      <c r="I160" t="n">
        <v>0</v>
      </c>
      <c r="J160" t="n">
        <v>0</v>
      </c>
      <c r="K160" t="n">
        <v>0</v>
      </c>
      <c r="L160" t="n">
        <v>0</v>
      </c>
      <c r="M160" t="n">
        <v>0</v>
      </c>
      <c r="N160" t="n">
        <v>0</v>
      </c>
      <c r="O160" t="n">
        <v>0</v>
      </c>
      <c r="P160" t="n">
        <v>0</v>
      </c>
      <c r="Q160" t="n">
        <v>0</v>
      </c>
      <c r="R160" s="2" t="inlineStr"/>
    </row>
    <row r="161" ht="15" customHeight="1">
      <c r="A161" t="inlineStr">
        <is>
          <t>A 806-2025</t>
        </is>
      </c>
      <c r="B161" s="1" t="n">
        <v>45664</v>
      </c>
      <c r="C161" s="1" t="n">
        <v>45913</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60727-2024</t>
        </is>
      </c>
      <c r="B162" s="1" t="n">
        <v>45644.54008101852</v>
      </c>
      <c r="C162" s="1" t="n">
        <v>45913</v>
      </c>
      <c r="D162" t="inlineStr">
        <is>
          <t>NORRBOTTENS LÄN</t>
        </is>
      </c>
      <c r="E162" t="inlineStr">
        <is>
          <t>LULEÅ</t>
        </is>
      </c>
      <c r="G162" t="n">
        <v>18.7</v>
      </c>
      <c r="H162" t="n">
        <v>0</v>
      </c>
      <c r="I162" t="n">
        <v>0</v>
      </c>
      <c r="J162" t="n">
        <v>0</v>
      </c>
      <c r="K162" t="n">
        <v>0</v>
      </c>
      <c r="L162" t="n">
        <v>0</v>
      </c>
      <c r="M162" t="n">
        <v>0</v>
      </c>
      <c r="N162" t="n">
        <v>0</v>
      </c>
      <c r="O162" t="n">
        <v>0</v>
      </c>
      <c r="P162" t="n">
        <v>0</v>
      </c>
      <c r="Q162" t="n">
        <v>0</v>
      </c>
      <c r="R162" s="2" t="inlineStr"/>
    </row>
    <row r="163" ht="15" customHeight="1">
      <c r="A163" t="inlineStr">
        <is>
          <t>A 22656-2021</t>
        </is>
      </c>
      <c r="B163" s="1" t="n">
        <v>44327</v>
      </c>
      <c r="C163" s="1" t="n">
        <v>45913</v>
      </c>
      <c r="D163" t="inlineStr">
        <is>
          <t>NORRBOTTENS LÄN</t>
        </is>
      </c>
      <c r="E163" t="inlineStr">
        <is>
          <t>LULEÅ</t>
        </is>
      </c>
      <c r="G163" t="n">
        <v>7.1</v>
      </c>
      <c r="H163" t="n">
        <v>0</v>
      </c>
      <c r="I163" t="n">
        <v>0</v>
      </c>
      <c r="J163" t="n">
        <v>0</v>
      </c>
      <c r="K163" t="n">
        <v>0</v>
      </c>
      <c r="L163" t="n">
        <v>0</v>
      </c>
      <c r="M163" t="n">
        <v>0</v>
      </c>
      <c r="N163" t="n">
        <v>0</v>
      </c>
      <c r="O163" t="n">
        <v>0</v>
      </c>
      <c r="P163" t="n">
        <v>0</v>
      </c>
      <c r="Q163" t="n">
        <v>0</v>
      </c>
      <c r="R163" s="2" t="inlineStr"/>
    </row>
    <row r="164" ht="15" customHeight="1">
      <c r="A164" t="inlineStr">
        <is>
          <t>A 14337-2024</t>
        </is>
      </c>
      <c r="B164" s="1" t="n">
        <v>45393</v>
      </c>
      <c r="C164" s="1" t="n">
        <v>45913</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44680-2021</t>
        </is>
      </c>
      <c r="B165" s="1" t="n">
        <v>44435</v>
      </c>
      <c r="C165" s="1" t="n">
        <v>45913</v>
      </c>
      <c r="D165" t="inlineStr">
        <is>
          <t>NORRBOTTENS LÄN</t>
        </is>
      </c>
      <c r="E165" t="inlineStr">
        <is>
          <t>LULEÅ</t>
        </is>
      </c>
      <c r="G165" t="n">
        <v>6.1</v>
      </c>
      <c r="H165" t="n">
        <v>0</v>
      </c>
      <c r="I165" t="n">
        <v>0</v>
      </c>
      <c r="J165" t="n">
        <v>0</v>
      </c>
      <c r="K165" t="n">
        <v>0</v>
      </c>
      <c r="L165" t="n">
        <v>0</v>
      </c>
      <c r="M165" t="n">
        <v>0</v>
      </c>
      <c r="N165" t="n">
        <v>0</v>
      </c>
      <c r="O165" t="n">
        <v>0</v>
      </c>
      <c r="P165" t="n">
        <v>0</v>
      </c>
      <c r="Q165" t="n">
        <v>0</v>
      </c>
      <c r="R165" s="2" t="inlineStr"/>
    </row>
    <row r="166" ht="15" customHeight="1">
      <c r="A166" t="inlineStr">
        <is>
          <t>A 31039-2024</t>
        </is>
      </c>
      <c r="B166" s="1" t="n">
        <v>45501.91951388889</v>
      </c>
      <c r="C166" s="1" t="n">
        <v>45913</v>
      </c>
      <c r="D166" t="inlineStr">
        <is>
          <t>NORRBOTTENS LÄN</t>
        </is>
      </c>
      <c r="E166" t="inlineStr">
        <is>
          <t>LULEÅ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14160-2024</t>
        </is>
      </c>
      <c r="B167" s="1" t="n">
        <v>45392</v>
      </c>
      <c r="C167" s="1" t="n">
        <v>45913</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4920-2025</t>
        </is>
      </c>
      <c r="B168" s="1" t="n">
        <v>45688.68412037037</v>
      </c>
      <c r="C168" s="1" t="n">
        <v>45913</v>
      </c>
      <c r="D168" t="inlineStr">
        <is>
          <t>NORRBOTTENS LÄN</t>
        </is>
      </c>
      <c r="E168" t="inlineStr">
        <is>
          <t>LULEÅ</t>
        </is>
      </c>
      <c r="G168" t="n">
        <v>6.4</v>
      </c>
      <c r="H168" t="n">
        <v>0</v>
      </c>
      <c r="I168" t="n">
        <v>0</v>
      </c>
      <c r="J168" t="n">
        <v>0</v>
      </c>
      <c r="K168" t="n">
        <v>0</v>
      </c>
      <c r="L168" t="n">
        <v>0</v>
      </c>
      <c r="M168" t="n">
        <v>0</v>
      </c>
      <c r="N168" t="n">
        <v>0</v>
      </c>
      <c r="O168" t="n">
        <v>0</v>
      </c>
      <c r="P168" t="n">
        <v>0</v>
      </c>
      <c r="Q168" t="n">
        <v>0</v>
      </c>
      <c r="R168" s="2" t="inlineStr"/>
    </row>
    <row r="169" ht="15" customHeight="1">
      <c r="A169" t="inlineStr">
        <is>
          <t>A 60584-2024</t>
        </is>
      </c>
      <c r="B169" s="1" t="n">
        <v>45644.34611111111</v>
      </c>
      <c r="C169" s="1" t="n">
        <v>45913</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12539-2024</t>
        </is>
      </c>
      <c r="B170" s="1" t="n">
        <v>45379</v>
      </c>
      <c r="C170" s="1" t="n">
        <v>45913</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42103-2024</t>
        </is>
      </c>
      <c r="B171" s="1" t="n">
        <v>45562</v>
      </c>
      <c r="C171" s="1" t="n">
        <v>45913</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60642-2020</t>
        </is>
      </c>
      <c r="B172" s="1" t="n">
        <v>44152</v>
      </c>
      <c r="C172" s="1" t="n">
        <v>45913</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30289-2023</t>
        </is>
      </c>
      <c r="B173" s="1" t="n">
        <v>45110</v>
      </c>
      <c r="C173" s="1" t="n">
        <v>45913</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52400-2023</t>
        </is>
      </c>
      <c r="B174" s="1" t="n">
        <v>45224</v>
      </c>
      <c r="C174" s="1" t="n">
        <v>45913</v>
      </c>
      <c r="D174" t="inlineStr">
        <is>
          <t>NORRBOTTENS LÄN</t>
        </is>
      </c>
      <c r="E174" t="inlineStr">
        <is>
          <t>LULEÅ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29490-2023</t>
        </is>
      </c>
      <c r="B175" s="1" t="n">
        <v>45098</v>
      </c>
      <c r="C175" s="1" t="n">
        <v>45913</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29510-2023</t>
        </is>
      </c>
      <c r="B176" s="1" t="n">
        <v>45098</v>
      </c>
      <c r="C176" s="1" t="n">
        <v>45913</v>
      </c>
      <c r="D176" t="inlineStr">
        <is>
          <t>NORRBOTTENS LÄN</t>
        </is>
      </c>
      <c r="E176" t="inlineStr">
        <is>
          <t>LULEÅ</t>
        </is>
      </c>
      <c r="G176" t="n">
        <v>3.8</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45913</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52444-2021</t>
        </is>
      </c>
      <c r="B178" s="1" t="n">
        <v>44463</v>
      </c>
      <c r="C178" s="1" t="n">
        <v>45913</v>
      </c>
      <c r="D178" t="inlineStr">
        <is>
          <t>NORRBOTTENS LÄN</t>
        </is>
      </c>
      <c r="E178" t="inlineStr">
        <is>
          <t>LULEÅ</t>
        </is>
      </c>
      <c r="G178" t="n">
        <v>2.1</v>
      </c>
      <c r="H178" t="n">
        <v>0</v>
      </c>
      <c r="I178" t="n">
        <v>0</v>
      </c>
      <c r="J178" t="n">
        <v>0</v>
      </c>
      <c r="K178" t="n">
        <v>0</v>
      </c>
      <c r="L178" t="n">
        <v>0</v>
      </c>
      <c r="M178" t="n">
        <v>0</v>
      </c>
      <c r="N178" t="n">
        <v>0</v>
      </c>
      <c r="O178" t="n">
        <v>0</v>
      </c>
      <c r="P178" t="n">
        <v>0</v>
      </c>
      <c r="Q178" t="n">
        <v>0</v>
      </c>
      <c r="R178" s="2" t="inlineStr"/>
    </row>
    <row r="179" ht="15" customHeight="1">
      <c r="A179" t="inlineStr">
        <is>
          <t>A 23819-2023</t>
        </is>
      </c>
      <c r="B179" s="1" t="n">
        <v>45075</v>
      </c>
      <c r="C179" s="1" t="n">
        <v>45913</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9282-2023</t>
        </is>
      </c>
      <c r="B180" s="1" t="n">
        <v>44977</v>
      </c>
      <c r="C180" s="1" t="n">
        <v>45913</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1312-2024</t>
        </is>
      </c>
      <c r="B181" s="1" t="n">
        <v>45303</v>
      </c>
      <c r="C181" s="1" t="n">
        <v>45913</v>
      </c>
      <c r="D181" t="inlineStr">
        <is>
          <t>NORRBOTTENS LÄN</t>
        </is>
      </c>
      <c r="E181" t="inlineStr">
        <is>
          <t>LULEÅ</t>
        </is>
      </c>
      <c r="F181" t="inlineStr">
        <is>
          <t>Kyrkan</t>
        </is>
      </c>
      <c r="G181" t="n">
        <v>1</v>
      </c>
      <c r="H181" t="n">
        <v>0</v>
      </c>
      <c r="I181" t="n">
        <v>0</v>
      </c>
      <c r="J181" t="n">
        <v>0</v>
      </c>
      <c r="K181" t="n">
        <v>0</v>
      </c>
      <c r="L181" t="n">
        <v>0</v>
      </c>
      <c r="M181" t="n">
        <v>0</v>
      </c>
      <c r="N181" t="n">
        <v>0</v>
      </c>
      <c r="O181" t="n">
        <v>0</v>
      </c>
      <c r="P181" t="n">
        <v>0</v>
      </c>
      <c r="Q181" t="n">
        <v>0</v>
      </c>
      <c r="R181" s="2" t="inlineStr"/>
    </row>
    <row r="182" ht="15" customHeight="1">
      <c r="A182" t="inlineStr">
        <is>
          <t>A 25578-2024</t>
        </is>
      </c>
      <c r="B182" s="1" t="n">
        <v>45463</v>
      </c>
      <c r="C182" s="1" t="n">
        <v>45913</v>
      </c>
      <c r="D182" t="inlineStr">
        <is>
          <t>NORRBOTTENS LÄN</t>
        </is>
      </c>
      <c r="E182" t="inlineStr">
        <is>
          <t>LULEÅ</t>
        </is>
      </c>
      <c r="G182" t="n">
        <v>7.9</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45913</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46547-2021</t>
        </is>
      </c>
      <c r="B184" s="1" t="n">
        <v>44445</v>
      </c>
      <c r="C184" s="1" t="n">
        <v>45913</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45913</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45913</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18166-2023</t>
        </is>
      </c>
      <c r="B187" s="1" t="n">
        <v>45040.94335648148</v>
      </c>
      <c r="C187" s="1" t="n">
        <v>45913</v>
      </c>
      <c r="D187" t="inlineStr">
        <is>
          <t>NORRBOTTENS LÄN</t>
        </is>
      </c>
      <c r="E187" t="inlineStr">
        <is>
          <t>LULEÅ</t>
        </is>
      </c>
      <c r="F187" t="inlineStr">
        <is>
          <t>SCA</t>
        </is>
      </c>
      <c r="G187" t="n">
        <v>3.4</v>
      </c>
      <c r="H187" t="n">
        <v>0</v>
      </c>
      <c r="I187" t="n">
        <v>0</v>
      </c>
      <c r="J187" t="n">
        <v>0</v>
      </c>
      <c r="K187" t="n">
        <v>0</v>
      </c>
      <c r="L187" t="n">
        <v>0</v>
      </c>
      <c r="M187" t="n">
        <v>0</v>
      </c>
      <c r="N187" t="n">
        <v>0</v>
      </c>
      <c r="O187" t="n">
        <v>0</v>
      </c>
      <c r="P187" t="n">
        <v>0</v>
      </c>
      <c r="Q187" t="n">
        <v>0</v>
      </c>
      <c r="R187" s="2" t="inlineStr"/>
    </row>
    <row r="188" ht="15" customHeight="1">
      <c r="A188" t="inlineStr">
        <is>
          <t>A 30727-2023</t>
        </is>
      </c>
      <c r="B188" s="1" t="n">
        <v>45112</v>
      </c>
      <c r="C188" s="1" t="n">
        <v>45913</v>
      </c>
      <c r="D188" t="inlineStr">
        <is>
          <t>NORRBOTTENS LÄN</t>
        </is>
      </c>
      <c r="E188" t="inlineStr">
        <is>
          <t>LULEÅ</t>
        </is>
      </c>
      <c r="G188" t="n">
        <v>1.8</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45913</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72756-2021</t>
        </is>
      </c>
      <c r="B190" s="1" t="n">
        <v>44546.92277777778</v>
      </c>
      <c r="C190" s="1" t="n">
        <v>45913</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72752-2021</t>
        </is>
      </c>
      <c r="B191" s="1" t="n">
        <v>44546.92262731482</v>
      </c>
      <c r="C191" s="1" t="n">
        <v>45913</v>
      </c>
      <c r="D191" t="inlineStr">
        <is>
          <t>NORRBOTTENS LÄN</t>
        </is>
      </c>
      <c r="E191" t="inlineStr">
        <is>
          <t>LULEÅ</t>
        </is>
      </c>
      <c r="G191" t="n">
        <v>1.8</v>
      </c>
      <c r="H191" t="n">
        <v>0</v>
      </c>
      <c r="I191" t="n">
        <v>0</v>
      </c>
      <c r="J191" t="n">
        <v>0</v>
      </c>
      <c r="K191" t="n">
        <v>0</v>
      </c>
      <c r="L191" t="n">
        <v>0</v>
      </c>
      <c r="M191" t="n">
        <v>0</v>
      </c>
      <c r="N191" t="n">
        <v>0</v>
      </c>
      <c r="O191" t="n">
        <v>0</v>
      </c>
      <c r="P191" t="n">
        <v>0</v>
      </c>
      <c r="Q191" t="n">
        <v>0</v>
      </c>
      <c r="R191" s="2" t="inlineStr"/>
    </row>
    <row r="192" ht="15" customHeight="1">
      <c r="A192" t="inlineStr">
        <is>
          <t>A 31465-2024</t>
        </is>
      </c>
      <c r="B192" s="1" t="n">
        <v>45505</v>
      </c>
      <c r="C192" s="1" t="n">
        <v>45913</v>
      </c>
      <c r="D192" t="inlineStr">
        <is>
          <t>NORRBOTTENS LÄN</t>
        </is>
      </c>
      <c r="E192" t="inlineStr">
        <is>
          <t>LULEÅ</t>
        </is>
      </c>
      <c r="F192" t="inlineStr">
        <is>
          <t>Naturvårdsverket</t>
        </is>
      </c>
      <c r="G192" t="n">
        <v>7.1</v>
      </c>
      <c r="H192" t="n">
        <v>0</v>
      </c>
      <c r="I192" t="n">
        <v>0</v>
      </c>
      <c r="J192" t="n">
        <v>0</v>
      </c>
      <c r="K192" t="n">
        <v>0</v>
      </c>
      <c r="L192" t="n">
        <v>0</v>
      </c>
      <c r="M192" t="n">
        <v>0</v>
      </c>
      <c r="N192" t="n">
        <v>0</v>
      </c>
      <c r="O192" t="n">
        <v>0</v>
      </c>
      <c r="P192" t="n">
        <v>0</v>
      </c>
      <c r="Q192" t="n">
        <v>0</v>
      </c>
      <c r="R192" s="2" t="inlineStr"/>
    </row>
    <row r="193" ht="15" customHeight="1">
      <c r="A193" t="inlineStr">
        <is>
          <t>A 7880-2025</t>
        </is>
      </c>
      <c r="B193" s="1" t="n">
        <v>45706.785</v>
      </c>
      <c r="C193" s="1" t="n">
        <v>45913</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38358-2023</t>
        </is>
      </c>
      <c r="B194" s="1" t="n">
        <v>45161.94293981481</v>
      </c>
      <c r="C194" s="1" t="n">
        <v>45913</v>
      </c>
      <c r="D194" t="inlineStr">
        <is>
          <t>NORRBOTTENS LÄN</t>
        </is>
      </c>
      <c r="E194" t="inlineStr">
        <is>
          <t>LULEÅ</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49208-2024</t>
        </is>
      </c>
      <c r="B195" s="1" t="n">
        <v>45595.37256944444</v>
      </c>
      <c r="C195" s="1" t="n">
        <v>45913</v>
      </c>
      <c r="D195" t="inlineStr">
        <is>
          <t>NORRBOTTENS LÄN</t>
        </is>
      </c>
      <c r="E195" t="inlineStr">
        <is>
          <t>LULEÅ</t>
        </is>
      </c>
      <c r="G195" t="n">
        <v>5.2</v>
      </c>
      <c r="H195" t="n">
        <v>0</v>
      </c>
      <c r="I195" t="n">
        <v>0</v>
      </c>
      <c r="J195" t="n">
        <v>0</v>
      </c>
      <c r="K195" t="n">
        <v>0</v>
      </c>
      <c r="L195" t="n">
        <v>0</v>
      </c>
      <c r="M195" t="n">
        <v>0</v>
      </c>
      <c r="N195" t="n">
        <v>0</v>
      </c>
      <c r="O195" t="n">
        <v>0</v>
      </c>
      <c r="P195" t="n">
        <v>0</v>
      </c>
      <c r="Q195" t="n">
        <v>0</v>
      </c>
      <c r="R195" s="2" t="inlineStr"/>
    </row>
    <row r="196" ht="15" customHeight="1">
      <c r="A196" t="inlineStr">
        <is>
          <t>A 3895-2025</t>
        </is>
      </c>
      <c r="B196" s="1" t="n">
        <v>45683</v>
      </c>
      <c r="C196" s="1" t="n">
        <v>45913</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25798-2024</t>
        </is>
      </c>
      <c r="B197" s="1" t="n">
        <v>45463</v>
      </c>
      <c r="C197" s="1" t="n">
        <v>45913</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26582-2024</t>
        </is>
      </c>
      <c r="B198" s="1" t="n">
        <v>45469.66545138889</v>
      </c>
      <c r="C198" s="1" t="n">
        <v>45913</v>
      </c>
      <c r="D198" t="inlineStr">
        <is>
          <t>NORRBOTTENS LÄN</t>
        </is>
      </c>
      <c r="E198" t="inlineStr">
        <is>
          <t>LULEÅ</t>
        </is>
      </c>
      <c r="G198" t="n">
        <v>4.8</v>
      </c>
      <c r="H198" t="n">
        <v>0</v>
      </c>
      <c r="I198" t="n">
        <v>0</v>
      </c>
      <c r="J198" t="n">
        <v>0</v>
      </c>
      <c r="K198" t="n">
        <v>0</v>
      </c>
      <c r="L198" t="n">
        <v>0</v>
      </c>
      <c r="M198" t="n">
        <v>0</v>
      </c>
      <c r="N198" t="n">
        <v>0</v>
      </c>
      <c r="O198" t="n">
        <v>0</v>
      </c>
      <c r="P198" t="n">
        <v>0</v>
      </c>
      <c r="Q198" t="n">
        <v>0</v>
      </c>
      <c r="R198" s="2" t="inlineStr"/>
    </row>
    <row r="199" ht="15" customHeight="1">
      <c r="A199" t="inlineStr">
        <is>
          <t>A 8521-2022</t>
        </is>
      </c>
      <c r="B199" s="1" t="n">
        <v>44610</v>
      </c>
      <c r="C199" s="1" t="n">
        <v>45913</v>
      </c>
      <c r="D199" t="inlineStr">
        <is>
          <t>NORRBOTTENS LÄN</t>
        </is>
      </c>
      <c r="E199" t="inlineStr">
        <is>
          <t>LULEÅ</t>
        </is>
      </c>
      <c r="G199" t="n">
        <v>2.2</v>
      </c>
      <c r="H199" t="n">
        <v>0</v>
      </c>
      <c r="I199" t="n">
        <v>0</v>
      </c>
      <c r="J199" t="n">
        <v>0</v>
      </c>
      <c r="K199" t="n">
        <v>0</v>
      </c>
      <c r="L199" t="n">
        <v>0</v>
      </c>
      <c r="M199" t="n">
        <v>0</v>
      </c>
      <c r="N199" t="n">
        <v>0</v>
      </c>
      <c r="O199" t="n">
        <v>0</v>
      </c>
      <c r="P199" t="n">
        <v>0</v>
      </c>
      <c r="Q199" t="n">
        <v>0</v>
      </c>
      <c r="R199" s="2" t="inlineStr"/>
    </row>
    <row r="200" ht="15" customHeight="1">
      <c r="A200" t="inlineStr">
        <is>
          <t>A 62732-2021</t>
        </is>
      </c>
      <c r="B200" s="1" t="n">
        <v>44503</v>
      </c>
      <c r="C200" s="1" t="n">
        <v>45913</v>
      </c>
      <c r="D200" t="inlineStr">
        <is>
          <t>NORRBOTTENS LÄN</t>
        </is>
      </c>
      <c r="E200" t="inlineStr">
        <is>
          <t>LULEÅ</t>
        </is>
      </c>
      <c r="G200" t="n">
        <v>2.5</v>
      </c>
      <c r="H200" t="n">
        <v>0</v>
      </c>
      <c r="I200" t="n">
        <v>0</v>
      </c>
      <c r="J200" t="n">
        <v>0</v>
      </c>
      <c r="K200" t="n">
        <v>0</v>
      </c>
      <c r="L200" t="n">
        <v>0</v>
      </c>
      <c r="M200" t="n">
        <v>0</v>
      </c>
      <c r="N200" t="n">
        <v>0</v>
      </c>
      <c r="O200" t="n">
        <v>0</v>
      </c>
      <c r="P200" t="n">
        <v>0</v>
      </c>
      <c r="Q200" t="n">
        <v>0</v>
      </c>
      <c r="R200" s="2" t="inlineStr"/>
    </row>
    <row r="201" ht="15" customHeight="1">
      <c r="A201" t="inlineStr">
        <is>
          <t>A 29555-2024</t>
        </is>
      </c>
      <c r="B201" s="1" t="n">
        <v>45484</v>
      </c>
      <c r="C201" s="1" t="n">
        <v>45913</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22007-2024</t>
        </is>
      </c>
      <c r="B202" s="1" t="n">
        <v>45443</v>
      </c>
      <c r="C202" s="1" t="n">
        <v>45913</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59400-2024</t>
        </is>
      </c>
      <c r="B203" s="1" t="n">
        <v>45638</v>
      </c>
      <c r="C203" s="1" t="n">
        <v>45913</v>
      </c>
      <c r="D203" t="inlineStr">
        <is>
          <t>NORRBOTTENS LÄN</t>
        </is>
      </c>
      <c r="E203" t="inlineStr">
        <is>
          <t>LULEÅ</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45913</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434-2022</t>
        </is>
      </c>
      <c r="B205" s="1" t="n">
        <v>44565.92913194445</v>
      </c>
      <c r="C205" s="1" t="n">
        <v>45913</v>
      </c>
      <c r="D205" t="inlineStr">
        <is>
          <t>NORRBOTTENS LÄN</t>
        </is>
      </c>
      <c r="E205" t="inlineStr">
        <is>
          <t>LULEÅ</t>
        </is>
      </c>
      <c r="G205" t="n">
        <v>0.4</v>
      </c>
      <c r="H205" t="n">
        <v>0</v>
      </c>
      <c r="I205" t="n">
        <v>0</v>
      </c>
      <c r="J205" t="n">
        <v>0</v>
      </c>
      <c r="K205" t="n">
        <v>0</v>
      </c>
      <c r="L205" t="n">
        <v>0</v>
      </c>
      <c r="M205" t="n">
        <v>0</v>
      </c>
      <c r="N205" t="n">
        <v>0</v>
      </c>
      <c r="O205" t="n">
        <v>0</v>
      </c>
      <c r="P205" t="n">
        <v>0</v>
      </c>
      <c r="Q205" t="n">
        <v>0</v>
      </c>
      <c r="R205" s="2" t="inlineStr"/>
    </row>
    <row r="206" ht="15" customHeight="1">
      <c r="A206" t="inlineStr">
        <is>
          <t>A 35090-2023</t>
        </is>
      </c>
      <c r="B206" s="1" t="n">
        <v>45145</v>
      </c>
      <c r="C206" s="1" t="n">
        <v>45913</v>
      </c>
      <c r="D206" t="inlineStr">
        <is>
          <t>NORRBOTTENS LÄN</t>
        </is>
      </c>
      <c r="E206" t="inlineStr">
        <is>
          <t>LULEÅ</t>
        </is>
      </c>
      <c r="G206" t="n">
        <v>3</v>
      </c>
      <c r="H206" t="n">
        <v>0</v>
      </c>
      <c r="I206" t="n">
        <v>0</v>
      </c>
      <c r="J206" t="n">
        <v>0</v>
      </c>
      <c r="K206" t="n">
        <v>0</v>
      </c>
      <c r="L206" t="n">
        <v>0</v>
      </c>
      <c r="M206" t="n">
        <v>0</v>
      </c>
      <c r="N206" t="n">
        <v>0</v>
      </c>
      <c r="O206" t="n">
        <v>0</v>
      </c>
      <c r="P206" t="n">
        <v>0</v>
      </c>
      <c r="Q206" t="n">
        <v>0</v>
      </c>
      <c r="R206" s="2" t="inlineStr"/>
    </row>
    <row r="207" ht="15" customHeight="1">
      <c r="A207" t="inlineStr">
        <is>
          <t>A 20690-2024</t>
        </is>
      </c>
      <c r="B207" s="1" t="n">
        <v>45436</v>
      </c>
      <c r="C207" s="1" t="n">
        <v>45913</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45913</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45913</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45913</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34992-2024</t>
        </is>
      </c>
      <c r="B211" s="1" t="n">
        <v>45527</v>
      </c>
      <c r="C211" s="1" t="n">
        <v>45913</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23505-2025</t>
        </is>
      </c>
      <c r="B212" s="1" t="n">
        <v>45792</v>
      </c>
      <c r="C212" s="1" t="n">
        <v>45913</v>
      </c>
      <c r="D212" t="inlineStr">
        <is>
          <t>NORRBOTTENS LÄN</t>
        </is>
      </c>
      <c r="E212" t="inlineStr">
        <is>
          <t>LULEÅ</t>
        </is>
      </c>
      <c r="G212" t="n">
        <v>4.6</v>
      </c>
      <c r="H212" t="n">
        <v>0</v>
      </c>
      <c r="I212" t="n">
        <v>0</v>
      </c>
      <c r="J212" t="n">
        <v>0</v>
      </c>
      <c r="K212" t="n">
        <v>0</v>
      </c>
      <c r="L212" t="n">
        <v>0</v>
      </c>
      <c r="M212" t="n">
        <v>0</v>
      </c>
      <c r="N212" t="n">
        <v>0</v>
      </c>
      <c r="O212" t="n">
        <v>0</v>
      </c>
      <c r="P212" t="n">
        <v>0</v>
      </c>
      <c r="Q212" t="n">
        <v>0</v>
      </c>
      <c r="R212" s="2" t="inlineStr"/>
    </row>
    <row r="213" ht="15" customHeight="1">
      <c r="A213" t="inlineStr">
        <is>
          <t>A 23520-2025</t>
        </is>
      </c>
      <c r="B213" s="1" t="n">
        <v>45792.51074074074</v>
      </c>
      <c r="C213" s="1" t="n">
        <v>45913</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23524-2025</t>
        </is>
      </c>
      <c r="B214" s="1" t="n">
        <v>45792</v>
      </c>
      <c r="C214" s="1" t="n">
        <v>45913</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14990-2024</t>
        </is>
      </c>
      <c r="B215" s="1" t="n">
        <v>45399.36019675926</v>
      </c>
      <c r="C215" s="1" t="n">
        <v>45913</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45913</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52697-2023</t>
        </is>
      </c>
      <c r="B217" s="1" t="n">
        <v>45219</v>
      </c>
      <c r="C217" s="1" t="n">
        <v>45913</v>
      </c>
      <c r="D217" t="inlineStr">
        <is>
          <t>NORRBOTTENS LÄN</t>
        </is>
      </c>
      <c r="E217" t="inlineStr">
        <is>
          <t>LULEÅ</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60651-2023</t>
        </is>
      </c>
      <c r="B218" s="1" t="n">
        <v>45260</v>
      </c>
      <c r="C218" s="1" t="n">
        <v>45913</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23516-2025</t>
        </is>
      </c>
      <c r="B219" s="1" t="n">
        <v>45792</v>
      </c>
      <c r="C219" s="1" t="n">
        <v>45913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23519-2025</t>
        </is>
      </c>
      <c r="B220" s="1" t="n">
        <v>45792.51074074074</v>
      </c>
      <c r="C220" s="1" t="n">
        <v>45913</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19986-2025</t>
        </is>
      </c>
      <c r="B221" s="1" t="n">
        <v>45771.71979166667</v>
      </c>
      <c r="C221" s="1" t="n">
        <v>45913</v>
      </c>
      <c r="D221" t="inlineStr">
        <is>
          <t>NORRBOTTENS LÄN</t>
        </is>
      </c>
      <c r="E221" t="inlineStr">
        <is>
          <t>LULEÅ</t>
        </is>
      </c>
      <c r="F221" t="inlineStr">
        <is>
          <t>Naturvårdsverket</t>
        </is>
      </c>
      <c r="G221" t="n">
        <v>1.3</v>
      </c>
      <c r="H221" t="n">
        <v>0</v>
      </c>
      <c r="I221" t="n">
        <v>0</v>
      </c>
      <c r="J221" t="n">
        <v>0</v>
      </c>
      <c r="K221" t="n">
        <v>0</v>
      </c>
      <c r="L221" t="n">
        <v>0</v>
      </c>
      <c r="M221" t="n">
        <v>0</v>
      </c>
      <c r="N221" t="n">
        <v>0</v>
      </c>
      <c r="O221" t="n">
        <v>0</v>
      </c>
      <c r="P221" t="n">
        <v>0</v>
      </c>
      <c r="Q221" t="n">
        <v>0</v>
      </c>
      <c r="R221" s="2" t="inlineStr"/>
    </row>
    <row r="222" ht="15" customHeight="1">
      <c r="A222" t="inlineStr">
        <is>
          <t>A 35234-2021</t>
        </is>
      </c>
      <c r="B222" s="1" t="n">
        <v>44384</v>
      </c>
      <c r="C222" s="1" t="n">
        <v>45913</v>
      </c>
      <c r="D222" t="inlineStr">
        <is>
          <t>NORRBOTTENS LÄN</t>
        </is>
      </c>
      <c r="E222" t="inlineStr">
        <is>
          <t>LULEÅ</t>
        </is>
      </c>
      <c r="G222" t="n">
        <v>1.4</v>
      </c>
      <c r="H222" t="n">
        <v>0</v>
      </c>
      <c r="I222" t="n">
        <v>0</v>
      </c>
      <c r="J222" t="n">
        <v>0</v>
      </c>
      <c r="K222" t="n">
        <v>0</v>
      </c>
      <c r="L222" t="n">
        <v>0</v>
      </c>
      <c r="M222" t="n">
        <v>0</v>
      </c>
      <c r="N222" t="n">
        <v>0</v>
      </c>
      <c r="O222" t="n">
        <v>0</v>
      </c>
      <c r="P222" t="n">
        <v>0</v>
      </c>
      <c r="Q222" t="n">
        <v>0</v>
      </c>
      <c r="R222" s="2" t="inlineStr"/>
    </row>
    <row r="223" ht="15" customHeight="1">
      <c r="A223" t="inlineStr">
        <is>
          <t>A 15127-2023</t>
        </is>
      </c>
      <c r="B223" s="1" t="n">
        <v>45016</v>
      </c>
      <c r="C223" s="1" t="n">
        <v>45913</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23534-2025</t>
        </is>
      </c>
      <c r="B224" s="1" t="n">
        <v>45792</v>
      </c>
      <c r="C224" s="1" t="n">
        <v>45913</v>
      </c>
      <c r="D224" t="inlineStr">
        <is>
          <t>NORRBOTTENS LÄN</t>
        </is>
      </c>
      <c r="E224" t="inlineStr">
        <is>
          <t>LULEÅ</t>
        </is>
      </c>
      <c r="G224" t="n">
        <v>3.2</v>
      </c>
      <c r="H224" t="n">
        <v>0</v>
      </c>
      <c r="I224" t="n">
        <v>0</v>
      </c>
      <c r="J224" t="n">
        <v>0</v>
      </c>
      <c r="K224" t="n">
        <v>0</v>
      </c>
      <c r="L224" t="n">
        <v>0</v>
      </c>
      <c r="M224" t="n">
        <v>0</v>
      </c>
      <c r="N224" t="n">
        <v>0</v>
      </c>
      <c r="O224" t="n">
        <v>0</v>
      </c>
      <c r="P224" t="n">
        <v>0</v>
      </c>
      <c r="Q224" t="n">
        <v>0</v>
      </c>
      <c r="R224" s="2" t="inlineStr"/>
    </row>
    <row r="225" ht="15" customHeight="1">
      <c r="A225" t="inlineStr">
        <is>
          <t>A 23719-2025</t>
        </is>
      </c>
      <c r="B225" s="1" t="n">
        <v>45793.40042824074</v>
      </c>
      <c r="C225" s="1" t="n">
        <v>45913</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17421-2023</t>
        </is>
      </c>
      <c r="B226" s="1" t="n">
        <v>45035.92607638889</v>
      </c>
      <c r="C226" s="1" t="n">
        <v>45913</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17425-2023</t>
        </is>
      </c>
      <c r="B227" s="1" t="n">
        <v>45035</v>
      </c>
      <c r="C227" s="1" t="n">
        <v>45913</v>
      </c>
      <c r="D227" t="inlineStr">
        <is>
          <t>NORRBOTTENS LÄN</t>
        </is>
      </c>
      <c r="E227" t="inlineStr">
        <is>
          <t>LULEÅ</t>
        </is>
      </c>
      <c r="G227" t="n">
        <v>2.7</v>
      </c>
      <c r="H227" t="n">
        <v>0</v>
      </c>
      <c r="I227" t="n">
        <v>0</v>
      </c>
      <c r="J227" t="n">
        <v>0</v>
      </c>
      <c r="K227" t="n">
        <v>0</v>
      </c>
      <c r="L227" t="n">
        <v>0</v>
      </c>
      <c r="M227" t="n">
        <v>0</v>
      </c>
      <c r="N227" t="n">
        <v>0</v>
      </c>
      <c r="O227" t="n">
        <v>0</v>
      </c>
      <c r="P227" t="n">
        <v>0</v>
      </c>
      <c r="Q227" t="n">
        <v>0</v>
      </c>
      <c r="R227" s="2" t="inlineStr"/>
    </row>
    <row r="228" ht="15" customHeight="1">
      <c r="A228" t="inlineStr">
        <is>
          <t>A 4919-2025</t>
        </is>
      </c>
      <c r="B228" s="1" t="n">
        <v>45688.68407407407</v>
      </c>
      <c r="C228" s="1" t="n">
        <v>45913</v>
      </c>
      <c r="D228" t="inlineStr">
        <is>
          <t>NORRBOTTENS LÄN</t>
        </is>
      </c>
      <c r="E228" t="inlineStr">
        <is>
          <t>LULEÅ</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45913</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63828-2020</t>
        </is>
      </c>
      <c r="B230" s="1" t="n">
        <v>44165</v>
      </c>
      <c r="C230" s="1" t="n">
        <v>45913</v>
      </c>
      <c r="D230" t="inlineStr">
        <is>
          <t>NORRBOTTENS LÄN</t>
        </is>
      </c>
      <c r="E230" t="inlineStr">
        <is>
          <t>LULEÅ</t>
        </is>
      </c>
      <c r="G230" t="n">
        <v>5.3</v>
      </c>
      <c r="H230" t="n">
        <v>0</v>
      </c>
      <c r="I230" t="n">
        <v>0</v>
      </c>
      <c r="J230" t="n">
        <v>0</v>
      </c>
      <c r="K230" t="n">
        <v>0</v>
      </c>
      <c r="L230" t="n">
        <v>0</v>
      </c>
      <c r="M230" t="n">
        <v>0</v>
      </c>
      <c r="N230" t="n">
        <v>0</v>
      </c>
      <c r="O230" t="n">
        <v>0</v>
      </c>
      <c r="P230" t="n">
        <v>0</v>
      </c>
      <c r="Q230" t="n">
        <v>0</v>
      </c>
      <c r="R230" s="2" t="inlineStr"/>
    </row>
    <row r="231" ht="15" customHeight="1">
      <c r="A231" t="inlineStr">
        <is>
          <t>A 86-2025</t>
        </is>
      </c>
      <c r="B231" s="1" t="n">
        <v>45659.45902777778</v>
      </c>
      <c r="C231" s="1" t="n">
        <v>45913</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12323-2023</t>
        </is>
      </c>
      <c r="B232" s="1" t="n">
        <v>44995</v>
      </c>
      <c r="C232" s="1" t="n">
        <v>45913</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6459-2025</t>
        </is>
      </c>
      <c r="B233" s="1" t="n">
        <v>45699.56368055556</v>
      </c>
      <c r="C233" s="1" t="n">
        <v>45913</v>
      </c>
      <c r="D233" t="inlineStr">
        <is>
          <t>NORRBOTTENS LÄN</t>
        </is>
      </c>
      <c r="E233" t="inlineStr">
        <is>
          <t>LULEÅ</t>
        </is>
      </c>
      <c r="F233" t="inlineStr">
        <is>
          <t>Övriga Aktiebolag</t>
        </is>
      </c>
      <c r="G233" t="n">
        <v>2.8</v>
      </c>
      <c r="H233" t="n">
        <v>0</v>
      </c>
      <c r="I233" t="n">
        <v>0</v>
      </c>
      <c r="J233" t="n">
        <v>0</v>
      </c>
      <c r="K233" t="n">
        <v>0</v>
      </c>
      <c r="L233" t="n">
        <v>0</v>
      </c>
      <c r="M233" t="n">
        <v>0</v>
      </c>
      <c r="N233" t="n">
        <v>0</v>
      </c>
      <c r="O233" t="n">
        <v>0</v>
      </c>
      <c r="P233" t="n">
        <v>0</v>
      </c>
      <c r="Q233" t="n">
        <v>0</v>
      </c>
      <c r="R233" s="2" t="inlineStr"/>
    </row>
    <row r="234" ht="15" customHeight="1">
      <c r="A234" t="inlineStr">
        <is>
          <t>A 49721-2022</t>
        </is>
      </c>
      <c r="B234" s="1" t="n">
        <v>44859</v>
      </c>
      <c r="C234" s="1" t="n">
        <v>45913</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45913</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59825-2024</t>
        </is>
      </c>
      <c r="B236" s="1" t="n">
        <v>45639.64152777778</v>
      </c>
      <c r="C236" s="1" t="n">
        <v>45913</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6552-2024</t>
        </is>
      </c>
      <c r="B237" s="1" t="n">
        <v>45341</v>
      </c>
      <c r="C237" s="1" t="n">
        <v>45913</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23722-2025</t>
        </is>
      </c>
      <c r="B238" s="1" t="n">
        <v>45793.40636574074</v>
      </c>
      <c r="C238" s="1" t="n">
        <v>45913</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47918-2024</t>
        </is>
      </c>
      <c r="B239" s="1" t="n">
        <v>45589.34434027778</v>
      </c>
      <c r="C239" s="1" t="n">
        <v>45913</v>
      </c>
      <c r="D239" t="inlineStr">
        <is>
          <t>NORRBOTTENS LÄN</t>
        </is>
      </c>
      <c r="E239" t="inlineStr">
        <is>
          <t>LULEÅ</t>
        </is>
      </c>
      <c r="F239" t="inlineStr">
        <is>
          <t>Naturvårdsverket</t>
        </is>
      </c>
      <c r="G239" t="n">
        <v>6.2</v>
      </c>
      <c r="H239" t="n">
        <v>0</v>
      </c>
      <c r="I239" t="n">
        <v>0</v>
      </c>
      <c r="J239" t="n">
        <v>0</v>
      </c>
      <c r="K239" t="n">
        <v>0</v>
      </c>
      <c r="L239" t="n">
        <v>0</v>
      </c>
      <c r="M239" t="n">
        <v>0</v>
      </c>
      <c r="N239" t="n">
        <v>0</v>
      </c>
      <c r="O239" t="n">
        <v>0</v>
      </c>
      <c r="P239" t="n">
        <v>0</v>
      </c>
      <c r="Q239" t="n">
        <v>0</v>
      </c>
      <c r="R239" s="2" t="inlineStr"/>
    </row>
    <row r="240" ht="15" customHeight="1">
      <c r="A240" t="inlineStr">
        <is>
          <t>A 60387-2024</t>
        </is>
      </c>
      <c r="B240" s="1" t="n">
        <v>45643.48357638889</v>
      </c>
      <c r="C240" s="1" t="n">
        <v>45913</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30950-2024</t>
        </is>
      </c>
      <c r="B241" s="1" t="n">
        <v>45499</v>
      </c>
      <c r="C241" s="1" t="n">
        <v>45913</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53836-2024</t>
        </is>
      </c>
      <c r="B242" s="1" t="n">
        <v>45615.62185185185</v>
      </c>
      <c r="C242" s="1" t="n">
        <v>45913</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34680-2023</t>
        </is>
      </c>
      <c r="B243" s="1" t="n">
        <v>45140</v>
      </c>
      <c r="C243" s="1" t="n">
        <v>45913</v>
      </c>
      <c r="D243" t="inlineStr">
        <is>
          <t>NORRBOTTENS LÄN</t>
        </is>
      </c>
      <c r="E243" t="inlineStr">
        <is>
          <t>LULEÅ</t>
        </is>
      </c>
      <c r="G243" t="n">
        <v>4.9</v>
      </c>
      <c r="H243" t="n">
        <v>0</v>
      </c>
      <c r="I243" t="n">
        <v>0</v>
      </c>
      <c r="J243" t="n">
        <v>0</v>
      </c>
      <c r="K243" t="n">
        <v>0</v>
      </c>
      <c r="L243" t="n">
        <v>0</v>
      </c>
      <c r="M243" t="n">
        <v>0</v>
      </c>
      <c r="N243" t="n">
        <v>0</v>
      </c>
      <c r="O243" t="n">
        <v>0</v>
      </c>
      <c r="P243" t="n">
        <v>0</v>
      </c>
      <c r="Q243" t="n">
        <v>0</v>
      </c>
      <c r="R243" s="2" t="inlineStr"/>
    </row>
    <row r="244" ht="15" customHeight="1">
      <c r="A244" t="inlineStr">
        <is>
          <t>A 4137-2024</t>
        </is>
      </c>
      <c r="B244" s="1" t="n">
        <v>45323</v>
      </c>
      <c r="C244" s="1" t="n">
        <v>45913</v>
      </c>
      <c r="D244" t="inlineStr">
        <is>
          <t>NORRBOTTENS LÄN</t>
        </is>
      </c>
      <c r="E244" t="inlineStr">
        <is>
          <t>LULEÅ</t>
        </is>
      </c>
      <c r="G244" t="n">
        <v>13.1</v>
      </c>
      <c r="H244" t="n">
        <v>0</v>
      </c>
      <c r="I244" t="n">
        <v>0</v>
      </c>
      <c r="J244" t="n">
        <v>0</v>
      </c>
      <c r="K244" t="n">
        <v>0</v>
      </c>
      <c r="L244" t="n">
        <v>0</v>
      </c>
      <c r="M244" t="n">
        <v>0</v>
      </c>
      <c r="N244" t="n">
        <v>0</v>
      </c>
      <c r="O244" t="n">
        <v>0</v>
      </c>
      <c r="P244" t="n">
        <v>0</v>
      </c>
      <c r="Q244" t="n">
        <v>0</v>
      </c>
      <c r="R244" s="2" t="inlineStr"/>
    </row>
    <row r="245" ht="15" customHeight="1">
      <c r="A245" t="inlineStr">
        <is>
          <t>A 52667-2024</t>
        </is>
      </c>
      <c r="B245" s="1" t="n">
        <v>45610</v>
      </c>
      <c r="C245" s="1" t="n">
        <v>45913</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23726-2025</t>
        </is>
      </c>
      <c r="B246" s="1" t="n">
        <v>45793.40854166666</v>
      </c>
      <c r="C246" s="1" t="n">
        <v>45913</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6731-2025</t>
        </is>
      </c>
      <c r="B247" s="1" t="n">
        <v>45700.59357638889</v>
      </c>
      <c r="C247" s="1" t="n">
        <v>45913</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71909-2021</t>
        </is>
      </c>
      <c r="B248" s="1" t="n">
        <v>44543.92140046296</v>
      </c>
      <c r="C248" s="1" t="n">
        <v>45913</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58827-2024</t>
        </is>
      </c>
      <c r="B249" s="1" t="n">
        <v>45635</v>
      </c>
      <c r="C249" s="1" t="n">
        <v>45913</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57115-2024</t>
        </is>
      </c>
      <c r="B250" s="1" t="n">
        <v>45629.36509259259</v>
      </c>
      <c r="C250" s="1" t="n">
        <v>45913</v>
      </c>
      <c r="D250" t="inlineStr">
        <is>
          <t>NORRBOTTENS LÄN</t>
        </is>
      </c>
      <c r="E250" t="inlineStr">
        <is>
          <t>LULEÅ</t>
        </is>
      </c>
      <c r="G250" t="n">
        <v>10.4</v>
      </c>
      <c r="H250" t="n">
        <v>0</v>
      </c>
      <c r="I250" t="n">
        <v>0</v>
      </c>
      <c r="J250" t="n">
        <v>0</v>
      </c>
      <c r="K250" t="n">
        <v>0</v>
      </c>
      <c r="L250" t="n">
        <v>0</v>
      </c>
      <c r="M250" t="n">
        <v>0</v>
      </c>
      <c r="N250" t="n">
        <v>0</v>
      </c>
      <c r="O250" t="n">
        <v>0</v>
      </c>
      <c r="P250" t="n">
        <v>0</v>
      </c>
      <c r="Q250" t="n">
        <v>0</v>
      </c>
      <c r="R250" s="2" t="inlineStr"/>
    </row>
    <row r="251" ht="15" customHeight="1">
      <c r="A251" t="inlineStr">
        <is>
          <t>A 817-2025</t>
        </is>
      </c>
      <c r="B251" s="1" t="n">
        <v>45664</v>
      </c>
      <c r="C251" s="1" t="n">
        <v>45913</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8903-2025</t>
        </is>
      </c>
      <c r="B252" s="1" t="n">
        <v>45712</v>
      </c>
      <c r="C252" s="1" t="n">
        <v>45913</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339-2025</t>
        </is>
      </c>
      <c r="B253" s="1" t="n">
        <v>45660.6911574074</v>
      </c>
      <c r="C253" s="1" t="n">
        <v>45913</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18053-2024</t>
        </is>
      </c>
      <c r="B254" s="1" t="n">
        <v>45420</v>
      </c>
      <c r="C254" s="1" t="n">
        <v>45913</v>
      </c>
      <c r="D254" t="inlineStr">
        <is>
          <t>NORRBOTTENS LÄN</t>
        </is>
      </c>
      <c r="E254" t="inlineStr">
        <is>
          <t>LULEÅ</t>
        </is>
      </c>
      <c r="G254" t="n">
        <v>3.7</v>
      </c>
      <c r="H254" t="n">
        <v>0</v>
      </c>
      <c r="I254" t="n">
        <v>0</v>
      </c>
      <c r="J254" t="n">
        <v>0</v>
      </c>
      <c r="K254" t="n">
        <v>0</v>
      </c>
      <c r="L254" t="n">
        <v>0</v>
      </c>
      <c r="M254" t="n">
        <v>0</v>
      </c>
      <c r="N254" t="n">
        <v>0</v>
      </c>
      <c r="O254" t="n">
        <v>0</v>
      </c>
      <c r="P254" t="n">
        <v>0</v>
      </c>
      <c r="Q254" t="n">
        <v>0</v>
      </c>
      <c r="R254" s="2" t="inlineStr"/>
    </row>
    <row r="255" ht="15" customHeight="1">
      <c r="A255" t="inlineStr">
        <is>
          <t>A 11716-2023</t>
        </is>
      </c>
      <c r="B255" s="1" t="n">
        <v>44992</v>
      </c>
      <c r="C255" s="1" t="n">
        <v>45913</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5137-2024</t>
        </is>
      </c>
      <c r="B256" s="1" t="n">
        <v>45330.46430555556</v>
      </c>
      <c r="C256" s="1" t="n">
        <v>45913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55720-2024</t>
        </is>
      </c>
      <c r="B257" s="1" t="n">
        <v>45622.7453125</v>
      </c>
      <c r="C257" s="1" t="n">
        <v>45913</v>
      </c>
      <c r="D257" t="inlineStr">
        <is>
          <t>NORRBOTTENS LÄN</t>
        </is>
      </c>
      <c r="E257" t="inlineStr">
        <is>
          <t>LULEÅ</t>
        </is>
      </c>
      <c r="G257" t="n">
        <v>11.6</v>
      </c>
      <c r="H257" t="n">
        <v>0</v>
      </c>
      <c r="I257" t="n">
        <v>0</v>
      </c>
      <c r="J257" t="n">
        <v>0</v>
      </c>
      <c r="K257" t="n">
        <v>0</v>
      </c>
      <c r="L257" t="n">
        <v>0</v>
      </c>
      <c r="M257" t="n">
        <v>0</v>
      </c>
      <c r="N257" t="n">
        <v>0</v>
      </c>
      <c r="O257" t="n">
        <v>0</v>
      </c>
      <c r="P257" t="n">
        <v>0</v>
      </c>
      <c r="Q257" t="n">
        <v>0</v>
      </c>
      <c r="R257" s="2" t="inlineStr"/>
    </row>
    <row r="258" ht="15" customHeight="1">
      <c r="A258" t="inlineStr">
        <is>
          <t>A 8750-2025</t>
        </is>
      </c>
      <c r="B258" s="1" t="n">
        <v>45712.56173611111</v>
      </c>
      <c r="C258" s="1" t="n">
        <v>45913</v>
      </c>
      <c r="D258" t="inlineStr">
        <is>
          <t>NORRBOTTENS LÄN</t>
        </is>
      </c>
      <c r="E258" t="inlineStr">
        <is>
          <t>LULEÅ</t>
        </is>
      </c>
      <c r="G258" t="n">
        <v>10.8</v>
      </c>
      <c r="H258" t="n">
        <v>0</v>
      </c>
      <c r="I258" t="n">
        <v>0</v>
      </c>
      <c r="J258" t="n">
        <v>0</v>
      </c>
      <c r="K258" t="n">
        <v>0</v>
      </c>
      <c r="L258" t="n">
        <v>0</v>
      </c>
      <c r="M258" t="n">
        <v>0</v>
      </c>
      <c r="N258" t="n">
        <v>0</v>
      </c>
      <c r="O258" t="n">
        <v>0</v>
      </c>
      <c r="P258" t="n">
        <v>0</v>
      </c>
      <c r="Q258" t="n">
        <v>0</v>
      </c>
      <c r="R258" s="2" t="inlineStr"/>
    </row>
    <row r="259" ht="15" customHeight="1">
      <c r="A259" t="inlineStr">
        <is>
          <t>A 43861-2023</t>
        </is>
      </c>
      <c r="B259" s="1" t="n">
        <v>45187</v>
      </c>
      <c r="C259" s="1" t="n">
        <v>45913</v>
      </c>
      <c r="D259" t="inlineStr">
        <is>
          <t>NORRBOTTENS LÄN</t>
        </is>
      </c>
      <c r="E259" t="inlineStr">
        <is>
          <t>LULEÅ</t>
        </is>
      </c>
      <c r="G259" t="n">
        <v>5.1</v>
      </c>
      <c r="H259" t="n">
        <v>0</v>
      </c>
      <c r="I259" t="n">
        <v>0</v>
      </c>
      <c r="J259" t="n">
        <v>0</v>
      </c>
      <c r="K259" t="n">
        <v>0</v>
      </c>
      <c r="L259" t="n">
        <v>0</v>
      </c>
      <c r="M259" t="n">
        <v>0</v>
      </c>
      <c r="N259" t="n">
        <v>0</v>
      </c>
      <c r="O259" t="n">
        <v>0</v>
      </c>
      <c r="P259" t="n">
        <v>0</v>
      </c>
      <c r="Q259" t="n">
        <v>0</v>
      </c>
      <c r="R259" s="2" t="inlineStr"/>
    </row>
    <row r="260" ht="15" customHeight="1">
      <c r="A260" t="inlineStr">
        <is>
          <t>A 60721-2024</t>
        </is>
      </c>
      <c r="B260" s="1" t="n">
        <v>45644</v>
      </c>
      <c r="C260" s="1" t="n">
        <v>45913</v>
      </c>
      <c r="D260" t="inlineStr">
        <is>
          <t>NORRBOTTENS LÄN</t>
        </is>
      </c>
      <c r="E260" t="inlineStr">
        <is>
          <t>LULEÅ</t>
        </is>
      </c>
      <c r="G260" t="n">
        <v>0.3</v>
      </c>
      <c r="H260" t="n">
        <v>0</v>
      </c>
      <c r="I260" t="n">
        <v>0</v>
      </c>
      <c r="J260" t="n">
        <v>0</v>
      </c>
      <c r="K260" t="n">
        <v>0</v>
      </c>
      <c r="L260" t="n">
        <v>0</v>
      </c>
      <c r="M260" t="n">
        <v>0</v>
      </c>
      <c r="N260" t="n">
        <v>0</v>
      </c>
      <c r="O260" t="n">
        <v>0</v>
      </c>
      <c r="P260" t="n">
        <v>0</v>
      </c>
      <c r="Q260" t="n">
        <v>0</v>
      </c>
      <c r="R260" s="2" t="inlineStr"/>
    </row>
    <row r="261" ht="15" customHeight="1">
      <c r="A261" t="inlineStr">
        <is>
          <t>A 10608-2025</t>
        </is>
      </c>
      <c r="B261" s="1" t="n">
        <v>45721</v>
      </c>
      <c r="C261" s="1" t="n">
        <v>45913</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45913</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45913</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50642-2024</t>
        </is>
      </c>
      <c r="B264" s="1" t="n">
        <v>45601.68076388889</v>
      </c>
      <c r="C264" s="1" t="n">
        <v>45913</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50645-2024</t>
        </is>
      </c>
      <c r="B265" s="1" t="n">
        <v>45601.68283564815</v>
      </c>
      <c r="C265" s="1" t="n">
        <v>45913</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4921-2025</t>
        </is>
      </c>
      <c r="B266" s="1" t="n">
        <v>45688.68416666667</v>
      </c>
      <c r="C266" s="1" t="n">
        <v>45913</v>
      </c>
      <c r="D266" t="inlineStr">
        <is>
          <t>NORRBOTTENS LÄN</t>
        </is>
      </c>
      <c r="E266" t="inlineStr">
        <is>
          <t>LULEÅ</t>
        </is>
      </c>
      <c r="G266" t="n">
        <v>2.7</v>
      </c>
      <c r="H266" t="n">
        <v>0</v>
      </c>
      <c r="I266" t="n">
        <v>0</v>
      </c>
      <c r="J266" t="n">
        <v>0</v>
      </c>
      <c r="K266" t="n">
        <v>0</v>
      </c>
      <c r="L266" t="n">
        <v>0</v>
      </c>
      <c r="M266" t="n">
        <v>0</v>
      </c>
      <c r="N266" t="n">
        <v>0</v>
      </c>
      <c r="O266" t="n">
        <v>0</v>
      </c>
      <c r="P266" t="n">
        <v>0</v>
      </c>
      <c r="Q266" t="n">
        <v>0</v>
      </c>
      <c r="R266" s="2" t="inlineStr"/>
    </row>
    <row r="267" ht="15" customHeight="1">
      <c r="A267" t="inlineStr">
        <is>
          <t>A 24752-2025</t>
        </is>
      </c>
      <c r="B267" s="1" t="n">
        <v>45799.3653587963</v>
      </c>
      <c r="C267" s="1" t="n">
        <v>45913</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61942-2024</t>
        </is>
      </c>
      <c r="B268" s="1" t="n">
        <v>45653.48405092592</v>
      </c>
      <c r="C268" s="1" t="n">
        <v>45913</v>
      </c>
      <c r="D268" t="inlineStr">
        <is>
          <t>NORRBOTTENS LÄN</t>
        </is>
      </c>
      <c r="E268" t="inlineStr">
        <is>
          <t>LULEÅ</t>
        </is>
      </c>
      <c r="G268" t="n">
        <v>2.2</v>
      </c>
      <c r="H268" t="n">
        <v>0</v>
      </c>
      <c r="I268" t="n">
        <v>0</v>
      </c>
      <c r="J268" t="n">
        <v>0</v>
      </c>
      <c r="K268" t="n">
        <v>0</v>
      </c>
      <c r="L268" t="n">
        <v>0</v>
      </c>
      <c r="M268" t="n">
        <v>0</v>
      </c>
      <c r="N268" t="n">
        <v>0</v>
      </c>
      <c r="O268" t="n">
        <v>0</v>
      </c>
      <c r="P268" t="n">
        <v>0</v>
      </c>
      <c r="Q268" t="n">
        <v>0</v>
      </c>
      <c r="R268" s="2" t="inlineStr"/>
    </row>
    <row r="269" ht="15" customHeight="1">
      <c r="A269" t="inlineStr">
        <is>
          <t>A 58469-2024</t>
        </is>
      </c>
      <c r="B269" s="1" t="n">
        <v>45632</v>
      </c>
      <c r="C269" s="1" t="n">
        <v>45913</v>
      </c>
      <c r="D269" t="inlineStr">
        <is>
          <t>NORRBOTTENS LÄN</t>
        </is>
      </c>
      <c r="E269" t="inlineStr">
        <is>
          <t>LULEÅ</t>
        </is>
      </c>
      <c r="G269" t="n">
        <v>9</v>
      </c>
      <c r="H269" t="n">
        <v>0</v>
      </c>
      <c r="I269" t="n">
        <v>0</v>
      </c>
      <c r="J269" t="n">
        <v>0</v>
      </c>
      <c r="K269" t="n">
        <v>0</v>
      </c>
      <c r="L269" t="n">
        <v>0</v>
      </c>
      <c r="M269" t="n">
        <v>0</v>
      </c>
      <c r="N269" t="n">
        <v>0</v>
      </c>
      <c r="O269" t="n">
        <v>0</v>
      </c>
      <c r="P269" t="n">
        <v>0</v>
      </c>
      <c r="Q269" t="n">
        <v>0</v>
      </c>
      <c r="R269" s="2" t="inlineStr"/>
    </row>
    <row r="270" ht="15" customHeight="1">
      <c r="A270" t="inlineStr">
        <is>
          <t>A 705-2025</t>
        </is>
      </c>
      <c r="B270" s="1" t="n">
        <v>45663</v>
      </c>
      <c r="C270" s="1" t="n">
        <v>45913</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12116-2025</t>
        </is>
      </c>
      <c r="B271" s="1" t="n">
        <v>45729.36509259259</v>
      </c>
      <c r="C271" s="1" t="n">
        <v>45913</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10903-2023</t>
        </is>
      </c>
      <c r="B272" s="1" t="n">
        <v>44985</v>
      </c>
      <c r="C272" s="1" t="n">
        <v>45913</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48059-2023</t>
        </is>
      </c>
      <c r="B273" s="1" t="n">
        <v>45204</v>
      </c>
      <c r="C273" s="1" t="n">
        <v>45913</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42133-2021</t>
        </is>
      </c>
      <c r="B274" s="1" t="n">
        <v>44426</v>
      </c>
      <c r="C274" s="1" t="n">
        <v>45913</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48379-2022</t>
        </is>
      </c>
      <c r="B275" s="1" t="n">
        <v>44854</v>
      </c>
      <c r="C275" s="1" t="n">
        <v>45913</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57327-2024</t>
        </is>
      </c>
      <c r="B276" s="1" t="n">
        <v>45629.62572916667</v>
      </c>
      <c r="C276" s="1" t="n">
        <v>45913</v>
      </c>
      <c r="D276" t="inlineStr">
        <is>
          <t>NORRBOTTENS LÄN</t>
        </is>
      </c>
      <c r="E276" t="inlineStr">
        <is>
          <t>LULEÅ</t>
        </is>
      </c>
      <c r="F276" t="inlineStr">
        <is>
          <t>Övriga Aktiebolag</t>
        </is>
      </c>
      <c r="G276" t="n">
        <v>6.5</v>
      </c>
      <c r="H276" t="n">
        <v>0</v>
      </c>
      <c r="I276" t="n">
        <v>0</v>
      </c>
      <c r="J276" t="n">
        <v>0</v>
      </c>
      <c r="K276" t="n">
        <v>0</v>
      </c>
      <c r="L276" t="n">
        <v>0</v>
      </c>
      <c r="M276" t="n">
        <v>0</v>
      </c>
      <c r="N276" t="n">
        <v>0</v>
      </c>
      <c r="O276" t="n">
        <v>0</v>
      </c>
      <c r="P276" t="n">
        <v>0</v>
      </c>
      <c r="Q276" t="n">
        <v>0</v>
      </c>
      <c r="R276" s="2" t="inlineStr"/>
    </row>
    <row r="277" ht="15" customHeight="1">
      <c r="A277" t="inlineStr">
        <is>
          <t>A 43765-2023</t>
        </is>
      </c>
      <c r="B277" s="1" t="n">
        <v>45187</v>
      </c>
      <c r="C277" s="1" t="n">
        <v>45913</v>
      </c>
      <c r="D277" t="inlineStr">
        <is>
          <t>NORRBOTTENS LÄN</t>
        </is>
      </c>
      <c r="E277" t="inlineStr">
        <is>
          <t>LULEÅ</t>
        </is>
      </c>
      <c r="G277" t="n">
        <v>13.7</v>
      </c>
      <c r="H277" t="n">
        <v>0</v>
      </c>
      <c r="I277" t="n">
        <v>0</v>
      </c>
      <c r="J277" t="n">
        <v>0</v>
      </c>
      <c r="K277" t="n">
        <v>0</v>
      </c>
      <c r="L277" t="n">
        <v>0</v>
      </c>
      <c r="M277" t="n">
        <v>0</v>
      </c>
      <c r="N277" t="n">
        <v>0</v>
      </c>
      <c r="O277" t="n">
        <v>0</v>
      </c>
      <c r="P277" t="n">
        <v>0</v>
      </c>
      <c r="Q277" t="n">
        <v>0</v>
      </c>
      <c r="R277" s="2" t="inlineStr"/>
    </row>
    <row r="278" ht="15" customHeight="1">
      <c r="A278" t="inlineStr">
        <is>
          <t>A 13068-2024</t>
        </is>
      </c>
      <c r="B278" s="1" t="n">
        <v>45385</v>
      </c>
      <c r="C278" s="1" t="n">
        <v>45913</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49401-2022</t>
        </is>
      </c>
      <c r="B279" s="1" t="n">
        <v>44861</v>
      </c>
      <c r="C279" s="1" t="n">
        <v>45913</v>
      </c>
      <c r="D279" t="inlineStr">
        <is>
          <t>NORRBOTTENS LÄN</t>
        </is>
      </c>
      <c r="E279" t="inlineStr">
        <is>
          <t>LULEÅ</t>
        </is>
      </c>
      <c r="G279" t="n">
        <v>8.4</v>
      </c>
      <c r="H279" t="n">
        <v>0</v>
      </c>
      <c r="I279" t="n">
        <v>0</v>
      </c>
      <c r="J279" t="n">
        <v>0</v>
      </c>
      <c r="K279" t="n">
        <v>0</v>
      </c>
      <c r="L279" t="n">
        <v>0</v>
      </c>
      <c r="M279" t="n">
        <v>0</v>
      </c>
      <c r="N279" t="n">
        <v>0</v>
      </c>
      <c r="O279" t="n">
        <v>0</v>
      </c>
      <c r="P279" t="n">
        <v>0</v>
      </c>
      <c r="Q279" t="n">
        <v>0</v>
      </c>
      <c r="R279" s="2" t="inlineStr"/>
    </row>
    <row r="280" ht="15" customHeight="1">
      <c r="A280" t="inlineStr">
        <is>
          <t>A 53754-2023</t>
        </is>
      </c>
      <c r="B280" s="1" t="n">
        <v>45230</v>
      </c>
      <c r="C280" s="1" t="n">
        <v>45913</v>
      </c>
      <c r="D280" t="inlineStr">
        <is>
          <t>NORRBOTTENS LÄN</t>
        </is>
      </c>
      <c r="E280" t="inlineStr">
        <is>
          <t>LULEÅ</t>
        </is>
      </c>
      <c r="G280" t="n">
        <v>2.5</v>
      </c>
      <c r="H280" t="n">
        <v>0</v>
      </c>
      <c r="I280" t="n">
        <v>0</v>
      </c>
      <c r="J280" t="n">
        <v>0</v>
      </c>
      <c r="K280" t="n">
        <v>0</v>
      </c>
      <c r="L280" t="n">
        <v>0</v>
      </c>
      <c r="M280" t="n">
        <v>0</v>
      </c>
      <c r="N280" t="n">
        <v>0</v>
      </c>
      <c r="O280" t="n">
        <v>0</v>
      </c>
      <c r="P280" t="n">
        <v>0</v>
      </c>
      <c r="Q280" t="n">
        <v>0</v>
      </c>
      <c r="R280" s="2" t="inlineStr"/>
    </row>
    <row r="281" ht="15" customHeight="1">
      <c r="A281" t="inlineStr">
        <is>
          <t>A 60585-2024</t>
        </is>
      </c>
      <c r="B281" s="1" t="n">
        <v>45644</v>
      </c>
      <c r="C281" s="1" t="n">
        <v>45913</v>
      </c>
      <c r="D281" t="inlineStr">
        <is>
          <t>NORRBOTTENS LÄN</t>
        </is>
      </c>
      <c r="E281" t="inlineStr">
        <is>
          <t>LULEÅ</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46587-2023</t>
        </is>
      </c>
      <c r="B282" s="1" t="n">
        <v>45194</v>
      </c>
      <c r="C282" s="1" t="n">
        <v>45913</v>
      </c>
      <c r="D282" t="inlineStr">
        <is>
          <t>NORRBOTTENS LÄN</t>
        </is>
      </c>
      <c r="E282" t="inlineStr">
        <is>
          <t>LULEÅ</t>
        </is>
      </c>
      <c r="G282" t="n">
        <v>15.3</v>
      </c>
      <c r="H282" t="n">
        <v>0</v>
      </c>
      <c r="I282" t="n">
        <v>0</v>
      </c>
      <c r="J282" t="n">
        <v>0</v>
      </c>
      <c r="K282" t="n">
        <v>0</v>
      </c>
      <c r="L282" t="n">
        <v>0</v>
      </c>
      <c r="M282" t="n">
        <v>0</v>
      </c>
      <c r="N282" t="n">
        <v>0</v>
      </c>
      <c r="O282" t="n">
        <v>0</v>
      </c>
      <c r="P282" t="n">
        <v>0</v>
      </c>
      <c r="Q282" t="n">
        <v>0</v>
      </c>
      <c r="R282" s="2" t="inlineStr"/>
    </row>
    <row r="283" ht="15" customHeight="1">
      <c r="A283" t="inlineStr">
        <is>
          <t>A 52240-2023</t>
        </is>
      </c>
      <c r="B283" s="1" t="n">
        <v>45224</v>
      </c>
      <c r="C283" s="1" t="n">
        <v>45913</v>
      </c>
      <c r="D283" t="inlineStr">
        <is>
          <t>NORRBOTTENS LÄN</t>
        </is>
      </c>
      <c r="E283" t="inlineStr">
        <is>
          <t>LULEÅ</t>
        </is>
      </c>
      <c r="G283" t="n">
        <v>4.5</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45913</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45913</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45913</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53960-2023</t>
        </is>
      </c>
      <c r="B287" s="1" t="n">
        <v>45225</v>
      </c>
      <c r="C287" s="1" t="n">
        <v>45913</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736-2025</t>
        </is>
      </c>
      <c r="B288" s="1" t="n">
        <v>45664</v>
      </c>
      <c r="C288" s="1" t="n">
        <v>45913</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5688-2023</t>
        </is>
      </c>
      <c r="B289" s="1" t="n">
        <v>44960.92371527778</v>
      </c>
      <c r="C289" s="1" t="n">
        <v>45913</v>
      </c>
      <c r="D289" t="inlineStr">
        <is>
          <t>NORRBOTTENS LÄN</t>
        </is>
      </c>
      <c r="E289" t="inlineStr">
        <is>
          <t>LULEÅ</t>
        </is>
      </c>
      <c r="G289" t="n">
        <v>5.9</v>
      </c>
      <c r="H289" t="n">
        <v>0</v>
      </c>
      <c r="I289" t="n">
        <v>0</v>
      </c>
      <c r="J289" t="n">
        <v>0</v>
      </c>
      <c r="K289" t="n">
        <v>0</v>
      </c>
      <c r="L289" t="n">
        <v>0</v>
      </c>
      <c r="M289" t="n">
        <v>0</v>
      </c>
      <c r="N289" t="n">
        <v>0</v>
      </c>
      <c r="O289" t="n">
        <v>0</v>
      </c>
      <c r="P289" t="n">
        <v>0</v>
      </c>
      <c r="Q289" t="n">
        <v>0</v>
      </c>
      <c r="R289" s="2" t="inlineStr"/>
    </row>
    <row r="290" ht="15" customHeight="1">
      <c r="A290" t="inlineStr">
        <is>
          <t>A 53985-2023</t>
        </is>
      </c>
      <c r="B290" s="1" t="n">
        <v>45225</v>
      </c>
      <c r="C290" s="1" t="n">
        <v>45913</v>
      </c>
      <c r="D290" t="inlineStr">
        <is>
          <t>NORRBOTTENS LÄN</t>
        </is>
      </c>
      <c r="E290" t="inlineStr">
        <is>
          <t>LULEÅ</t>
        </is>
      </c>
      <c r="G290" t="n">
        <v>3.2</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45913</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1017-2025</t>
        </is>
      </c>
      <c r="B292" s="1" t="n">
        <v>45665</v>
      </c>
      <c r="C292" s="1" t="n">
        <v>45913</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2006-2023</t>
        </is>
      </c>
      <c r="B293" s="1" t="n">
        <v>44937</v>
      </c>
      <c r="C293" s="1" t="n">
        <v>45913</v>
      </c>
      <c r="D293" t="inlineStr">
        <is>
          <t>NORRBOTTENS LÄN</t>
        </is>
      </c>
      <c r="E293" t="inlineStr">
        <is>
          <t>LULEÅ</t>
        </is>
      </c>
      <c r="G293" t="n">
        <v>0.4</v>
      </c>
      <c r="H293" t="n">
        <v>0</v>
      </c>
      <c r="I293" t="n">
        <v>0</v>
      </c>
      <c r="J293" t="n">
        <v>0</v>
      </c>
      <c r="K293" t="n">
        <v>0</v>
      </c>
      <c r="L293" t="n">
        <v>0</v>
      </c>
      <c r="M293" t="n">
        <v>0</v>
      </c>
      <c r="N293" t="n">
        <v>0</v>
      </c>
      <c r="O293" t="n">
        <v>0</v>
      </c>
      <c r="P293" t="n">
        <v>0</v>
      </c>
      <c r="Q293" t="n">
        <v>0</v>
      </c>
      <c r="R293" s="2" t="inlineStr"/>
    </row>
    <row r="294" ht="15" customHeight="1">
      <c r="A294" t="inlineStr">
        <is>
          <t>A 822-2025</t>
        </is>
      </c>
      <c r="B294" s="1" t="n">
        <v>45664</v>
      </c>
      <c r="C294" s="1" t="n">
        <v>45913</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7393-2023</t>
        </is>
      </c>
      <c r="B295" s="1" t="n">
        <v>44966</v>
      </c>
      <c r="C295" s="1" t="n">
        <v>45913</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13846-2024</t>
        </is>
      </c>
      <c r="B296" s="1" t="n">
        <v>45390</v>
      </c>
      <c r="C296" s="1" t="n">
        <v>45913</v>
      </c>
      <c r="D296" t="inlineStr">
        <is>
          <t>NORRBOTTENS LÄN</t>
        </is>
      </c>
      <c r="E296" t="inlineStr">
        <is>
          <t>LULEÅ</t>
        </is>
      </c>
      <c r="G296" t="n">
        <v>16.4</v>
      </c>
      <c r="H296" t="n">
        <v>0</v>
      </c>
      <c r="I296" t="n">
        <v>0</v>
      </c>
      <c r="J296" t="n">
        <v>0</v>
      </c>
      <c r="K296" t="n">
        <v>0</v>
      </c>
      <c r="L296" t="n">
        <v>0</v>
      </c>
      <c r="M296" t="n">
        <v>0</v>
      </c>
      <c r="N296" t="n">
        <v>0</v>
      </c>
      <c r="O296" t="n">
        <v>0</v>
      </c>
      <c r="P296" t="n">
        <v>0</v>
      </c>
      <c r="Q296" t="n">
        <v>0</v>
      </c>
      <c r="R296" s="2" t="inlineStr"/>
    </row>
    <row r="297" ht="15" customHeight="1">
      <c r="A297" t="inlineStr">
        <is>
          <t>A 27107-2025</t>
        </is>
      </c>
      <c r="B297" s="1" t="n">
        <v>45811</v>
      </c>
      <c r="C297" s="1" t="n">
        <v>45913</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58823-2024</t>
        </is>
      </c>
      <c r="B298" s="1" t="n">
        <v>45635</v>
      </c>
      <c r="C298" s="1" t="n">
        <v>45913</v>
      </c>
      <c r="D298" t="inlineStr">
        <is>
          <t>NORRBOTTENS LÄN</t>
        </is>
      </c>
      <c r="E298" t="inlineStr">
        <is>
          <t>LULEÅ</t>
        </is>
      </c>
      <c r="G298" t="n">
        <v>2.6</v>
      </c>
      <c r="H298" t="n">
        <v>0</v>
      </c>
      <c r="I298" t="n">
        <v>0</v>
      </c>
      <c r="J298" t="n">
        <v>0</v>
      </c>
      <c r="K298" t="n">
        <v>0</v>
      </c>
      <c r="L298" t="n">
        <v>0</v>
      </c>
      <c r="M298" t="n">
        <v>0</v>
      </c>
      <c r="N298" t="n">
        <v>0</v>
      </c>
      <c r="O298" t="n">
        <v>0</v>
      </c>
      <c r="P298" t="n">
        <v>0</v>
      </c>
      <c r="Q298" t="n">
        <v>0</v>
      </c>
      <c r="R298" s="2" t="inlineStr"/>
    </row>
    <row r="299" ht="15" customHeight="1">
      <c r="A299" t="inlineStr">
        <is>
          <t>A 58831-2024</t>
        </is>
      </c>
      <c r="B299" s="1" t="n">
        <v>45635</v>
      </c>
      <c r="C299" s="1" t="n">
        <v>45913</v>
      </c>
      <c r="D299" t="inlineStr">
        <is>
          <t>NORRBOTTENS LÄN</t>
        </is>
      </c>
      <c r="E299" t="inlineStr">
        <is>
          <t>LULEÅ</t>
        </is>
      </c>
      <c r="G299" t="n">
        <v>0.3</v>
      </c>
      <c r="H299" t="n">
        <v>0</v>
      </c>
      <c r="I299" t="n">
        <v>0</v>
      </c>
      <c r="J299" t="n">
        <v>0</v>
      </c>
      <c r="K299" t="n">
        <v>0</v>
      </c>
      <c r="L299" t="n">
        <v>0</v>
      </c>
      <c r="M299" t="n">
        <v>0</v>
      </c>
      <c r="N299" t="n">
        <v>0</v>
      </c>
      <c r="O299" t="n">
        <v>0</v>
      </c>
      <c r="P299" t="n">
        <v>0</v>
      </c>
      <c r="Q299" t="n">
        <v>0</v>
      </c>
      <c r="R299" s="2" t="inlineStr"/>
    </row>
    <row r="300" ht="15" customHeight="1">
      <c r="A300" t="inlineStr">
        <is>
          <t>A 16296-2025</t>
        </is>
      </c>
      <c r="B300" s="1" t="n">
        <v>45751.34513888889</v>
      </c>
      <c r="C300" s="1" t="n">
        <v>45913</v>
      </c>
      <c r="D300" t="inlineStr">
        <is>
          <t>NORRBOTTENS LÄN</t>
        </is>
      </c>
      <c r="E300" t="inlineStr">
        <is>
          <t>LULEÅ</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14193-2025</t>
        </is>
      </c>
      <c r="B301" s="1" t="n">
        <v>45740.56127314815</v>
      </c>
      <c r="C301" s="1" t="n">
        <v>45913</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14195-2025</t>
        </is>
      </c>
      <c r="B302" s="1" t="n">
        <v>45740.56263888889</v>
      </c>
      <c r="C302" s="1" t="n">
        <v>45913</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5050-2025</t>
        </is>
      </c>
      <c r="B303" s="1" t="n">
        <v>45691.44899305556</v>
      </c>
      <c r="C303" s="1" t="n">
        <v>45913</v>
      </c>
      <c r="D303" t="inlineStr">
        <is>
          <t>NORRBOTTENS LÄN</t>
        </is>
      </c>
      <c r="E303" t="inlineStr">
        <is>
          <t>LULEÅ</t>
        </is>
      </c>
      <c r="G303" t="n">
        <v>3.1</v>
      </c>
      <c r="H303" t="n">
        <v>0</v>
      </c>
      <c r="I303" t="n">
        <v>0</v>
      </c>
      <c r="J303" t="n">
        <v>0</v>
      </c>
      <c r="K303" t="n">
        <v>0</v>
      </c>
      <c r="L303" t="n">
        <v>0</v>
      </c>
      <c r="M303" t="n">
        <v>0</v>
      </c>
      <c r="N303" t="n">
        <v>0</v>
      </c>
      <c r="O303" t="n">
        <v>0</v>
      </c>
      <c r="P303" t="n">
        <v>0</v>
      </c>
      <c r="Q303" t="n">
        <v>0</v>
      </c>
      <c r="R303" s="2" t="inlineStr"/>
    </row>
    <row r="304" ht="15" customHeight="1">
      <c r="A304" t="inlineStr">
        <is>
          <t>A 29537-2023</t>
        </is>
      </c>
      <c r="B304" s="1" t="n">
        <v>45098</v>
      </c>
      <c r="C304" s="1" t="n">
        <v>45913</v>
      </c>
      <c r="D304" t="inlineStr">
        <is>
          <t>NORRBOTTENS LÄN</t>
        </is>
      </c>
      <c r="E304" t="inlineStr">
        <is>
          <t>LULEÅ</t>
        </is>
      </c>
      <c r="G304" t="n">
        <v>0.3</v>
      </c>
      <c r="H304" t="n">
        <v>0</v>
      </c>
      <c r="I304" t="n">
        <v>0</v>
      </c>
      <c r="J304" t="n">
        <v>0</v>
      </c>
      <c r="K304" t="n">
        <v>0</v>
      </c>
      <c r="L304" t="n">
        <v>0</v>
      </c>
      <c r="M304" t="n">
        <v>0</v>
      </c>
      <c r="N304" t="n">
        <v>0</v>
      </c>
      <c r="O304" t="n">
        <v>0</v>
      </c>
      <c r="P304" t="n">
        <v>0</v>
      </c>
      <c r="Q304" t="n">
        <v>0</v>
      </c>
      <c r="R304" s="2" t="inlineStr"/>
    </row>
    <row r="305" ht="15" customHeight="1">
      <c r="A305" t="inlineStr">
        <is>
          <t>A 27526-2025</t>
        </is>
      </c>
      <c r="B305" s="1" t="n">
        <v>45813</v>
      </c>
      <c r="C305" s="1" t="n">
        <v>45913</v>
      </c>
      <c r="D305" t="inlineStr">
        <is>
          <t>NORRBOTTENS LÄN</t>
        </is>
      </c>
      <c r="E305" t="inlineStr">
        <is>
          <t>LULEÅ</t>
        </is>
      </c>
      <c r="G305" t="n">
        <v>5.7</v>
      </c>
      <c r="H305" t="n">
        <v>0</v>
      </c>
      <c r="I305" t="n">
        <v>0</v>
      </c>
      <c r="J305" t="n">
        <v>0</v>
      </c>
      <c r="K305" t="n">
        <v>0</v>
      </c>
      <c r="L305" t="n">
        <v>0</v>
      </c>
      <c r="M305" t="n">
        <v>0</v>
      </c>
      <c r="N305" t="n">
        <v>0</v>
      </c>
      <c r="O305" t="n">
        <v>0</v>
      </c>
      <c r="P305" t="n">
        <v>0</v>
      </c>
      <c r="Q305" t="n">
        <v>0</v>
      </c>
      <c r="R305" s="2" t="inlineStr"/>
    </row>
    <row r="306" ht="15" customHeight="1">
      <c r="A306" t="inlineStr">
        <is>
          <t>A 1685-2025</t>
        </is>
      </c>
      <c r="B306" s="1" t="n">
        <v>45670.69877314815</v>
      </c>
      <c r="C306" s="1" t="n">
        <v>45913</v>
      </c>
      <c r="D306" t="inlineStr">
        <is>
          <t>NORRBOTTENS LÄN</t>
        </is>
      </c>
      <c r="E306" t="inlineStr">
        <is>
          <t>LULEÅ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27463-2025</t>
        </is>
      </c>
      <c r="B307" s="1" t="n">
        <v>45813.34618055556</v>
      </c>
      <c r="C307" s="1" t="n">
        <v>45913</v>
      </c>
      <c r="D307" t="inlineStr">
        <is>
          <t>NORRBOTTENS LÄN</t>
        </is>
      </c>
      <c r="E307" t="inlineStr">
        <is>
          <t>LULEÅ</t>
        </is>
      </c>
      <c r="F307" t="inlineStr">
        <is>
          <t>Naturvårdsverket</t>
        </is>
      </c>
      <c r="G307" t="n">
        <v>8.6</v>
      </c>
      <c r="H307" t="n">
        <v>0</v>
      </c>
      <c r="I307" t="n">
        <v>0</v>
      </c>
      <c r="J307" t="n">
        <v>0</v>
      </c>
      <c r="K307" t="n">
        <v>0</v>
      </c>
      <c r="L307" t="n">
        <v>0</v>
      </c>
      <c r="M307" t="n">
        <v>0</v>
      </c>
      <c r="N307" t="n">
        <v>0</v>
      </c>
      <c r="O307" t="n">
        <v>0</v>
      </c>
      <c r="P307" t="n">
        <v>0</v>
      </c>
      <c r="Q307" t="n">
        <v>0</v>
      </c>
      <c r="R307" s="2" t="inlineStr"/>
    </row>
    <row r="308" ht="15" customHeight="1">
      <c r="A308" t="inlineStr">
        <is>
          <t>A 28344-2025</t>
        </is>
      </c>
      <c r="B308" s="1" t="n">
        <v>45817</v>
      </c>
      <c r="C308" s="1" t="n">
        <v>45913</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14128-2023</t>
        </is>
      </c>
      <c r="B309" s="1" t="n">
        <v>45009</v>
      </c>
      <c r="C309" s="1" t="n">
        <v>45913</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54213-2023</t>
        </is>
      </c>
      <c r="B310" s="1" t="n">
        <v>45232</v>
      </c>
      <c r="C310" s="1" t="n">
        <v>45913</v>
      </c>
      <c r="D310" t="inlineStr">
        <is>
          <t>NORRBOTTENS LÄN</t>
        </is>
      </c>
      <c r="E310" t="inlineStr">
        <is>
          <t>LULEÅ</t>
        </is>
      </c>
      <c r="G310" t="n">
        <v>0.2</v>
      </c>
      <c r="H310" t="n">
        <v>0</v>
      </c>
      <c r="I310" t="n">
        <v>0</v>
      </c>
      <c r="J310" t="n">
        <v>0</v>
      </c>
      <c r="K310" t="n">
        <v>0</v>
      </c>
      <c r="L310" t="n">
        <v>0</v>
      </c>
      <c r="M310" t="n">
        <v>0</v>
      </c>
      <c r="N310" t="n">
        <v>0</v>
      </c>
      <c r="O310" t="n">
        <v>0</v>
      </c>
      <c r="P310" t="n">
        <v>0</v>
      </c>
      <c r="Q310" t="n">
        <v>0</v>
      </c>
      <c r="R310" s="2" t="inlineStr"/>
    </row>
    <row r="311" ht="15" customHeight="1">
      <c r="A311" t="inlineStr">
        <is>
          <t>A 59656-2024</t>
        </is>
      </c>
      <c r="B311" s="1" t="n">
        <v>45639</v>
      </c>
      <c r="C311" s="1" t="n">
        <v>45913</v>
      </c>
      <c r="D311" t="inlineStr">
        <is>
          <t>NORRBOTTENS LÄN</t>
        </is>
      </c>
      <c r="E311" t="inlineStr">
        <is>
          <t>LULEÅ</t>
        </is>
      </c>
      <c r="G311" t="n">
        <v>4.3</v>
      </c>
      <c r="H311" t="n">
        <v>0</v>
      </c>
      <c r="I311" t="n">
        <v>0</v>
      </c>
      <c r="J311" t="n">
        <v>0</v>
      </c>
      <c r="K311" t="n">
        <v>0</v>
      </c>
      <c r="L311" t="n">
        <v>0</v>
      </c>
      <c r="M311" t="n">
        <v>0</v>
      </c>
      <c r="N311" t="n">
        <v>0</v>
      </c>
      <c r="O311" t="n">
        <v>0</v>
      </c>
      <c r="P311" t="n">
        <v>0</v>
      </c>
      <c r="Q311" t="n">
        <v>0</v>
      </c>
      <c r="R311" s="2" t="inlineStr"/>
    </row>
    <row r="312" ht="15" customHeight="1">
      <c r="A312" t="inlineStr">
        <is>
          <t>A 44330-2024</t>
        </is>
      </c>
      <c r="B312" s="1" t="n">
        <v>45573.60027777778</v>
      </c>
      <c r="C312" s="1" t="n">
        <v>45913</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4941-2025</t>
        </is>
      </c>
      <c r="B313" s="1" t="n">
        <v>45688.6995949074</v>
      </c>
      <c r="C313" s="1" t="n">
        <v>45913</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58759-2023</t>
        </is>
      </c>
      <c r="B314" s="1" t="n">
        <v>45251</v>
      </c>
      <c r="C314" s="1" t="n">
        <v>45913</v>
      </c>
      <c r="D314" t="inlineStr">
        <is>
          <t>NORRBOTTENS LÄN</t>
        </is>
      </c>
      <c r="E314" t="inlineStr">
        <is>
          <t>LULEÅ</t>
        </is>
      </c>
      <c r="G314" t="n">
        <v>2.6</v>
      </c>
      <c r="H314" t="n">
        <v>0</v>
      </c>
      <c r="I314" t="n">
        <v>0</v>
      </c>
      <c r="J314" t="n">
        <v>0</v>
      </c>
      <c r="K314" t="n">
        <v>0</v>
      </c>
      <c r="L314" t="n">
        <v>0</v>
      </c>
      <c r="M314" t="n">
        <v>0</v>
      </c>
      <c r="N314" t="n">
        <v>0</v>
      </c>
      <c r="O314" t="n">
        <v>0</v>
      </c>
      <c r="P314" t="n">
        <v>0</v>
      </c>
      <c r="Q314" t="n">
        <v>0</v>
      </c>
      <c r="R314" s="2" t="inlineStr"/>
    </row>
    <row r="315" ht="15" customHeight="1">
      <c r="A315" t="inlineStr">
        <is>
          <t>A 19526-2025</t>
        </is>
      </c>
      <c r="B315" s="1" t="n">
        <v>45770.46388888889</v>
      </c>
      <c r="C315" s="1" t="n">
        <v>45913</v>
      </c>
      <c r="D315" t="inlineStr">
        <is>
          <t>NORRBOTTENS LÄN</t>
        </is>
      </c>
      <c r="E315" t="inlineStr">
        <is>
          <t>LULEÅ</t>
        </is>
      </c>
      <c r="G315" t="n">
        <v>10.6</v>
      </c>
      <c r="H315" t="n">
        <v>0</v>
      </c>
      <c r="I315" t="n">
        <v>0</v>
      </c>
      <c r="J315" t="n">
        <v>0</v>
      </c>
      <c r="K315" t="n">
        <v>0</v>
      </c>
      <c r="L315" t="n">
        <v>0</v>
      </c>
      <c r="M315" t="n">
        <v>0</v>
      </c>
      <c r="N315" t="n">
        <v>0</v>
      </c>
      <c r="O315" t="n">
        <v>0</v>
      </c>
      <c r="P315" t="n">
        <v>0</v>
      </c>
      <c r="Q315" t="n">
        <v>0</v>
      </c>
      <c r="R315" s="2" t="inlineStr"/>
    </row>
    <row r="316" ht="15" customHeight="1">
      <c r="A316" t="inlineStr">
        <is>
          <t>A 29417-2025</t>
        </is>
      </c>
      <c r="B316" s="1" t="n">
        <v>45824.63576388889</v>
      </c>
      <c r="C316" s="1" t="n">
        <v>45913</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29375-2025</t>
        </is>
      </c>
      <c r="B317" s="1" t="n">
        <v>45824.58546296296</v>
      </c>
      <c r="C317" s="1" t="n">
        <v>45913</v>
      </c>
      <c r="D317" t="inlineStr">
        <is>
          <t>NORRBOTTENS LÄN</t>
        </is>
      </c>
      <c r="E317" t="inlineStr">
        <is>
          <t>LULEÅ</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29332-2025</t>
        </is>
      </c>
      <c r="B318" s="1" t="n">
        <v>45824</v>
      </c>
      <c r="C318" s="1" t="n">
        <v>45913</v>
      </c>
      <c r="D318" t="inlineStr">
        <is>
          <t>NORRBOTTENS LÄN</t>
        </is>
      </c>
      <c r="E318" t="inlineStr">
        <is>
          <t>LULEÅ</t>
        </is>
      </c>
      <c r="G318" t="n">
        <v>3</v>
      </c>
      <c r="H318" t="n">
        <v>0</v>
      </c>
      <c r="I318" t="n">
        <v>0</v>
      </c>
      <c r="J318" t="n">
        <v>0</v>
      </c>
      <c r="K318" t="n">
        <v>0</v>
      </c>
      <c r="L318" t="n">
        <v>0</v>
      </c>
      <c r="M318" t="n">
        <v>0</v>
      </c>
      <c r="N318" t="n">
        <v>0</v>
      </c>
      <c r="O318" t="n">
        <v>0</v>
      </c>
      <c r="P318" t="n">
        <v>0</v>
      </c>
      <c r="Q318" t="n">
        <v>0</v>
      </c>
      <c r="R318" s="2" t="inlineStr"/>
    </row>
    <row r="319" ht="15" customHeight="1">
      <c r="A319" t="inlineStr">
        <is>
          <t>A 11135-2025</t>
        </is>
      </c>
      <c r="B319" s="1" t="n">
        <v>45723.65663194445</v>
      </c>
      <c r="C319" s="1" t="n">
        <v>45913</v>
      </c>
      <c r="D319" t="inlineStr">
        <is>
          <t>NORRBOTTENS LÄN</t>
        </is>
      </c>
      <c r="E319" t="inlineStr">
        <is>
          <t>LULEÅ</t>
        </is>
      </c>
      <c r="G319" t="n">
        <v>16.7</v>
      </c>
      <c r="H319" t="n">
        <v>0</v>
      </c>
      <c r="I319" t="n">
        <v>0</v>
      </c>
      <c r="J319" t="n">
        <v>0</v>
      </c>
      <c r="K319" t="n">
        <v>0</v>
      </c>
      <c r="L319" t="n">
        <v>0</v>
      </c>
      <c r="M319" t="n">
        <v>0</v>
      </c>
      <c r="N319" t="n">
        <v>0</v>
      </c>
      <c r="O319" t="n">
        <v>0</v>
      </c>
      <c r="P319" t="n">
        <v>0</v>
      </c>
      <c r="Q319" t="n">
        <v>0</v>
      </c>
      <c r="R319" s="2" t="inlineStr"/>
    </row>
    <row r="320" ht="15" customHeight="1">
      <c r="A320" t="inlineStr">
        <is>
          <t>A 11845-2025</t>
        </is>
      </c>
      <c r="B320" s="1" t="n">
        <v>45727</v>
      </c>
      <c r="C320" s="1" t="n">
        <v>45913</v>
      </c>
      <c r="D320" t="inlineStr">
        <is>
          <t>NORRBOTTENS LÄN</t>
        </is>
      </c>
      <c r="E320" t="inlineStr">
        <is>
          <t>LULEÅ</t>
        </is>
      </c>
      <c r="G320" t="n">
        <v>9.6</v>
      </c>
      <c r="H320" t="n">
        <v>0</v>
      </c>
      <c r="I320" t="n">
        <v>0</v>
      </c>
      <c r="J320" t="n">
        <v>0</v>
      </c>
      <c r="K320" t="n">
        <v>0</v>
      </c>
      <c r="L320" t="n">
        <v>0</v>
      </c>
      <c r="M320" t="n">
        <v>0</v>
      </c>
      <c r="N320" t="n">
        <v>0</v>
      </c>
      <c r="O320" t="n">
        <v>0</v>
      </c>
      <c r="P320" t="n">
        <v>0</v>
      </c>
      <c r="Q320" t="n">
        <v>0</v>
      </c>
      <c r="R320" s="2" t="inlineStr"/>
    </row>
    <row r="321" ht="15" customHeight="1">
      <c r="A321" t="inlineStr">
        <is>
          <t>A 30080-2025</t>
        </is>
      </c>
      <c r="B321" s="1" t="n">
        <v>45826.65047453704</v>
      </c>
      <c r="C321" s="1" t="n">
        <v>45913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30059-2025</t>
        </is>
      </c>
      <c r="B322" s="1" t="n">
        <v>45826.61388888889</v>
      </c>
      <c r="C322" s="1" t="n">
        <v>45913</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30065-2025</t>
        </is>
      </c>
      <c r="B323" s="1" t="n">
        <v>45826.6207175926</v>
      </c>
      <c r="C323" s="1" t="n">
        <v>45913</v>
      </c>
      <c r="D323" t="inlineStr">
        <is>
          <t>NORRBOTTENS LÄN</t>
        </is>
      </c>
      <c r="E323" t="inlineStr">
        <is>
          <t>LULEÅ</t>
        </is>
      </c>
      <c r="G323" t="n">
        <v>4</v>
      </c>
      <c r="H323" t="n">
        <v>0</v>
      </c>
      <c r="I323" t="n">
        <v>0</v>
      </c>
      <c r="J323" t="n">
        <v>0</v>
      </c>
      <c r="K323" t="n">
        <v>0</v>
      </c>
      <c r="L323" t="n">
        <v>0</v>
      </c>
      <c r="M323" t="n">
        <v>0</v>
      </c>
      <c r="N323" t="n">
        <v>0</v>
      </c>
      <c r="O323" t="n">
        <v>0</v>
      </c>
      <c r="P323" t="n">
        <v>0</v>
      </c>
      <c r="Q323" t="n">
        <v>0</v>
      </c>
      <c r="R323" s="2" t="inlineStr"/>
    </row>
    <row r="324" ht="15" customHeight="1">
      <c r="A324" t="inlineStr">
        <is>
          <t>A 29975-2025</t>
        </is>
      </c>
      <c r="B324" s="1" t="n">
        <v>45826</v>
      </c>
      <c r="C324" s="1" t="n">
        <v>45913</v>
      </c>
      <c r="D324" t="inlineStr">
        <is>
          <t>NORRBOTTENS LÄN</t>
        </is>
      </c>
      <c r="E324" t="inlineStr">
        <is>
          <t>LULEÅ</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29896-2025</t>
        </is>
      </c>
      <c r="B325" s="1" t="n">
        <v>45826.38290509259</v>
      </c>
      <c r="C325" s="1" t="n">
        <v>45913</v>
      </c>
      <c r="D325" t="inlineStr">
        <is>
          <t>NORRBOTTENS LÄN</t>
        </is>
      </c>
      <c r="E325" t="inlineStr">
        <is>
          <t>LULEÅ</t>
        </is>
      </c>
      <c r="G325" t="n">
        <v>17.9</v>
      </c>
      <c r="H325" t="n">
        <v>0</v>
      </c>
      <c r="I325" t="n">
        <v>0</v>
      </c>
      <c r="J325" t="n">
        <v>0</v>
      </c>
      <c r="K325" t="n">
        <v>0</v>
      </c>
      <c r="L325" t="n">
        <v>0</v>
      </c>
      <c r="M325" t="n">
        <v>0</v>
      </c>
      <c r="N325" t="n">
        <v>0</v>
      </c>
      <c r="O325" t="n">
        <v>0</v>
      </c>
      <c r="P325" t="n">
        <v>0</v>
      </c>
      <c r="Q325" t="n">
        <v>0</v>
      </c>
      <c r="R325" s="2" t="inlineStr"/>
    </row>
    <row r="326" ht="15" customHeight="1">
      <c r="A326" t="inlineStr">
        <is>
          <t>A 30035-2025</t>
        </is>
      </c>
      <c r="B326" s="1" t="n">
        <v>45826.57041666667</v>
      </c>
      <c r="C326" s="1" t="n">
        <v>45913</v>
      </c>
      <c r="D326" t="inlineStr">
        <is>
          <t>NORRBOTTENS LÄN</t>
        </is>
      </c>
      <c r="E326" t="inlineStr">
        <is>
          <t>LULEÅ</t>
        </is>
      </c>
      <c r="G326" t="n">
        <v>16.6</v>
      </c>
      <c r="H326" t="n">
        <v>0</v>
      </c>
      <c r="I326" t="n">
        <v>0</v>
      </c>
      <c r="J326" t="n">
        <v>0</v>
      </c>
      <c r="K326" t="n">
        <v>0</v>
      </c>
      <c r="L326" t="n">
        <v>0</v>
      </c>
      <c r="M326" t="n">
        <v>0</v>
      </c>
      <c r="N326" t="n">
        <v>0</v>
      </c>
      <c r="O326" t="n">
        <v>0</v>
      </c>
      <c r="P326" t="n">
        <v>0</v>
      </c>
      <c r="Q326" t="n">
        <v>0</v>
      </c>
      <c r="R326" s="2" t="inlineStr"/>
    </row>
    <row r="327" ht="15" customHeight="1">
      <c r="A327" t="inlineStr">
        <is>
          <t>A 30048-2025</t>
        </is>
      </c>
      <c r="B327" s="1" t="n">
        <v>45826.58424768518</v>
      </c>
      <c r="C327" s="1" t="n">
        <v>45913</v>
      </c>
      <c r="D327" t="inlineStr">
        <is>
          <t>NORRBOTTENS LÄN</t>
        </is>
      </c>
      <c r="E327" t="inlineStr">
        <is>
          <t>LULEÅ</t>
        </is>
      </c>
      <c r="G327" t="n">
        <v>0.7</v>
      </c>
      <c r="H327" t="n">
        <v>0</v>
      </c>
      <c r="I327" t="n">
        <v>0</v>
      </c>
      <c r="J327" t="n">
        <v>0</v>
      </c>
      <c r="K327" t="n">
        <v>0</v>
      </c>
      <c r="L327" t="n">
        <v>0</v>
      </c>
      <c r="M327" t="n">
        <v>0</v>
      </c>
      <c r="N327" t="n">
        <v>0</v>
      </c>
      <c r="O327" t="n">
        <v>0</v>
      </c>
      <c r="P327" t="n">
        <v>0</v>
      </c>
      <c r="Q327" t="n">
        <v>0</v>
      </c>
      <c r="R327" s="2" t="inlineStr"/>
    </row>
    <row r="328" ht="15" customHeight="1">
      <c r="A328" t="inlineStr">
        <is>
          <t>A 30052-2025</t>
        </is>
      </c>
      <c r="B328" s="1" t="n">
        <v>45826.59502314815</v>
      </c>
      <c r="C328" s="1" t="n">
        <v>45913</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30056-2025</t>
        </is>
      </c>
      <c r="B329" s="1" t="n">
        <v>45826.6047800926</v>
      </c>
      <c r="C329" s="1" t="n">
        <v>45913</v>
      </c>
      <c r="D329" t="inlineStr">
        <is>
          <t>NORRBOTTENS LÄN</t>
        </is>
      </c>
      <c r="E329" t="inlineStr">
        <is>
          <t>LULEÅ</t>
        </is>
      </c>
      <c r="G329" t="n">
        <v>3.6</v>
      </c>
      <c r="H329" t="n">
        <v>0</v>
      </c>
      <c r="I329" t="n">
        <v>0</v>
      </c>
      <c r="J329" t="n">
        <v>0</v>
      </c>
      <c r="K329" t="n">
        <v>0</v>
      </c>
      <c r="L329" t="n">
        <v>0</v>
      </c>
      <c r="M329" t="n">
        <v>0</v>
      </c>
      <c r="N329" t="n">
        <v>0</v>
      </c>
      <c r="O329" t="n">
        <v>0</v>
      </c>
      <c r="P329" t="n">
        <v>0</v>
      </c>
      <c r="Q329" t="n">
        <v>0</v>
      </c>
      <c r="R329" s="2" t="inlineStr"/>
    </row>
    <row r="330" ht="15" customHeight="1">
      <c r="A330" t="inlineStr">
        <is>
          <t>A 29530-2025</t>
        </is>
      </c>
      <c r="B330" s="1" t="n">
        <v>45825.3443287037</v>
      </c>
      <c r="C330" s="1" t="n">
        <v>45913</v>
      </c>
      <c r="D330" t="inlineStr">
        <is>
          <t>NORRBOTTENS LÄN</t>
        </is>
      </c>
      <c r="E330" t="inlineStr">
        <is>
          <t>LULEÅ</t>
        </is>
      </c>
      <c r="F330" t="inlineStr">
        <is>
          <t>SCA</t>
        </is>
      </c>
      <c r="G330" t="n">
        <v>17.5</v>
      </c>
      <c r="H330" t="n">
        <v>0</v>
      </c>
      <c r="I330" t="n">
        <v>0</v>
      </c>
      <c r="J330" t="n">
        <v>0</v>
      </c>
      <c r="K330" t="n">
        <v>0</v>
      </c>
      <c r="L330" t="n">
        <v>0</v>
      </c>
      <c r="M330" t="n">
        <v>0</v>
      </c>
      <c r="N330" t="n">
        <v>0</v>
      </c>
      <c r="O330" t="n">
        <v>0</v>
      </c>
      <c r="P330" t="n">
        <v>0</v>
      </c>
      <c r="Q330" t="n">
        <v>0</v>
      </c>
      <c r="R330" s="2" t="inlineStr"/>
    </row>
    <row r="331" ht="15" customHeight="1">
      <c r="A331" t="inlineStr">
        <is>
          <t>A 17899-2025</t>
        </is>
      </c>
      <c r="B331" s="1" t="n">
        <v>45758.69832175926</v>
      </c>
      <c r="C331" s="1" t="n">
        <v>45913</v>
      </c>
      <c r="D331" t="inlineStr">
        <is>
          <t>NORRBOTTENS LÄN</t>
        </is>
      </c>
      <c r="E331" t="inlineStr">
        <is>
          <t>LULEÅ</t>
        </is>
      </c>
      <c r="G331" t="n">
        <v>3.1</v>
      </c>
      <c r="H331" t="n">
        <v>0</v>
      </c>
      <c r="I331" t="n">
        <v>0</v>
      </c>
      <c r="J331" t="n">
        <v>0</v>
      </c>
      <c r="K331" t="n">
        <v>0</v>
      </c>
      <c r="L331" t="n">
        <v>0</v>
      </c>
      <c r="M331" t="n">
        <v>0</v>
      </c>
      <c r="N331" t="n">
        <v>0</v>
      </c>
      <c r="O331" t="n">
        <v>0</v>
      </c>
      <c r="P331" t="n">
        <v>0</v>
      </c>
      <c r="Q331" t="n">
        <v>0</v>
      </c>
      <c r="R331" s="2" t="inlineStr"/>
    </row>
    <row r="332" ht="15" customHeight="1">
      <c r="A332" t="inlineStr">
        <is>
          <t>A 30091-2025</t>
        </is>
      </c>
      <c r="B332" s="1" t="n">
        <v>45826</v>
      </c>
      <c r="C332" s="1" t="n">
        <v>45913</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35158-2024</t>
        </is>
      </c>
      <c r="B333" s="1" t="n">
        <v>45530.39005787037</v>
      </c>
      <c r="C333" s="1" t="n">
        <v>45913</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4237-2025</t>
        </is>
      </c>
      <c r="B334" s="1" t="n">
        <v>45685</v>
      </c>
      <c r="C334" s="1" t="n">
        <v>45913</v>
      </c>
      <c r="D334" t="inlineStr">
        <is>
          <t>NORRBOTTENS LÄN</t>
        </is>
      </c>
      <c r="E334" t="inlineStr">
        <is>
          <t>LULEÅ</t>
        </is>
      </c>
      <c r="G334" t="n">
        <v>4.9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45913</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45913</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47246-2022</t>
        </is>
      </c>
      <c r="B337" s="1" t="n">
        <v>44852</v>
      </c>
      <c r="C337" s="1" t="n">
        <v>45913</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27305-2022</t>
        </is>
      </c>
      <c r="B338" s="1" t="n">
        <v>44741</v>
      </c>
      <c r="C338" s="1" t="n">
        <v>45913</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30241-2025</t>
        </is>
      </c>
      <c r="B339" s="1" t="n">
        <v>45827.40512731481</v>
      </c>
      <c r="C339" s="1" t="n">
        <v>45913</v>
      </c>
      <c r="D339" t="inlineStr">
        <is>
          <t>NORRBOTTENS LÄN</t>
        </is>
      </c>
      <c r="E339" t="inlineStr">
        <is>
          <t>LULEÅ</t>
        </is>
      </c>
      <c r="G339" t="n">
        <v>3</v>
      </c>
      <c r="H339" t="n">
        <v>0</v>
      </c>
      <c r="I339" t="n">
        <v>0</v>
      </c>
      <c r="J339" t="n">
        <v>0</v>
      </c>
      <c r="K339" t="n">
        <v>0</v>
      </c>
      <c r="L339" t="n">
        <v>0</v>
      </c>
      <c r="M339" t="n">
        <v>0</v>
      </c>
      <c r="N339" t="n">
        <v>0</v>
      </c>
      <c r="O339" t="n">
        <v>0</v>
      </c>
      <c r="P339" t="n">
        <v>0</v>
      </c>
      <c r="Q339" t="n">
        <v>0</v>
      </c>
      <c r="R339" s="2" t="inlineStr"/>
    </row>
    <row r="340" ht="15" customHeight="1">
      <c r="A340" t="inlineStr">
        <is>
          <t>A 30237-2025</t>
        </is>
      </c>
      <c r="B340" s="1" t="n">
        <v>45827.39997685186</v>
      </c>
      <c r="C340" s="1" t="n">
        <v>45913</v>
      </c>
      <c r="D340" t="inlineStr">
        <is>
          <t>NORRBOTTENS LÄN</t>
        </is>
      </c>
      <c r="E340" t="inlineStr">
        <is>
          <t>LULEÅ</t>
        </is>
      </c>
      <c r="G340" t="n">
        <v>17.6</v>
      </c>
      <c r="H340" t="n">
        <v>0</v>
      </c>
      <c r="I340" t="n">
        <v>0</v>
      </c>
      <c r="J340" t="n">
        <v>0</v>
      </c>
      <c r="K340" t="n">
        <v>0</v>
      </c>
      <c r="L340" t="n">
        <v>0</v>
      </c>
      <c r="M340" t="n">
        <v>0</v>
      </c>
      <c r="N340" t="n">
        <v>0</v>
      </c>
      <c r="O340" t="n">
        <v>0</v>
      </c>
      <c r="P340" t="n">
        <v>0</v>
      </c>
      <c r="Q340" t="n">
        <v>0</v>
      </c>
      <c r="R340" s="2" t="inlineStr"/>
    </row>
    <row r="341" ht="15" customHeight="1">
      <c r="A341" t="inlineStr">
        <is>
          <t>A 48409-2023</t>
        </is>
      </c>
      <c r="B341" s="1" t="n">
        <v>45205</v>
      </c>
      <c r="C341" s="1" t="n">
        <v>45913</v>
      </c>
      <c r="D341" t="inlineStr">
        <is>
          <t>NORRBOTTENS LÄN</t>
        </is>
      </c>
      <c r="E341" t="inlineStr">
        <is>
          <t>LULEÅ</t>
        </is>
      </c>
      <c r="G341" t="n">
        <v>7.9</v>
      </c>
      <c r="H341" t="n">
        <v>0</v>
      </c>
      <c r="I341" t="n">
        <v>0</v>
      </c>
      <c r="J341" t="n">
        <v>0</v>
      </c>
      <c r="K341" t="n">
        <v>0</v>
      </c>
      <c r="L341" t="n">
        <v>0</v>
      </c>
      <c r="M341" t="n">
        <v>0</v>
      </c>
      <c r="N341" t="n">
        <v>0</v>
      </c>
      <c r="O341" t="n">
        <v>0</v>
      </c>
      <c r="P341" t="n">
        <v>0</v>
      </c>
      <c r="Q341" t="n">
        <v>0</v>
      </c>
      <c r="R341" s="2" t="inlineStr"/>
    </row>
    <row r="342" ht="15" customHeight="1">
      <c r="A342" t="inlineStr">
        <is>
          <t>A 48410-2023</t>
        </is>
      </c>
      <c r="B342" s="1" t="n">
        <v>45205</v>
      </c>
      <c r="C342" s="1" t="n">
        <v>45913</v>
      </c>
      <c r="D342" t="inlineStr">
        <is>
          <t>NORRBOTTENS LÄN</t>
        </is>
      </c>
      <c r="E342" t="inlineStr">
        <is>
          <t>LULEÅ</t>
        </is>
      </c>
      <c r="G342" t="n">
        <v>6.7</v>
      </c>
      <c r="H342" t="n">
        <v>0</v>
      </c>
      <c r="I342" t="n">
        <v>0</v>
      </c>
      <c r="J342" t="n">
        <v>0</v>
      </c>
      <c r="K342" t="n">
        <v>0</v>
      </c>
      <c r="L342" t="n">
        <v>0</v>
      </c>
      <c r="M342" t="n">
        <v>0</v>
      </c>
      <c r="N342" t="n">
        <v>0</v>
      </c>
      <c r="O342" t="n">
        <v>0</v>
      </c>
      <c r="P342" t="n">
        <v>0</v>
      </c>
      <c r="Q342" t="n">
        <v>0</v>
      </c>
      <c r="R342" s="2" t="inlineStr"/>
    </row>
    <row r="343" ht="15" customHeight="1">
      <c r="A343" t="inlineStr">
        <is>
          <t>A 30238-2025</t>
        </is>
      </c>
      <c r="B343" s="1" t="n">
        <v>45827.40238425926</v>
      </c>
      <c r="C343" s="1" t="n">
        <v>45913</v>
      </c>
      <c r="D343" t="inlineStr">
        <is>
          <t>NORRBOTTENS LÄN</t>
        </is>
      </c>
      <c r="E343" t="inlineStr">
        <is>
          <t>LULEÅ</t>
        </is>
      </c>
      <c r="G343" t="n">
        <v>10.2</v>
      </c>
      <c r="H343" t="n">
        <v>0</v>
      </c>
      <c r="I343" t="n">
        <v>0</v>
      </c>
      <c r="J343" t="n">
        <v>0</v>
      </c>
      <c r="K343" t="n">
        <v>0</v>
      </c>
      <c r="L343" t="n">
        <v>0</v>
      </c>
      <c r="M343" t="n">
        <v>0</v>
      </c>
      <c r="N343" t="n">
        <v>0</v>
      </c>
      <c r="O343" t="n">
        <v>0</v>
      </c>
      <c r="P343" t="n">
        <v>0</v>
      </c>
      <c r="Q343" t="n">
        <v>0</v>
      </c>
      <c r="R343" s="2" t="inlineStr"/>
    </row>
    <row r="344" ht="15" customHeight="1">
      <c r="A344" t="inlineStr">
        <is>
          <t>A 30245-2025</t>
        </is>
      </c>
      <c r="B344" s="1" t="n">
        <v>45827.4106712963</v>
      </c>
      <c r="C344" s="1" t="n">
        <v>45913</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9250-2025</t>
        </is>
      </c>
      <c r="B345" s="1" t="n">
        <v>45714</v>
      </c>
      <c r="C345" s="1" t="n">
        <v>45913</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10183-2025</t>
        </is>
      </c>
      <c r="B346" s="1" t="n">
        <v>45719</v>
      </c>
      <c r="C346" s="1" t="n">
        <v>45913</v>
      </c>
      <c r="D346" t="inlineStr">
        <is>
          <t>NORRBOTTENS LÄN</t>
        </is>
      </c>
      <c r="E346" t="inlineStr">
        <is>
          <t>LULEÅ</t>
        </is>
      </c>
      <c r="G346" t="n">
        <v>2.4</v>
      </c>
      <c r="H346" t="n">
        <v>0</v>
      </c>
      <c r="I346" t="n">
        <v>0</v>
      </c>
      <c r="J346" t="n">
        <v>0</v>
      </c>
      <c r="K346" t="n">
        <v>0</v>
      </c>
      <c r="L346" t="n">
        <v>0</v>
      </c>
      <c r="M346" t="n">
        <v>0</v>
      </c>
      <c r="N346" t="n">
        <v>0</v>
      </c>
      <c r="O346" t="n">
        <v>0</v>
      </c>
      <c r="P346" t="n">
        <v>0</v>
      </c>
      <c r="Q346" t="n">
        <v>0</v>
      </c>
      <c r="R346" s="2" t="inlineStr"/>
    </row>
    <row r="347" ht="15" customHeight="1">
      <c r="A347" t="inlineStr">
        <is>
          <t>A 30907-2025</t>
        </is>
      </c>
      <c r="B347" s="1" t="n">
        <v>45832.36484953704</v>
      </c>
      <c r="C347" s="1" t="n">
        <v>45913</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34910-2023</t>
        </is>
      </c>
      <c r="B348" s="1" t="n">
        <v>45142.4560300926</v>
      </c>
      <c r="C348" s="1" t="n">
        <v>45913</v>
      </c>
      <c r="D348" t="inlineStr">
        <is>
          <t>NORRBOTTENS LÄN</t>
        </is>
      </c>
      <c r="E348" t="inlineStr">
        <is>
          <t>LULEÅ</t>
        </is>
      </c>
      <c r="G348" t="n">
        <v>18.9</v>
      </c>
      <c r="H348" t="n">
        <v>0</v>
      </c>
      <c r="I348" t="n">
        <v>0</v>
      </c>
      <c r="J348" t="n">
        <v>0</v>
      </c>
      <c r="K348" t="n">
        <v>0</v>
      </c>
      <c r="L348" t="n">
        <v>0</v>
      </c>
      <c r="M348" t="n">
        <v>0</v>
      </c>
      <c r="N348" t="n">
        <v>0</v>
      </c>
      <c r="O348" t="n">
        <v>0</v>
      </c>
      <c r="P348" t="n">
        <v>0</v>
      </c>
      <c r="Q348" t="n">
        <v>0</v>
      </c>
      <c r="R348" s="2" t="inlineStr"/>
    </row>
    <row r="349" ht="15" customHeight="1">
      <c r="A349" t="inlineStr">
        <is>
          <t>A 31025-2025</t>
        </is>
      </c>
      <c r="B349" s="1" t="n">
        <v>45831</v>
      </c>
      <c r="C349" s="1" t="n">
        <v>45913</v>
      </c>
      <c r="D349" t="inlineStr">
        <is>
          <t>NORRBOTTENS LÄN</t>
        </is>
      </c>
      <c r="E349" t="inlineStr">
        <is>
          <t>LULEÅ</t>
        </is>
      </c>
      <c r="G349" t="n">
        <v>2.2</v>
      </c>
      <c r="H349" t="n">
        <v>0</v>
      </c>
      <c r="I349" t="n">
        <v>0</v>
      </c>
      <c r="J349" t="n">
        <v>0</v>
      </c>
      <c r="K349" t="n">
        <v>0</v>
      </c>
      <c r="L349" t="n">
        <v>0</v>
      </c>
      <c r="M349" t="n">
        <v>0</v>
      </c>
      <c r="N349" t="n">
        <v>0</v>
      </c>
      <c r="O349" t="n">
        <v>0</v>
      </c>
      <c r="P349" t="n">
        <v>0</v>
      </c>
      <c r="Q349" t="n">
        <v>0</v>
      </c>
      <c r="R349" s="2" t="inlineStr"/>
    </row>
    <row r="350" ht="15" customHeight="1">
      <c r="A350" t="inlineStr">
        <is>
          <t>A 26267-2022</t>
        </is>
      </c>
      <c r="B350" s="1" t="n">
        <v>44735.5158912037</v>
      </c>
      <c r="C350" s="1" t="n">
        <v>45913</v>
      </c>
      <c r="D350" t="inlineStr">
        <is>
          <t>NORRBOTTENS LÄN</t>
        </is>
      </c>
      <c r="E350" t="inlineStr">
        <is>
          <t>LULEÅ</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63801-2023</t>
        </is>
      </c>
      <c r="B351" s="1" t="n">
        <v>45278.42126157408</v>
      </c>
      <c r="C351" s="1" t="n">
        <v>45913</v>
      </c>
      <c r="D351" t="inlineStr">
        <is>
          <t>NORRBOTTENS LÄN</t>
        </is>
      </c>
      <c r="E351" t="inlineStr">
        <is>
          <t>LULEÅ</t>
        </is>
      </c>
      <c r="G351" t="n">
        <v>1.2</v>
      </c>
      <c r="H351" t="n">
        <v>0</v>
      </c>
      <c r="I351" t="n">
        <v>0</v>
      </c>
      <c r="J351" t="n">
        <v>0</v>
      </c>
      <c r="K351" t="n">
        <v>0</v>
      </c>
      <c r="L351" t="n">
        <v>0</v>
      </c>
      <c r="M351" t="n">
        <v>0</v>
      </c>
      <c r="N351" t="n">
        <v>0</v>
      </c>
      <c r="O351" t="n">
        <v>0</v>
      </c>
      <c r="P351" t="n">
        <v>0</v>
      </c>
      <c r="Q351" t="n">
        <v>0</v>
      </c>
      <c r="R351" s="2" t="inlineStr"/>
    </row>
    <row r="352" ht="15" customHeight="1">
      <c r="A352" t="inlineStr">
        <is>
          <t>A 16052-2025</t>
        </is>
      </c>
      <c r="B352" s="1" t="n">
        <v>45749.64261574074</v>
      </c>
      <c r="C352" s="1" t="n">
        <v>45913</v>
      </c>
      <c r="D352" t="inlineStr">
        <is>
          <t>NORRBOTTENS LÄN</t>
        </is>
      </c>
      <c r="E352" t="inlineStr">
        <is>
          <t>LULEÅ</t>
        </is>
      </c>
      <c r="G352" t="n">
        <v>4.3</v>
      </c>
      <c r="H352" t="n">
        <v>0</v>
      </c>
      <c r="I352" t="n">
        <v>0</v>
      </c>
      <c r="J352" t="n">
        <v>0</v>
      </c>
      <c r="K352" t="n">
        <v>0</v>
      </c>
      <c r="L352" t="n">
        <v>0</v>
      </c>
      <c r="M352" t="n">
        <v>0</v>
      </c>
      <c r="N352" t="n">
        <v>0</v>
      </c>
      <c r="O352" t="n">
        <v>0</v>
      </c>
      <c r="P352" t="n">
        <v>0</v>
      </c>
      <c r="Q352" t="n">
        <v>0</v>
      </c>
      <c r="R352" s="2" t="inlineStr"/>
    </row>
    <row r="353" ht="15" customHeight="1">
      <c r="A353" t="inlineStr">
        <is>
          <t>A 30569-2025</t>
        </is>
      </c>
      <c r="B353" s="1" t="n">
        <v>45831</v>
      </c>
      <c r="C353" s="1" t="n">
        <v>45913</v>
      </c>
      <c r="D353" t="inlineStr">
        <is>
          <t>NORRBOTTENS LÄN</t>
        </is>
      </c>
      <c r="E353" t="inlineStr">
        <is>
          <t>LULEÅ</t>
        </is>
      </c>
      <c r="G353" t="n">
        <v>4.1</v>
      </c>
      <c r="H353" t="n">
        <v>0</v>
      </c>
      <c r="I353" t="n">
        <v>0</v>
      </c>
      <c r="J353" t="n">
        <v>0</v>
      </c>
      <c r="K353" t="n">
        <v>0</v>
      </c>
      <c r="L353" t="n">
        <v>0</v>
      </c>
      <c r="M353" t="n">
        <v>0</v>
      </c>
      <c r="N353" t="n">
        <v>0</v>
      </c>
      <c r="O353" t="n">
        <v>0</v>
      </c>
      <c r="P353" t="n">
        <v>0</v>
      </c>
      <c r="Q353" t="n">
        <v>0</v>
      </c>
      <c r="R353" s="2" t="inlineStr"/>
    </row>
    <row r="354" ht="15" customHeight="1">
      <c r="A354" t="inlineStr">
        <is>
          <t>A 30570-2025</t>
        </is>
      </c>
      <c r="B354" s="1" t="n">
        <v>45831.40694444445</v>
      </c>
      <c r="C354" s="1" t="n">
        <v>45913</v>
      </c>
      <c r="D354" t="inlineStr">
        <is>
          <t>NORRBOTTENS LÄN</t>
        </is>
      </c>
      <c r="E354" t="inlineStr">
        <is>
          <t>LULEÅ</t>
        </is>
      </c>
      <c r="G354" t="n">
        <v>4.8</v>
      </c>
      <c r="H354" t="n">
        <v>0</v>
      </c>
      <c r="I354" t="n">
        <v>0</v>
      </c>
      <c r="J354" t="n">
        <v>0</v>
      </c>
      <c r="K354" t="n">
        <v>0</v>
      </c>
      <c r="L354" t="n">
        <v>0</v>
      </c>
      <c r="M354" t="n">
        <v>0</v>
      </c>
      <c r="N354" t="n">
        <v>0</v>
      </c>
      <c r="O354" t="n">
        <v>0</v>
      </c>
      <c r="P354" t="n">
        <v>0</v>
      </c>
      <c r="Q354" t="n">
        <v>0</v>
      </c>
      <c r="R354" s="2" t="inlineStr"/>
    </row>
    <row r="355" ht="15" customHeight="1">
      <c r="A355" t="inlineStr">
        <is>
          <t>A 17290-2025</t>
        </is>
      </c>
      <c r="B355" s="1" t="n">
        <v>45756.58515046296</v>
      </c>
      <c r="C355" s="1" t="n">
        <v>45913</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31620-2025</t>
        </is>
      </c>
      <c r="B356" s="1" t="n">
        <v>45833.87428240741</v>
      </c>
      <c r="C356" s="1" t="n">
        <v>45913</v>
      </c>
      <c r="D356" t="inlineStr">
        <is>
          <t>NORRBOTTENS LÄN</t>
        </is>
      </c>
      <c r="E356" t="inlineStr">
        <is>
          <t>LULEÅ</t>
        </is>
      </c>
      <c r="G356" t="n">
        <v>7.7</v>
      </c>
      <c r="H356" t="n">
        <v>0</v>
      </c>
      <c r="I356" t="n">
        <v>0</v>
      </c>
      <c r="J356" t="n">
        <v>0</v>
      </c>
      <c r="K356" t="n">
        <v>0</v>
      </c>
      <c r="L356" t="n">
        <v>0</v>
      </c>
      <c r="M356" t="n">
        <v>0</v>
      </c>
      <c r="N356" t="n">
        <v>0</v>
      </c>
      <c r="O356" t="n">
        <v>0</v>
      </c>
      <c r="P356" t="n">
        <v>0</v>
      </c>
      <c r="Q356" t="n">
        <v>0</v>
      </c>
      <c r="R356" s="2" t="inlineStr"/>
    </row>
    <row r="357" ht="15" customHeight="1">
      <c r="A357" t="inlineStr">
        <is>
          <t>A 26253-2023</t>
        </is>
      </c>
      <c r="B357" s="1" t="n">
        <v>45091</v>
      </c>
      <c r="C357" s="1" t="n">
        <v>45913</v>
      </c>
      <c r="D357" t="inlineStr">
        <is>
          <t>NORRBOTTENS LÄN</t>
        </is>
      </c>
      <c r="E357" t="inlineStr">
        <is>
          <t>LULEÅ</t>
        </is>
      </c>
      <c r="G357" t="n">
        <v>4.9</v>
      </c>
      <c r="H357" t="n">
        <v>0</v>
      </c>
      <c r="I357" t="n">
        <v>0</v>
      </c>
      <c r="J357" t="n">
        <v>0</v>
      </c>
      <c r="K357" t="n">
        <v>0</v>
      </c>
      <c r="L357" t="n">
        <v>0</v>
      </c>
      <c r="M357" t="n">
        <v>0</v>
      </c>
      <c r="N357" t="n">
        <v>0</v>
      </c>
      <c r="O357" t="n">
        <v>0</v>
      </c>
      <c r="P357" t="n">
        <v>0</v>
      </c>
      <c r="Q357" t="n">
        <v>0</v>
      </c>
      <c r="R357" s="2" t="inlineStr"/>
    </row>
    <row r="358" ht="15" customHeight="1">
      <c r="A358" t="inlineStr">
        <is>
          <t>A 40899-2024</t>
        </is>
      </c>
      <c r="B358" s="1" t="n">
        <v>45558.62070601852</v>
      </c>
      <c r="C358" s="1" t="n">
        <v>45913</v>
      </c>
      <c r="D358" t="inlineStr">
        <is>
          <t>NORRBOTTENS LÄN</t>
        </is>
      </c>
      <c r="E358" t="inlineStr">
        <is>
          <t>LULEÅ</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26513-2025</t>
        </is>
      </c>
      <c r="B359" s="1" t="n">
        <v>45807</v>
      </c>
      <c r="C359" s="1" t="n">
        <v>45913</v>
      </c>
      <c r="D359" t="inlineStr">
        <is>
          <t>NORRBOTTENS LÄN</t>
        </is>
      </c>
      <c r="E359" t="inlineStr">
        <is>
          <t>LULEÅ</t>
        </is>
      </c>
      <c r="G359" t="n">
        <v>5</v>
      </c>
      <c r="H359" t="n">
        <v>0</v>
      </c>
      <c r="I359" t="n">
        <v>0</v>
      </c>
      <c r="J359" t="n">
        <v>0</v>
      </c>
      <c r="K359" t="n">
        <v>0</v>
      </c>
      <c r="L359" t="n">
        <v>0</v>
      </c>
      <c r="M359" t="n">
        <v>0</v>
      </c>
      <c r="N359" t="n">
        <v>0</v>
      </c>
      <c r="O359" t="n">
        <v>0</v>
      </c>
      <c r="P359" t="n">
        <v>0</v>
      </c>
      <c r="Q359" t="n">
        <v>0</v>
      </c>
      <c r="R359" s="2" t="inlineStr"/>
    </row>
    <row r="360" ht="15" customHeight="1">
      <c r="A360" t="inlineStr">
        <is>
          <t>A 11853-2025</t>
        </is>
      </c>
      <c r="B360" s="1" t="n">
        <v>45727</v>
      </c>
      <c r="C360" s="1" t="n">
        <v>45913</v>
      </c>
      <c r="D360" t="inlineStr">
        <is>
          <t>NORRBOTTENS LÄN</t>
        </is>
      </c>
      <c r="E360" t="inlineStr">
        <is>
          <t>LULEÅ</t>
        </is>
      </c>
      <c r="G360" t="n">
        <v>6</v>
      </c>
      <c r="H360" t="n">
        <v>0</v>
      </c>
      <c r="I360" t="n">
        <v>0</v>
      </c>
      <c r="J360" t="n">
        <v>0</v>
      </c>
      <c r="K360" t="n">
        <v>0</v>
      </c>
      <c r="L360" t="n">
        <v>0</v>
      </c>
      <c r="M360" t="n">
        <v>0</v>
      </c>
      <c r="N360" t="n">
        <v>0</v>
      </c>
      <c r="O360" t="n">
        <v>0</v>
      </c>
      <c r="P360" t="n">
        <v>0</v>
      </c>
      <c r="Q360" t="n">
        <v>0</v>
      </c>
      <c r="R360" s="2" t="inlineStr"/>
    </row>
    <row r="361" ht="15" customHeight="1">
      <c r="A361" t="inlineStr">
        <is>
          <t>A 59681-2023</t>
        </is>
      </c>
      <c r="B361" s="1" t="n">
        <v>45255</v>
      </c>
      <c r="C361" s="1" t="n">
        <v>45913</v>
      </c>
      <c r="D361" t="inlineStr">
        <is>
          <t>NORRBOTTENS LÄN</t>
        </is>
      </c>
      <c r="E361" t="inlineStr">
        <is>
          <t>LULEÅ</t>
        </is>
      </c>
      <c r="G361" t="n">
        <v>0.6</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45913</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5822-2025</t>
        </is>
      </c>
      <c r="B363" s="1" t="n">
        <v>45694</v>
      </c>
      <c r="C363" s="1" t="n">
        <v>45913</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7429-2021</t>
        </is>
      </c>
      <c r="B364" s="1" t="n">
        <v>44239</v>
      </c>
      <c r="C364" s="1" t="n">
        <v>45913</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14187-2025</t>
        </is>
      </c>
      <c r="B365" s="1" t="n">
        <v>45740.54577546296</v>
      </c>
      <c r="C365" s="1" t="n">
        <v>45913</v>
      </c>
      <c r="D365" t="inlineStr">
        <is>
          <t>NORRBOTTENS LÄN</t>
        </is>
      </c>
      <c r="E365" t="inlineStr">
        <is>
          <t>LULEÅ</t>
        </is>
      </c>
      <c r="G365" t="n">
        <v>0.7</v>
      </c>
      <c r="H365" t="n">
        <v>0</v>
      </c>
      <c r="I365" t="n">
        <v>0</v>
      </c>
      <c r="J365" t="n">
        <v>0</v>
      </c>
      <c r="K365" t="n">
        <v>0</v>
      </c>
      <c r="L365" t="n">
        <v>0</v>
      </c>
      <c r="M365" t="n">
        <v>0</v>
      </c>
      <c r="N365" t="n">
        <v>0</v>
      </c>
      <c r="O365" t="n">
        <v>0</v>
      </c>
      <c r="P365" t="n">
        <v>0</v>
      </c>
      <c r="Q365" t="n">
        <v>0</v>
      </c>
      <c r="R365" s="2" t="inlineStr"/>
    </row>
    <row r="366" ht="15" customHeight="1">
      <c r="A366" t="inlineStr">
        <is>
          <t>A 23884-2022</t>
        </is>
      </c>
      <c r="B366" s="1" t="n">
        <v>44722.57129629629</v>
      </c>
      <c r="C366" s="1" t="n">
        <v>45913</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32154-2025</t>
        </is>
      </c>
      <c r="B367" s="1" t="n">
        <v>45835.53480324074</v>
      </c>
      <c r="C367" s="1" t="n">
        <v>45913</v>
      </c>
      <c r="D367" t="inlineStr">
        <is>
          <t>NORRBOTTENS LÄN</t>
        </is>
      </c>
      <c r="E367" t="inlineStr">
        <is>
          <t>LULEÅ</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45182-2024</t>
        </is>
      </c>
      <c r="B368" s="1" t="n">
        <v>45575.66403935185</v>
      </c>
      <c r="C368" s="1" t="n">
        <v>45913</v>
      </c>
      <c r="D368" t="inlineStr">
        <is>
          <t>NORRBOTTENS LÄN</t>
        </is>
      </c>
      <c r="E368" t="inlineStr">
        <is>
          <t>LULEÅ</t>
        </is>
      </c>
      <c r="G368" t="n">
        <v>0.9</v>
      </c>
      <c r="H368" t="n">
        <v>0</v>
      </c>
      <c r="I368" t="n">
        <v>0</v>
      </c>
      <c r="J368" t="n">
        <v>0</v>
      </c>
      <c r="K368" t="n">
        <v>0</v>
      </c>
      <c r="L368" t="n">
        <v>0</v>
      </c>
      <c r="M368" t="n">
        <v>0</v>
      </c>
      <c r="N368" t="n">
        <v>0</v>
      </c>
      <c r="O368" t="n">
        <v>0</v>
      </c>
      <c r="P368" t="n">
        <v>0</v>
      </c>
      <c r="Q368" t="n">
        <v>0</v>
      </c>
      <c r="R368" s="2" t="inlineStr"/>
    </row>
    <row r="369" ht="15" customHeight="1">
      <c r="A369" t="inlineStr">
        <is>
          <t>A 51668-2022</t>
        </is>
      </c>
      <c r="B369" s="1" t="n">
        <v>44867</v>
      </c>
      <c r="C369" s="1" t="n">
        <v>45913</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8022-2024</t>
        </is>
      </c>
      <c r="B370" s="1" t="n">
        <v>45350</v>
      </c>
      <c r="C370" s="1" t="n">
        <v>45913</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45913</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32127-2025</t>
        </is>
      </c>
      <c r="B372" s="1" t="n">
        <v>45835.49930555555</v>
      </c>
      <c r="C372" s="1" t="n">
        <v>45913</v>
      </c>
      <c r="D372" t="inlineStr">
        <is>
          <t>NORRBOTTENS LÄN</t>
        </is>
      </c>
      <c r="E372" t="inlineStr">
        <is>
          <t>LULEÅ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45913</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28498-2024</t>
        </is>
      </c>
      <c r="B374" s="1" t="n">
        <v>45477.92725694444</v>
      </c>
      <c r="C374" s="1" t="n">
        <v>45913</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58760-2023</t>
        </is>
      </c>
      <c r="B375" s="1" t="n">
        <v>45251</v>
      </c>
      <c r="C375" s="1" t="n">
        <v>45913</v>
      </c>
      <c r="D375" t="inlineStr">
        <is>
          <t>NORRBOTTENS LÄN</t>
        </is>
      </c>
      <c r="E375" t="inlineStr">
        <is>
          <t>LULEÅ</t>
        </is>
      </c>
      <c r="G375" t="n">
        <v>5.4</v>
      </c>
      <c r="H375" t="n">
        <v>0</v>
      </c>
      <c r="I375" t="n">
        <v>0</v>
      </c>
      <c r="J375" t="n">
        <v>0</v>
      </c>
      <c r="K375" t="n">
        <v>0</v>
      </c>
      <c r="L375" t="n">
        <v>0</v>
      </c>
      <c r="M375" t="n">
        <v>0</v>
      </c>
      <c r="N375" t="n">
        <v>0</v>
      </c>
      <c r="O375" t="n">
        <v>0</v>
      </c>
      <c r="P375" t="n">
        <v>0</v>
      </c>
      <c r="Q375" t="n">
        <v>0</v>
      </c>
      <c r="R375" s="2" t="inlineStr"/>
    </row>
    <row r="376" ht="15" customHeight="1">
      <c r="A376" t="inlineStr">
        <is>
          <t>A 38551-2023</t>
        </is>
      </c>
      <c r="B376" s="1" t="n">
        <v>45160</v>
      </c>
      <c r="C376" s="1" t="n">
        <v>45913</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45913</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45913</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32255-2025</t>
        </is>
      </c>
      <c r="B379" s="1" t="n">
        <v>45835.63332175926</v>
      </c>
      <c r="C379" s="1" t="n">
        <v>45913</v>
      </c>
      <c r="D379" t="inlineStr">
        <is>
          <t>NORRBOTTENS LÄN</t>
        </is>
      </c>
      <c r="E379" t="inlineStr">
        <is>
          <t>LULEÅ</t>
        </is>
      </c>
      <c r="G379" t="n">
        <v>1.6</v>
      </c>
      <c r="H379" t="n">
        <v>0</v>
      </c>
      <c r="I379" t="n">
        <v>0</v>
      </c>
      <c r="J379" t="n">
        <v>0</v>
      </c>
      <c r="K379" t="n">
        <v>0</v>
      </c>
      <c r="L379" t="n">
        <v>0</v>
      </c>
      <c r="M379" t="n">
        <v>0</v>
      </c>
      <c r="N379" t="n">
        <v>0</v>
      </c>
      <c r="O379" t="n">
        <v>0</v>
      </c>
      <c r="P379" t="n">
        <v>0</v>
      </c>
      <c r="Q379" t="n">
        <v>0</v>
      </c>
      <c r="R379" s="2" t="inlineStr"/>
    </row>
    <row r="380" ht="15" customHeight="1">
      <c r="A380" t="inlineStr">
        <is>
          <t>A 32264-2025</t>
        </is>
      </c>
      <c r="B380" s="1" t="n">
        <v>45835.64934027778</v>
      </c>
      <c r="C380" s="1" t="n">
        <v>45913</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44324-2024</t>
        </is>
      </c>
      <c r="B381" s="1" t="n">
        <v>45573.59376157408</v>
      </c>
      <c r="C381" s="1" t="n">
        <v>45913</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26587-2024</t>
        </is>
      </c>
      <c r="B382" s="1" t="n">
        <v>45469.67459490741</v>
      </c>
      <c r="C382" s="1" t="n">
        <v>45913</v>
      </c>
      <c r="D382" t="inlineStr">
        <is>
          <t>NORRBOTTENS LÄN</t>
        </is>
      </c>
      <c r="E382" t="inlineStr">
        <is>
          <t>LULEÅ</t>
        </is>
      </c>
      <c r="G382" t="n">
        <v>3.9</v>
      </c>
      <c r="H382" t="n">
        <v>0</v>
      </c>
      <c r="I382" t="n">
        <v>0</v>
      </c>
      <c r="J382" t="n">
        <v>0</v>
      </c>
      <c r="K382" t="n">
        <v>0</v>
      </c>
      <c r="L382" t="n">
        <v>0</v>
      </c>
      <c r="M382" t="n">
        <v>0</v>
      </c>
      <c r="N382" t="n">
        <v>0</v>
      </c>
      <c r="O382" t="n">
        <v>0</v>
      </c>
      <c r="P382" t="n">
        <v>0</v>
      </c>
      <c r="Q382" t="n">
        <v>0</v>
      </c>
      <c r="R382" s="2" t="inlineStr"/>
    </row>
    <row r="383" ht="15" customHeight="1">
      <c r="A383" t="inlineStr">
        <is>
          <t>A 17897-2025</t>
        </is>
      </c>
      <c r="B383" s="1" t="n">
        <v>45758.69814814815</v>
      </c>
      <c r="C383" s="1" t="n">
        <v>45913</v>
      </c>
      <c r="D383" t="inlineStr">
        <is>
          <t>NORRBOTTENS LÄN</t>
        </is>
      </c>
      <c r="E383" t="inlineStr">
        <is>
          <t>LULEÅ</t>
        </is>
      </c>
      <c r="G383" t="n">
        <v>9.9</v>
      </c>
      <c r="H383" t="n">
        <v>0</v>
      </c>
      <c r="I383" t="n">
        <v>0</v>
      </c>
      <c r="J383" t="n">
        <v>0</v>
      </c>
      <c r="K383" t="n">
        <v>0</v>
      </c>
      <c r="L383" t="n">
        <v>0</v>
      </c>
      <c r="M383" t="n">
        <v>0</v>
      </c>
      <c r="N383" t="n">
        <v>0</v>
      </c>
      <c r="O383" t="n">
        <v>0</v>
      </c>
      <c r="P383" t="n">
        <v>0</v>
      </c>
      <c r="Q383" t="n">
        <v>0</v>
      </c>
      <c r="R383" s="2" t="inlineStr"/>
    </row>
    <row r="384" ht="15" customHeight="1">
      <c r="A384" t="inlineStr">
        <is>
          <t>A 51107-2024</t>
        </is>
      </c>
      <c r="B384" s="1" t="n">
        <v>45603.49141203704</v>
      </c>
      <c r="C384" s="1" t="n">
        <v>45913</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51108-2024</t>
        </is>
      </c>
      <c r="B385" s="1" t="n">
        <v>45603.49142361111</v>
      </c>
      <c r="C385" s="1" t="n">
        <v>45913</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45913</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54738-2024</t>
        </is>
      </c>
      <c r="B387" s="1" t="n">
        <v>45618.44334490741</v>
      </c>
      <c r="C387" s="1" t="n">
        <v>45913</v>
      </c>
      <c r="D387" t="inlineStr">
        <is>
          <t>NORRBOTTENS LÄN</t>
        </is>
      </c>
      <c r="E387" t="inlineStr">
        <is>
          <t>LULEÅ</t>
        </is>
      </c>
      <c r="G387" t="n">
        <v>4.7</v>
      </c>
      <c r="H387" t="n">
        <v>0</v>
      </c>
      <c r="I387" t="n">
        <v>0</v>
      </c>
      <c r="J387" t="n">
        <v>0</v>
      </c>
      <c r="K387" t="n">
        <v>0</v>
      </c>
      <c r="L387" t="n">
        <v>0</v>
      </c>
      <c r="M387" t="n">
        <v>0</v>
      </c>
      <c r="N387" t="n">
        <v>0</v>
      </c>
      <c r="O387" t="n">
        <v>0</v>
      </c>
      <c r="P387" t="n">
        <v>0</v>
      </c>
      <c r="Q387" t="n">
        <v>0</v>
      </c>
      <c r="R387" s="2" t="inlineStr"/>
    </row>
    <row r="388" ht="15" customHeight="1">
      <c r="A388" t="inlineStr">
        <is>
          <t>A 49712-2022</t>
        </is>
      </c>
      <c r="B388" s="1" t="n">
        <v>44859</v>
      </c>
      <c r="C388" s="1" t="n">
        <v>45913</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6386-2023</t>
        </is>
      </c>
      <c r="B389" s="1" t="n">
        <v>44960</v>
      </c>
      <c r="C389" s="1" t="n">
        <v>45913</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46158-2021</t>
        </is>
      </c>
      <c r="B390" s="1" t="n">
        <v>44442.43422453704</v>
      </c>
      <c r="C390" s="1" t="n">
        <v>45913</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54739-2024</t>
        </is>
      </c>
      <c r="B391" s="1" t="n">
        <v>45618.44335648148</v>
      </c>
      <c r="C391" s="1" t="n">
        <v>45913</v>
      </c>
      <c r="D391" t="inlineStr">
        <is>
          <t>NORRBOTTENS LÄN</t>
        </is>
      </c>
      <c r="E391" t="inlineStr">
        <is>
          <t>LULEÅ</t>
        </is>
      </c>
      <c r="G391" t="n">
        <v>4.8</v>
      </c>
      <c r="H391" t="n">
        <v>0</v>
      </c>
      <c r="I391" t="n">
        <v>0</v>
      </c>
      <c r="J391" t="n">
        <v>0</v>
      </c>
      <c r="K391" t="n">
        <v>0</v>
      </c>
      <c r="L391" t="n">
        <v>0</v>
      </c>
      <c r="M391" t="n">
        <v>0</v>
      </c>
      <c r="N391" t="n">
        <v>0</v>
      </c>
      <c r="O391" t="n">
        <v>0</v>
      </c>
      <c r="P391" t="n">
        <v>0</v>
      </c>
      <c r="Q391" t="n">
        <v>0</v>
      </c>
      <c r="R391" s="2" t="inlineStr"/>
    </row>
    <row r="392" ht="15" customHeight="1">
      <c r="A392" t="inlineStr">
        <is>
          <t>A 14447-2023</t>
        </is>
      </c>
      <c r="B392" s="1" t="n">
        <v>45012</v>
      </c>
      <c r="C392" s="1" t="n">
        <v>45913</v>
      </c>
      <c r="D392" t="inlineStr">
        <is>
          <t>NORRBOTTENS LÄN</t>
        </is>
      </c>
      <c r="E392" t="inlineStr">
        <is>
          <t>LULEÅ</t>
        </is>
      </c>
      <c r="G392" t="n">
        <v>0.6</v>
      </c>
      <c r="H392" t="n">
        <v>0</v>
      </c>
      <c r="I392" t="n">
        <v>0</v>
      </c>
      <c r="J392" t="n">
        <v>0</v>
      </c>
      <c r="K392" t="n">
        <v>0</v>
      </c>
      <c r="L392" t="n">
        <v>0</v>
      </c>
      <c r="M392" t="n">
        <v>0</v>
      </c>
      <c r="N392" t="n">
        <v>0</v>
      </c>
      <c r="O392" t="n">
        <v>0</v>
      </c>
      <c r="P392" t="n">
        <v>0</v>
      </c>
      <c r="Q392" t="n">
        <v>0</v>
      </c>
      <c r="R392" s="2" t="inlineStr"/>
    </row>
    <row r="393" ht="15" customHeight="1">
      <c r="A393" t="inlineStr">
        <is>
          <t>A 60121-2024</t>
        </is>
      </c>
      <c r="B393" s="1" t="n">
        <v>45642.58465277778</v>
      </c>
      <c r="C393" s="1" t="n">
        <v>45913</v>
      </c>
      <c r="D393" t="inlineStr">
        <is>
          <t>NORRBOTTENS LÄN</t>
        </is>
      </c>
      <c r="E393" t="inlineStr">
        <is>
          <t>LULEÅ</t>
        </is>
      </c>
      <c r="G393" t="n">
        <v>1.6</v>
      </c>
      <c r="H393" t="n">
        <v>0</v>
      </c>
      <c r="I393" t="n">
        <v>0</v>
      </c>
      <c r="J393" t="n">
        <v>0</v>
      </c>
      <c r="K393" t="n">
        <v>0</v>
      </c>
      <c r="L393" t="n">
        <v>0</v>
      </c>
      <c r="M393" t="n">
        <v>0</v>
      </c>
      <c r="N393" t="n">
        <v>0</v>
      </c>
      <c r="O393" t="n">
        <v>0</v>
      </c>
      <c r="P393" t="n">
        <v>0</v>
      </c>
      <c r="Q393" t="n">
        <v>0</v>
      </c>
      <c r="R393" s="2" t="inlineStr"/>
    </row>
    <row r="394" ht="15" customHeight="1">
      <c r="A394" t="inlineStr">
        <is>
          <t>A 32460-2025</t>
        </is>
      </c>
      <c r="B394" s="1" t="n">
        <v>45838.41540509259</v>
      </c>
      <c r="C394" s="1" t="n">
        <v>45913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57518-2024</t>
        </is>
      </c>
      <c r="B395" s="1" t="n">
        <v>45629</v>
      </c>
      <c r="C395" s="1" t="n">
        <v>45913</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8228-2024</t>
        </is>
      </c>
      <c r="B396" s="1" t="n">
        <v>45351</v>
      </c>
      <c r="C396" s="1" t="n">
        <v>45913</v>
      </c>
      <c r="D396" t="inlineStr">
        <is>
          <t>NORRBOTTENS LÄN</t>
        </is>
      </c>
      <c r="E396" t="inlineStr">
        <is>
          <t>LULEÅ</t>
        </is>
      </c>
      <c r="G396" t="n">
        <v>10.1</v>
      </c>
      <c r="H396" t="n">
        <v>0</v>
      </c>
      <c r="I396" t="n">
        <v>0</v>
      </c>
      <c r="J396" t="n">
        <v>0</v>
      </c>
      <c r="K396" t="n">
        <v>0</v>
      </c>
      <c r="L396" t="n">
        <v>0</v>
      </c>
      <c r="M396" t="n">
        <v>0</v>
      </c>
      <c r="N396" t="n">
        <v>0</v>
      </c>
      <c r="O396" t="n">
        <v>0</v>
      </c>
      <c r="P396" t="n">
        <v>0</v>
      </c>
      <c r="Q396" t="n">
        <v>0</v>
      </c>
      <c r="R396" s="2" t="inlineStr"/>
    </row>
    <row r="397" ht="15" customHeight="1">
      <c r="A397" t="inlineStr">
        <is>
          <t>A 3185-2025</t>
        </is>
      </c>
      <c r="B397" s="1" t="n">
        <v>45679.40358796297</v>
      </c>
      <c r="C397" s="1" t="n">
        <v>45913</v>
      </c>
      <c r="D397" t="inlineStr">
        <is>
          <t>NORRBOTTENS LÄN</t>
        </is>
      </c>
      <c r="E397" t="inlineStr">
        <is>
          <t>LULEÅ</t>
        </is>
      </c>
      <c r="G397" t="n">
        <v>3.2</v>
      </c>
      <c r="H397" t="n">
        <v>0</v>
      </c>
      <c r="I397" t="n">
        <v>0</v>
      </c>
      <c r="J397" t="n">
        <v>0</v>
      </c>
      <c r="K397" t="n">
        <v>0</v>
      </c>
      <c r="L397" t="n">
        <v>0</v>
      </c>
      <c r="M397" t="n">
        <v>0</v>
      </c>
      <c r="N397" t="n">
        <v>0</v>
      </c>
      <c r="O397" t="n">
        <v>0</v>
      </c>
      <c r="P397" t="n">
        <v>0</v>
      </c>
      <c r="Q397" t="n">
        <v>0</v>
      </c>
      <c r="R397" s="2" t="inlineStr"/>
    </row>
    <row r="398" ht="15" customHeight="1">
      <c r="A398" t="inlineStr">
        <is>
          <t>A 32462-2025</t>
        </is>
      </c>
      <c r="B398" s="1" t="n">
        <v>45838.41660879629</v>
      </c>
      <c r="C398" s="1" t="n">
        <v>45913</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23730-2023</t>
        </is>
      </c>
      <c r="B399" s="1" t="n">
        <v>45077</v>
      </c>
      <c r="C399" s="1" t="n">
        <v>45913</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61488-2024</t>
        </is>
      </c>
      <c r="B400" s="1" t="n">
        <v>45646.54873842592</v>
      </c>
      <c r="C400" s="1" t="n">
        <v>45913</v>
      </c>
      <c r="D400" t="inlineStr">
        <is>
          <t>NORRBOTTENS LÄN</t>
        </is>
      </c>
      <c r="E400" t="inlineStr">
        <is>
          <t>LULEÅ</t>
        </is>
      </c>
      <c r="G400" t="n">
        <v>3.4</v>
      </c>
      <c r="H400" t="n">
        <v>0</v>
      </c>
      <c r="I400" t="n">
        <v>0</v>
      </c>
      <c r="J400" t="n">
        <v>0</v>
      </c>
      <c r="K400" t="n">
        <v>0</v>
      </c>
      <c r="L400" t="n">
        <v>0</v>
      </c>
      <c r="M400" t="n">
        <v>0</v>
      </c>
      <c r="N400" t="n">
        <v>0</v>
      </c>
      <c r="O400" t="n">
        <v>0</v>
      </c>
      <c r="P400" t="n">
        <v>0</v>
      </c>
      <c r="Q400" t="n">
        <v>0</v>
      </c>
      <c r="R400" s="2" t="inlineStr"/>
    </row>
    <row r="401" ht="15" customHeight="1">
      <c r="A401" t="inlineStr">
        <is>
          <t>A 656-2025</t>
        </is>
      </c>
      <c r="B401" s="1" t="n">
        <v>45661</v>
      </c>
      <c r="C401" s="1" t="n">
        <v>45913</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17898-2025</t>
        </is>
      </c>
      <c r="B402" s="1" t="n">
        <v>45758</v>
      </c>
      <c r="C402" s="1" t="n">
        <v>45913</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31347-2023</t>
        </is>
      </c>
      <c r="B403" s="1" t="n">
        <v>45104</v>
      </c>
      <c r="C403" s="1" t="n">
        <v>45913</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45913</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37948-2025</t>
        </is>
      </c>
      <c r="B405" s="1" t="n">
        <v>45881.61543981481</v>
      </c>
      <c r="C405" s="1" t="n">
        <v>45913</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61504-2024</t>
        </is>
      </c>
      <c r="B406" s="1" t="n">
        <v>45646.56238425926</v>
      </c>
      <c r="C406" s="1" t="n">
        <v>45913</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8764-2025</t>
        </is>
      </c>
      <c r="B407" s="1" t="n">
        <v>45712.58021990741</v>
      </c>
      <c r="C407" s="1" t="n">
        <v>45913</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31067-2023</t>
        </is>
      </c>
      <c r="B408" s="1" t="n">
        <v>45113</v>
      </c>
      <c r="C408" s="1" t="n">
        <v>45913</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12549-2024</t>
        </is>
      </c>
      <c r="B409" s="1" t="n">
        <v>45379</v>
      </c>
      <c r="C409" s="1" t="n">
        <v>45913</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4123-2024</t>
        </is>
      </c>
      <c r="B410" s="1" t="n">
        <v>45323</v>
      </c>
      <c r="C410" s="1" t="n">
        <v>45913</v>
      </c>
      <c r="D410" t="inlineStr">
        <is>
          <t>NORRBOTTENS LÄN</t>
        </is>
      </c>
      <c r="E410" t="inlineStr">
        <is>
          <t>LULEÅ</t>
        </is>
      </c>
      <c r="G410" t="n">
        <v>5.3</v>
      </c>
      <c r="H410" t="n">
        <v>0</v>
      </c>
      <c r="I410" t="n">
        <v>0</v>
      </c>
      <c r="J410" t="n">
        <v>0</v>
      </c>
      <c r="K410" t="n">
        <v>0</v>
      </c>
      <c r="L410" t="n">
        <v>0</v>
      </c>
      <c r="M410" t="n">
        <v>0</v>
      </c>
      <c r="N410" t="n">
        <v>0</v>
      </c>
      <c r="O410" t="n">
        <v>0</v>
      </c>
      <c r="P410" t="n">
        <v>0</v>
      </c>
      <c r="Q410" t="n">
        <v>0</v>
      </c>
      <c r="R410" s="2" t="inlineStr"/>
    </row>
    <row r="411" ht="15" customHeight="1">
      <c r="A411" t="inlineStr">
        <is>
          <t>A 55076-2024</t>
        </is>
      </c>
      <c r="B411" s="1" t="n">
        <v>45621.42574074074</v>
      </c>
      <c r="C411" s="1" t="n">
        <v>45913</v>
      </c>
      <c r="D411" t="inlineStr">
        <is>
          <t>NORRBOTTENS LÄN</t>
        </is>
      </c>
      <c r="E411" t="inlineStr">
        <is>
          <t>LULEÅ</t>
        </is>
      </c>
      <c r="G411" t="n">
        <v>6.2</v>
      </c>
      <c r="H411" t="n">
        <v>0</v>
      </c>
      <c r="I411" t="n">
        <v>0</v>
      </c>
      <c r="J411" t="n">
        <v>0</v>
      </c>
      <c r="K411" t="n">
        <v>0</v>
      </c>
      <c r="L411" t="n">
        <v>0</v>
      </c>
      <c r="M411" t="n">
        <v>0</v>
      </c>
      <c r="N411" t="n">
        <v>0</v>
      </c>
      <c r="O411" t="n">
        <v>0</v>
      </c>
      <c r="P411" t="n">
        <v>0</v>
      </c>
      <c r="Q411" t="n">
        <v>0</v>
      </c>
      <c r="R411" s="2" t="inlineStr"/>
    </row>
    <row r="412" ht="15" customHeight="1">
      <c r="A412" t="inlineStr">
        <is>
          <t>A 5342-2025</t>
        </is>
      </c>
      <c r="B412" s="1" t="n">
        <v>45692.55262731481</v>
      </c>
      <c r="C412" s="1" t="n">
        <v>45913</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17439-2023</t>
        </is>
      </c>
      <c r="B413" s="1" t="n">
        <v>45035.92714120371</v>
      </c>
      <c r="C413" s="1" t="n">
        <v>45913</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61891-2023</t>
        </is>
      </c>
      <c r="B414" s="1" t="n">
        <v>45264</v>
      </c>
      <c r="C414" s="1" t="n">
        <v>45913</v>
      </c>
      <c r="D414" t="inlineStr">
        <is>
          <t>NORRBOTTENS LÄN</t>
        </is>
      </c>
      <c r="E414" t="inlineStr">
        <is>
          <t>LULEÅ</t>
        </is>
      </c>
      <c r="G414" t="n">
        <v>1.7</v>
      </c>
      <c r="H414" t="n">
        <v>0</v>
      </c>
      <c r="I414" t="n">
        <v>0</v>
      </c>
      <c r="J414" t="n">
        <v>0</v>
      </c>
      <c r="K414" t="n">
        <v>0</v>
      </c>
      <c r="L414" t="n">
        <v>0</v>
      </c>
      <c r="M414" t="n">
        <v>0</v>
      </c>
      <c r="N414" t="n">
        <v>0</v>
      </c>
      <c r="O414" t="n">
        <v>0</v>
      </c>
      <c r="P414" t="n">
        <v>0</v>
      </c>
      <c r="Q414" t="n">
        <v>0</v>
      </c>
      <c r="R414" s="2" t="inlineStr"/>
    </row>
    <row r="415" ht="15" customHeight="1">
      <c r="A415" t="inlineStr">
        <is>
          <t>A 6957-2025</t>
        </is>
      </c>
      <c r="B415" s="1" t="n">
        <v>45701.49048611111</v>
      </c>
      <c r="C415" s="1" t="n">
        <v>45913</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37784-2025</t>
        </is>
      </c>
      <c r="B416" s="1" t="n">
        <v>45880.95241898148</v>
      </c>
      <c r="C416" s="1" t="n">
        <v>45913</v>
      </c>
      <c r="D416" t="inlineStr">
        <is>
          <t>NORRBOTTENS LÄN</t>
        </is>
      </c>
      <c r="E416" t="inlineStr">
        <is>
          <t>LULEÅ</t>
        </is>
      </c>
      <c r="G416" t="n">
        <v>4.3</v>
      </c>
      <c r="H416" t="n">
        <v>0</v>
      </c>
      <c r="I416" t="n">
        <v>0</v>
      </c>
      <c r="J416" t="n">
        <v>0</v>
      </c>
      <c r="K416" t="n">
        <v>0</v>
      </c>
      <c r="L416" t="n">
        <v>0</v>
      </c>
      <c r="M416" t="n">
        <v>0</v>
      </c>
      <c r="N416" t="n">
        <v>0</v>
      </c>
      <c r="O416" t="n">
        <v>0</v>
      </c>
      <c r="P416" t="n">
        <v>0</v>
      </c>
      <c r="Q416" t="n">
        <v>0</v>
      </c>
      <c r="R416" s="2" t="inlineStr"/>
    </row>
    <row r="417" ht="15" customHeight="1">
      <c r="A417" t="inlineStr">
        <is>
          <t>A 145-2025</t>
        </is>
      </c>
      <c r="B417" s="1" t="n">
        <v>45659.59091435185</v>
      </c>
      <c r="C417" s="1" t="n">
        <v>45913</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38885-2023</t>
        </is>
      </c>
      <c r="B418" s="1" t="n">
        <v>45161</v>
      </c>
      <c r="C418" s="1" t="n">
        <v>45913</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731-2025</t>
        </is>
      </c>
      <c r="B419" s="1" t="n">
        <v>45664</v>
      </c>
      <c r="C419" s="1" t="n">
        <v>45913</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37783-2025</t>
        </is>
      </c>
      <c r="B420" s="1" t="n">
        <v>45880.94430555555</v>
      </c>
      <c r="C420" s="1" t="n">
        <v>45913</v>
      </c>
      <c r="D420" t="inlineStr">
        <is>
          <t>NORRBOTTENS LÄN</t>
        </is>
      </c>
      <c r="E420" t="inlineStr">
        <is>
          <t>LULEÅ</t>
        </is>
      </c>
      <c r="G420" t="n">
        <v>7.2</v>
      </c>
      <c r="H420" t="n">
        <v>0</v>
      </c>
      <c r="I420" t="n">
        <v>0</v>
      </c>
      <c r="J420" t="n">
        <v>0</v>
      </c>
      <c r="K420" t="n">
        <v>0</v>
      </c>
      <c r="L420" t="n">
        <v>0</v>
      </c>
      <c r="M420" t="n">
        <v>0</v>
      </c>
      <c r="N420" t="n">
        <v>0</v>
      </c>
      <c r="O420" t="n">
        <v>0</v>
      </c>
      <c r="P420" t="n">
        <v>0</v>
      </c>
      <c r="Q420" t="n">
        <v>0</v>
      </c>
      <c r="R420" s="2" t="inlineStr"/>
    </row>
    <row r="421" ht="15" customHeight="1">
      <c r="A421" t="inlineStr">
        <is>
          <t>A 6739-2024</t>
        </is>
      </c>
      <c r="B421" s="1" t="n">
        <v>45342</v>
      </c>
      <c r="C421" s="1" t="n">
        <v>45913</v>
      </c>
      <c r="D421" t="inlineStr">
        <is>
          <t>NORRBOTTENS LÄN</t>
        </is>
      </c>
      <c r="E421" t="inlineStr">
        <is>
          <t>LULEÅ</t>
        </is>
      </c>
      <c r="G421" t="n">
        <v>2.1</v>
      </c>
      <c r="H421" t="n">
        <v>0</v>
      </c>
      <c r="I421" t="n">
        <v>0</v>
      </c>
      <c r="J421" t="n">
        <v>0</v>
      </c>
      <c r="K421" t="n">
        <v>0</v>
      </c>
      <c r="L421" t="n">
        <v>0</v>
      </c>
      <c r="M421" t="n">
        <v>0</v>
      </c>
      <c r="N421" t="n">
        <v>0</v>
      </c>
      <c r="O421" t="n">
        <v>0</v>
      </c>
      <c r="P421" t="n">
        <v>0</v>
      </c>
      <c r="Q421" t="n">
        <v>0</v>
      </c>
      <c r="R421" s="2" t="inlineStr"/>
    </row>
    <row r="422" ht="15" customHeight="1">
      <c r="A422" t="inlineStr">
        <is>
          <t>A 37820-2022</t>
        </is>
      </c>
      <c r="B422" s="1" t="n">
        <v>44810</v>
      </c>
      <c r="C422" s="1" t="n">
        <v>45913</v>
      </c>
      <c r="D422" t="inlineStr">
        <is>
          <t>NORRBOTTENS LÄN</t>
        </is>
      </c>
      <c r="E422" t="inlineStr">
        <is>
          <t>LULEÅ</t>
        </is>
      </c>
      <c r="G422" t="n">
        <v>3.1</v>
      </c>
      <c r="H422" t="n">
        <v>0</v>
      </c>
      <c r="I422" t="n">
        <v>0</v>
      </c>
      <c r="J422" t="n">
        <v>0</v>
      </c>
      <c r="K422" t="n">
        <v>0</v>
      </c>
      <c r="L422" t="n">
        <v>0</v>
      </c>
      <c r="M422" t="n">
        <v>0</v>
      </c>
      <c r="N422" t="n">
        <v>0</v>
      </c>
      <c r="O422" t="n">
        <v>0</v>
      </c>
      <c r="P422" t="n">
        <v>0</v>
      </c>
      <c r="Q422" t="n">
        <v>0</v>
      </c>
      <c r="R422" s="2" t="inlineStr"/>
    </row>
    <row r="423" ht="15" customHeight="1">
      <c r="A423" t="inlineStr">
        <is>
          <t>A 35962-2021</t>
        </is>
      </c>
      <c r="B423" s="1" t="n">
        <v>44385</v>
      </c>
      <c r="C423" s="1" t="n">
        <v>45913</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11242-2021</t>
        </is>
      </c>
      <c r="B424" s="1" t="n">
        <v>44263.39423611111</v>
      </c>
      <c r="C424" s="1" t="n">
        <v>45913</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33692-2025</t>
        </is>
      </c>
      <c r="B425" s="1" t="n">
        <v>45841.69819444444</v>
      </c>
      <c r="C425" s="1" t="n">
        <v>45913</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54879-2021</t>
        </is>
      </c>
      <c r="B426" s="1" t="n">
        <v>44473</v>
      </c>
      <c r="C426" s="1" t="n">
        <v>45913</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5131-2025</t>
        </is>
      </c>
      <c r="B427" s="1" t="n">
        <v>45691.57331018519</v>
      </c>
      <c r="C427" s="1" t="n">
        <v>45913</v>
      </c>
      <c r="D427" t="inlineStr">
        <is>
          <t>NORRBOTTENS LÄN</t>
        </is>
      </c>
      <c r="E427" t="inlineStr">
        <is>
          <t>LULEÅ</t>
        </is>
      </c>
      <c r="G427" t="n">
        <v>1.8</v>
      </c>
      <c r="H427" t="n">
        <v>0</v>
      </c>
      <c r="I427" t="n">
        <v>0</v>
      </c>
      <c r="J427" t="n">
        <v>0</v>
      </c>
      <c r="K427" t="n">
        <v>0</v>
      </c>
      <c r="L427" t="n">
        <v>0</v>
      </c>
      <c r="M427" t="n">
        <v>0</v>
      </c>
      <c r="N427" t="n">
        <v>0</v>
      </c>
      <c r="O427" t="n">
        <v>0</v>
      </c>
      <c r="P427" t="n">
        <v>0</v>
      </c>
      <c r="Q427" t="n">
        <v>0</v>
      </c>
      <c r="R427" s="2" t="inlineStr"/>
    </row>
    <row r="428" ht="15" customHeight="1">
      <c r="A428" t="inlineStr">
        <is>
          <t>A 57911-2023</t>
        </is>
      </c>
      <c r="B428" s="1" t="n">
        <v>45247</v>
      </c>
      <c r="C428" s="1" t="n">
        <v>45913</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45913</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28150-2024</t>
        </is>
      </c>
      <c r="B430" s="1" t="n">
        <v>45476.76228009259</v>
      </c>
      <c r="C430" s="1" t="n">
        <v>45913</v>
      </c>
      <c r="D430" t="inlineStr">
        <is>
          <t>NORRBOTTENS LÄN</t>
        </is>
      </c>
      <c r="E430" t="inlineStr">
        <is>
          <t>LULEÅ</t>
        </is>
      </c>
      <c r="G430" t="n">
        <v>4</v>
      </c>
      <c r="H430" t="n">
        <v>0</v>
      </c>
      <c r="I430" t="n">
        <v>0</v>
      </c>
      <c r="J430" t="n">
        <v>0</v>
      </c>
      <c r="K430" t="n">
        <v>0</v>
      </c>
      <c r="L430" t="n">
        <v>0</v>
      </c>
      <c r="M430" t="n">
        <v>0</v>
      </c>
      <c r="N430" t="n">
        <v>0</v>
      </c>
      <c r="O430" t="n">
        <v>0</v>
      </c>
      <c r="P430" t="n">
        <v>0</v>
      </c>
      <c r="Q430" t="n">
        <v>0</v>
      </c>
      <c r="R430" s="2" t="inlineStr"/>
    </row>
    <row r="431" ht="15" customHeight="1">
      <c r="A431" t="inlineStr">
        <is>
          <t>A 4286-2025</t>
        </is>
      </c>
      <c r="B431" s="1" t="n">
        <v>45685</v>
      </c>
      <c r="C431" s="1" t="n">
        <v>45913</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5038-2025</t>
        </is>
      </c>
      <c r="B432" s="1" t="n">
        <v>45691.42896990741</v>
      </c>
      <c r="C432" s="1" t="n">
        <v>45913</v>
      </c>
      <c r="D432" t="inlineStr">
        <is>
          <t>NORRBOTTENS LÄN</t>
        </is>
      </c>
      <c r="E432" t="inlineStr">
        <is>
          <t>LULEÅ</t>
        </is>
      </c>
      <c r="G432" t="n">
        <v>0.8</v>
      </c>
      <c r="H432" t="n">
        <v>0</v>
      </c>
      <c r="I432" t="n">
        <v>0</v>
      </c>
      <c r="J432" t="n">
        <v>0</v>
      </c>
      <c r="K432" t="n">
        <v>0</v>
      </c>
      <c r="L432" t="n">
        <v>0</v>
      </c>
      <c r="M432" t="n">
        <v>0</v>
      </c>
      <c r="N432" t="n">
        <v>0</v>
      </c>
      <c r="O432" t="n">
        <v>0</v>
      </c>
      <c r="P432" t="n">
        <v>0</v>
      </c>
      <c r="Q432" t="n">
        <v>0</v>
      </c>
      <c r="R432" s="2" t="inlineStr"/>
    </row>
    <row r="433" ht="15" customHeight="1">
      <c r="A433" t="inlineStr">
        <is>
          <t>A 5051-2025</t>
        </is>
      </c>
      <c r="B433" s="1" t="n">
        <v>45691.45101851852</v>
      </c>
      <c r="C433" s="1" t="n">
        <v>45913</v>
      </c>
      <c r="D433" t="inlineStr">
        <is>
          <t>NORRBOTTENS LÄN</t>
        </is>
      </c>
      <c r="E433" t="inlineStr">
        <is>
          <t>LULEÅ</t>
        </is>
      </c>
      <c r="G433" t="n">
        <v>0.9</v>
      </c>
      <c r="H433" t="n">
        <v>0</v>
      </c>
      <c r="I433" t="n">
        <v>0</v>
      </c>
      <c r="J433" t="n">
        <v>0</v>
      </c>
      <c r="K433" t="n">
        <v>0</v>
      </c>
      <c r="L433" t="n">
        <v>0</v>
      </c>
      <c r="M433" t="n">
        <v>0</v>
      </c>
      <c r="N433" t="n">
        <v>0</v>
      </c>
      <c r="O433" t="n">
        <v>0</v>
      </c>
      <c r="P433" t="n">
        <v>0</v>
      </c>
      <c r="Q433" t="n">
        <v>0</v>
      </c>
      <c r="R433" s="2" t="inlineStr"/>
    </row>
    <row r="434" ht="15" customHeight="1">
      <c r="A434" t="inlineStr">
        <is>
          <t>A 17438-2023</t>
        </is>
      </c>
      <c r="B434" s="1" t="n">
        <v>45035.92709490741</v>
      </c>
      <c r="C434" s="1" t="n">
        <v>45913</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46395-2020</t>
        </is>
      </c>
      <c r="B435" s="1" t="n">
        <v>44094</v>
      </c>
      <c r="C435" s="1" t="n">
        <v>45913</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4771-2024</t>
        </is>
      </c>
      <c r="B436" s="1" t="n">
        <v>45328</v>
      </c>
      <c r="C436" s="1" t="n">
        <v>45913</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29550-2024</t>
        </is>
      </c>
      <c r="B437" s="1" t="n">
        <v>45484</v>
      </c>
      <c r="C437" s="1" t="n">
        <v>45913</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19594-2025</t>
        </is>
      </c>
      <c r="B438" s="1" t="n">
        <v>45770.57881944445</v>
      </c>
      <c r="C438" s="1" t="n">
        <v>45913</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38434-2025</t>
        </is>
      </c>
      <c r="B439" s="1" t="n">
        <v>45883.64178240741</v>
      </c>
      <c r="C439" s="1" t="n">
        <v>45913</v>
      </c>
      <c r="D439" t="inlineStr">
        <is>
          <t>NORRBOTTENS LÄN</t>
        </is>
      </c>
      <c r="E439" t="inlineStr">
        <is>
          <t>LULEÅ</t>
        </is>
      </c>
      <c r="G439" t="n">
        <v>11.4</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45913</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37765-2021</t>
        </is>
      </c>
      <c r="B441" s="1" t="n">
        <v>44400</v>
      </c>
      <c r="C441" s="1" t="n">
        <v>45913</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9502-2025</t>
        </is>
      </c>
      <c r="B442" s="1" t="n">
        <v>45714</v>
      </c>
      <c r="C442" s="1" t="n">
        <v>45913</v>
      </c>
      <c r="D442" t="inlineStr">
        <is>
          <t>NORRBOTTENS LÄN</t>
        </is>
      </c>
      <c r="E442" t="inlineStr">
        <is>
          <t>LULEÅ</t>
        </is>
      </c>
      <c r="G442" t="n">
        <v>5.6</v>
      </c>
      <c r="H442" t="n">
        <v>0</v>
      </c>
      <c r="I442" t="n">
        <v>0</v>
      </c>
      <c r="J442" t="n">
        <v>0</v>
      </c>
      <c r="K442" t="n">
        <v>0</v>
      </c>
      <c r="L442" t="n">
        <v>0</v>
      </c>
      <c r="M442" t="n">
        <v>0</v>
      </c>
      <c r="N442" t="n">
        <v>0</v>
      </c>
      <c r="O442" t="n">
        <v>0</v>
      </c>
      <c r="P442" t="n">
        <v>0</v>
      </c>
      <c r="Q442" t="n">
        <v>0</v>
      </c>
      <c r="R442" s="2" t="inlineStr"/>
    </row>
    <row r="443" ht="15" customHeight="1">
      <c r="A443" t="inlineStr">
        <is>
          <t>A 7390-2023</t>
        </is>
      </c>
      <c r="B443" s="1" t="n">
        <v>44966</v>
      </c>
      <c r="C443" s="1" t="n">
        <v>45913</v>
      </c>
      <c r="D443" t="inlineStr">
        <is>
          <t>NORRBOTTENS LÄN</t>
        </is>
      </c>
      <c r="E443" t="inlineStr">
        <is>
          <t>LULEÅ</t>
        </is>
      </c>
      <c r="G443" t="n">
        <v>3</v>
      </c>
      <c r="H443" t="n">
        <v>0</v>
      </c>
      <c r="I443" t="n">
        <v>0</v>
      </c>
      <c r="J443" t="n">
        <v>0</v>
      </c>
      <c r="K443" t="n">
        <v>0</v>
      </c>
      <c r="L443" t="n">
        <v>0</v>
      </c>
      <c r="M443" t="n">
        <v>0</v>
      </c>
      <c r="N443" t="n">
        <v>0</v>
      </c>
      <c r="O443" t="n">
        <v>0</v>
      </c>
      <c r="P443" t="n">
        <v>0</v>
      </c>
      <c r="Q443" t="n">
        <v>0</v>
      </c>
      <c r="R443" s="2" t="inlineStr"/>
    </row>
    <row r="444" ht="15" customHeight="1">
      <c r="A444" t="inlineStr">
        <is>
          <t>A 10815-2024</t>
        </is>
      </c>
      <c r="B444" s="1" t="n">
        <v>45369</v>
      </c>
      <c r="C444" s="1" t="n">
        <v>45913</v>
      </c>
      <c r="D444" t="inlineStr">
        <is>
          <t>NORRBOTTENS LÄN</t>
        </is>
      </c>
      <c r="E444" t="inlineStr">
        <is>
          <t>LULEÅ</t>
        </is>
      </c>
      <c r="G444" t="n">
        <v>2.5</v>
      </c>
      <c r="H444" t="n">
        <v>0</v>
      </c>
      <c r="I444" t="n">
        <v>0</v>
      </c>
      <c r="J444" t="n">
        <v>0</v>
      </c>
      <c r="K444" t="n">
        <v>0</v>
      </c>
      <c r="L444" t="n">
        <v>0</v>
      </c>
      <c r="M444" t="n">
        <v>0</v>
      </c>
      <c r="N444" t="n">
        <v>0</v>
      </c>
      <c r="O444" t="n">
        <v>0</v>
      </c>
      <c r="P444" t="n">
        <v>0</v>
      </c>
      <c r="Q444" t="n">
        <v>0</v>
      </c>
      <c r="R444" s="2" t="inlineStr"/>
    </row>
    <row r="445" ht="15" customHeight="1">
      <c r="A445" t="inlineStr">
        <is>
          <t>A 9706-2022</t>
        </is>
      </c>
      <c r="B445" s="1" t="n">
        <v>44617</v>
      </c>
      <c r="C445" s="1" t="n">
        <v>45913</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18208-2023</t>
        </is>
      </c>
      <c r="B446" s="1" t="n">
        <v>45040</v>
      </c>
      <c r="C446" s="1" t="n">
        <v>45913</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14803-2023</t>
        </is>
      </c>
      <c r="B447" s="1" t="n">
        <v>45013</v>
      </c>
      <c r="C447" s="1" t="n">
        <v>45913</v>
      </c>
      <c r="D447" t="inlineStr">
        <is>
          <t>NORRBOTTENS LÄN</t>
        </is>
      </c>
      <c r="E447" t="inlineStr">
        <is>
          <t>LULEÅ</t>
        </is>
      </c>
      <c r="G447" t="n">
        <v>2.3</v>
      </c>
      <c r="H447" t="n">
        <v>0</v>
      </c>
      <c r="I447" t="n">
        <v>0</v>
      </c>
      <c r="J447" t="n">
        <v>0</v>
      </c>
      <c r="K447" t="n">
        <v>0</v>
      </c>
      <c r="L447" t="n">
        <v>0</v>
      </c>
      <c r="M447" t="n">
        <v>0</v>
      </c>
      <c r="N447" t="n">
        <v>0</v>
      </c>
      <c r="O447" t="n">
        <v>0</v>
      </c>
      <c r="P447" t="n">
        <v>0</v>
      </c>
      <c r="Q447" t="n">
        <v>0</v>
      </c>
      <c r="R447" s="2" t="inlineStr"/>
    </row>
    <row r="448" ht="15" customHeight="1">
      <c r="A448" t="inlineStr">
        <is>
          <t>A 14216-2025</t>
        </is>
      </c>
      <c r="B448" s="1" t="n">
        <v>45740.58505787037</v>
      </c>
      <c r="C448" s="1" t="n">
        <v>45913</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30358-2023</t>
        </is>
      </c>
      <c r="B449" s="1" t="n">
        <v>45111</v>
      </c>
      <c r="C449" s="1" t="n">
        <v>45913</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19238-2025</t>
        </is>
      </c>
      <c r="B450" s="1" t="n">
        <v>45769.47217592593</v>
      </c>
      <c r="C450" s="1" t="n">
        <v>45913</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57264-2022</t>
        </is>
      </c>
      <c r="B451" s="1" t="n">
        <v>44895</v>
      </c>
      <c r="C451" s="1" t="n">
        <v>45913</v>
      </c>
      <c r="D451" t="inlineStr">
        <is>
          <t>NORRBOTTENS LÄN</t>
        </is>
      </c>
      <c r="E451" t="inlineStr">
        <is>
          <t>LULEÅ</t>
        </is>
      </c>
      <c r="G451" t="n">
        <v>8</v>
      </c>
      <c r="H451" t="n">
        <v>0</v>
      </c>
      <c r="I451" t="n">
        <v>0</v>
      </c>
      <c r="J451" t="n">
        <v>0</v>
      </c>
      <c r="K451" t="n">
        <v>0</v>
      </c>
      <c r="L451" t="n">
        <v>0</v>
      </c>
      <c r="M451" t="n">
        <v>0</v>
      </c>
      <c r="N451" t="n">
        <v>0</v>
      </c>
      <c r="O451" t="n">
        <v>0</v>
      </c>
      <c r="P451" t="n">
        <v>0</v>
      </c>
      <c r="Q451" t="n">
        <v>0</v>
      </c>
      <c r="R451" s="2" t="inlineStr"/>
    </row>
    <row r="452" ht="15" customHeight="1">
      <c r="A452" t="inlineStr">
        <is>
          <t>A 14196-2025</t>
        </is>
      </c>
      <c r="B452" s="1" t="n">
        <v>45740.56502314815</v>
      </c>
      <c r="C452" s="1" t="n">
        <v>45913</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7382-2024</t>
        </is>
      </c>
      <c r="B453" s="1" t="n">
        <v>45345</v>
      </c>
      <c r="C453" s="1" t="n">
        <v>45913</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11834-2025</t>
        </is>
      </c>
      <c r="B454" s="1" t="n">
        <v>45727</v>
      </c>
      <c r="C454" s="1" t="n">
        <v>45913</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54824-2022</t>
        </is>
      </c>
      <c r="B455" s="1" t="n">
        <v>44883.92393518519</v>
      </c>
      <c r="C455" s="1" t="n">
        <v>45913</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30784-2024</t>
        </is>
      </c>
      <c r="B456" s="1" t="n">
        <v>45496</v>
      </c>
      <c r="C456" s="1" t="n">
        <v>45913</v>
      </c>
      <c r="D456" t="inlineStr">
        <is>
          <t>NORRBOTTENS LÄN</t>
        </is>
      </c>
      <c r="E456" t="inlineStr">
        <is>
          <t>LULEÅ</t>
        </is>
      </c>
      <c r="F456" t="inlineStr">
        <is>
          <t>Naturvårdsverket</t>
        </is>
      </c>
      <c r="G456" t="n">
        <v>13.2</v>
      </c>
      <c r="H456" t="n">
        <v>0</v>
      </c>
      <c r="I456" t="n">
        <v>0</v>
      </c>
      <c r="J456" t="n">
        <v>0</v>
      </c>
      <c r="K456" t="n">
        <v>0</v>
      </c>
      <c r="L456" t="n">
        <v>0</v>
      </c>
      <c r="M456" t="n">
        <v>0</v>
      </c>
      <c r="N456" t="n">
        <v>0</v>
      </c>
      <c r="O456" t="n">
        <v>0</v>
      </c>
      <c r="P456" t="n">
        <v>0</v>
      </c>
      <c r="Q456" t="n">
        <v>0</v>
      </c>
      <c r="R456" s="2" t="inlineStr"/>
    </row>
    <row r="457" ht="15" customHeight="1">
      <c r="A457" t="inlineStr">
        <is>
          <t>A 30788-2024</t>
        </is>
      </c>
      <c r="B457" s="1" t="n">
        <v>45496</v>
      </c>
      <c r="C457" s="1" t="n">
        <v>45913</v>
      </c>
      <c r="D457" t="inlineStr">
        <is>
          <t>NORRBOTTENS LÄN</t>
        </is>
      </c>
      <c r="E457" t="inlineStr">
        <is>
          <t>LULEÅ</t>
        </is>
      </c>
      <c r="F457" t="inlineStr">
        <is>
          <t>Naturvårdsverket</t>
        </is>
      </c>
      <c r="G457" t="n">
        <v>6.7</v>
      </c>
      <c r="H457" t="n">
        <v>0</v>
      </c>
      <c r="I457" t="n">
        <v>0</v>
      </c>
      <c r="J457" t="n">
        <v>0</v>
      </c>
      <c r="K457" t="n">
        <v>0</v>
      </c>
      <c r="L457" t="n">
        <v>0</v>
      </c>
      <c r="M457" t="n">
        <v>0</v>
      </c>
      <c r="N457" t="n">
        <v>0</v>
      </c>
      <c r="O457" t="n">
        <v>0</v>
      </c>
      <c r="P457" t="n">
        <v>0</v>
      </c>
      <c r="Q457" t="n">
        <v>0</v>
      </c>
      <c r="R457" s="2" t="inlineStr"/>
    </row>
    <row r="458" ht="15" customHeight="1">
      <c r="A458" t="inlineStr">
        <is>
          <t>A 33608-2025</t>
        </is>
      </c>
      <c r="B458" s="1" t="n">
        <v>45841.61747685185</v>
      </c>
      <c r="C458" s="1" t="n">
        <v>45913</v>
      </c>
      <c r="D458" t="inlineStr">
        <is>
          <t>NORRBOTTENS LÄN</t>
        </is>
      </c>
      <c r="E458" t="inlineStr">
        <is>
          <t>LULEÅ</t>
        </is>
      </c>
      <c r="G458" t="n">
        <v>3.8</v>
      </c>
      <c r="H458" t="n">
        <v>0</v>
      </c>
      <c r="I458" t="n">
        <v>0</v>
      </c>
      <c r="J458" t="n">
        <v>0</v>
      </c>
      <c r="K458" t="n">
        <v>0</v>
      </c>
      <c r="L458" t="n">
        <v>0</v>
      </c>
      <c r="M458" t="n">
        <v>0</v>
      </c>
      <c r="N458" t="n">
        <v>0</v>
      </c>
      <c r="O458" t="n">
        <v>0</v>
      </c>
      <c r="P458" t="n">
        <v>0</v>
      </c>
      <c r="Q458" t="n">
        <v>0</v>
      </c>
      <c r="R458" s="2" t="inlineStr"/>
    </row>
    <row r="459" ht="15" customHeight="1">
      <c r="A459" t="inlineStr">
        <is>
          <t>A 11855-2025</t>
        </is>
      </c>
      <c r="B459" s="1" t="n">
        <v>45727</v>
      </c>
      <c r="C459" s="1" t="n">
        <v>45913</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46374-2024</t>
        </is>
      </c>
      <c r="B460" s="1" t="n">
        <v>45582</v>
      </c>
      <c r="C460" s="1" t="n">
        <v>45913</v>
      </c>
      <c r="D460" t="inlineStr">
        <is>
          <t>NORRBOTTENS LÄN</t>
        </is>
      </c>
      <c r="E460" t="inlineStr">
        <is>
          <t>LULEÅ</t>
        </is>
      </c>
      <c r="G460" t="n">
        <v>0.6</v>
      </c>
      <c r="H460" t="n">
        <v>0</v>
      </c>
      <c r="I460" t="n">
        <v>0</v>
      </c>
      <c r="J460" t="n">
        <v>0</v>
      </c>
      <c r="K460" t="n">
        <v>0</v>
      </c>
      <c r="L460" t="n">
        <v>0</v>
      </c>
      <c r="M460" t="n">
        <v>0</v>
      </c>
      <c r="N460" t="n">
        <v>0</v>
      </c>
      <c r="O460" t="n">
        <v>0</v>
      </c>
      <c r="P460" t="n">
        <v>0</v>
      </c>
      <c r="Q460" t="n">
        <v>0</v>
      </c>
      <c r="R460" s="2" t="inlineStr"/>
    </row>
    <row r="461" ht="15" customHeight="1">
      <c r="A461" t="inlineStr">
        <is>
          <t>A 49720-2024</t>
        </is>
      </c>
      <c r="B461" s="1" t="n">
        <v>45596.72625</v>
      </c>
      <c r="C461" s="1" t="n">
        <v>45913</v>
      </c>
      <c r="D461" t="inlineStr">
        <is>
          <t>NORRBOTTENS LÄN</t>
        </is>
      </c>
      <c r="E461" t="inlineStr">
        <is>
          <t>LULEÅ</t>
        </is>
      </c>
      <c r="G461" t="n">
        <v>3.3</v>
      </c>
      <c r="H461" t="n">
        <v>0</v>
      </c>
      <c r="I461" t="n">
        <v>0</v>
      </c>
      <c r="J461" t="n">
        <v>0</v>
      </c>
      <c r="K461" t="n">
        <v>0</v>
      </c>
      <c r="L461" t="n">
        <v>0</v>
      </c>
      <c r="M461" t="n">
        <v>0</v>
      </c>
      <c r="N461" t="n">
        <v>0</v>
      </c>
      <c r="O461" t="n">
        <v>0</v>
      </c>
      <c r="P461" t="n">
        <v>0</v>
      </c>
      <c r="Q461" t="n">
        <v>0</v>
      </c>
      <c r="R461" s="2" t="inlineStr"/>
    </row>
    <row r="462" ht="15" customHeight="1">
      <c r="A462" t="inlineStr">
        <is>
          <t>A 4940-2025</t>
        </is>
      </c>
      <c r="B462" s="1" t="n">
        <v>45688.69949074074</v>
      </c>
      <c r="C462" s="1" t="n">
        <v>45913</v>
      </c>
      <c r="D462" t="inlineStr">
        <is>
          <t>NORRBOTTENS LÄN</t>
        </is>
      </c>
      <c r="E462" t="inlineStr">
        <is>
          <t>LULEÅ</t>
        </is>
      </c>
      <c r="G462" t="n">
        <v>1.8</v>
      </c>
      <c r="H462" t="n">
        <v>0</v>
      </c>
      <c r="I462" t="n">
        <v>0</v>
      </c>
      <c r="J462" t="n">
        <v>0</v>
      </c>
      <c r="K462" t="n">
        <v>0</v>
      </c>
      <c r="L462" t="n">
        <v>0</v>
      </c>
      <c r="M462" t="n">
        <v>0</v>
      </c>
      <c r="N462" t="n">
        <v>0</v>
      </c>
      <c r="O462" t="n">
        <v>0</v>
      </c>
      <c r="P462" t="n">
        <v>0</v>
      </c>
      <c r="Q462" t="n">
        <v>0</v>
      </c>
      <c r="R462" s="2" t="inlineStr"/>
    </row>
    <row r="463" ht="15" customHeight="1">
      <c r="A463" t="inlineStr">
        <is>
          <t>A 17176-2024</t>
        </is>
      </c>
      <c r="B463" s="1" t="n">
        <v>45412</v>
      </c>
      <c r="C463" s="1" t="n">
        <v>45913</v>
      </c>
      <c r="D463" t="inlineStr">
        <is>
          <t>NORRBOTTENS LÄN</t>
        </is>
      </c>
      <c r="E463" t="inlineStr">
        <is>
          <t>LULEÅ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6018-2021</t>
        </is>
      </c>
      <c r="B464" s="1" t="n">
        <v>44231.9415625</v>
      </c>
      <c r="C464" s="1" t="n">
        <v>45913</v>
      </c>
      <c r="D464" t="inlineStr">
        <is>
          <t>NORRBOTTENS LÄN</t>
        </is>
      </c>
      <c r="E464" t="inlineStr">
        <is>
          <t>LULEÅ</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57826-2022</t>
        </is>
      </c>
      <c r="B465" s="1" t="n">
        <v>44897</v>
      </c>
      <c r="C465" s="1" t="n">
        <v>45913</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7168-2025</t>
        </is>
      </c>
      <c r="B466" s="1" t="n">
        <v>45702.40306712963</v>
      </c>
      <c r="C466" s="1" t="n">
        <v>45913</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33651-2025</t>
        </is>
      </c>
      <c r="B467" s="1" t="n">
        <v>45841.65722222222</v>
      </c>
      <c r="C467" s="1" t="n">
        <v>45913</v>
      </c>
      <c r="D467" t="inlineStr">
        <is>
          <t>NORRBOTTENS LÄN</t>
        </is>
      </c>
      <c r="E467" t="inlineStr">
        <is>
          <t>LULEÅ</t>
        </is>
      </c>
      <c r="G467" t="n">
        <v>15.5</v>
      </c>
      <c r="H467" t="n">
        <v>0</v>
      </c>
      <c r="I467" t="n">
        <v>0</v>
      </c>
      <c r="J467" t="n">
        <v>0</v>
      </c>
      <c r="K467" t="n">
        <v>0</v>
      </c>
      <c r="L467" t="n">
        <v>0</v>
      </c>
      <c r="M467" t="n">
        <v>0</v>
      </c>
      <c r="N467" t="n">
        <v>0</v>
      </c>
      <c r="O467" t="n">
        <v>0</v>
      </c>
      <c r="P467" t="n">
        <v>0</v>
      </c>
      <c r="Q467" t="n">
        <v>0</v>
      </c>
      <c r="R467" s="2" t="inlineStr"/>
    </row>
    <row r="468" ht="15" customHeight="1">
      <c r="A468" t="inlineStr">
        <is>
          <t>A 20063-2023</t>
        </is>
      </c>
      <c r="B468" s="1" t="n">
        <v>45054</v>
      </c>
      <c r="C468" s="1" t="n">
        <v>45913</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37304-2024</t>
        </is>
      </c>
      <c r="B469" s="1" t="n">
        <v>45540</v>
      </c>
      <c r="C469" s="1" t="n">
        <v>45913</v>
      </c>
      <c r="D469" t="inlineStr">
        <is>
          <t>NORRBOTTENS LÄN</t>
        </is>
      </c>
      <c r="E469" t="inlineStr">
        <is>
          <t>LULEÅ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23744-2023</t>
        </is>
      </c>
      <c r="B470" s="1" t="n">
        <v>45077.82532407407</v>
      </c>
      <c r="C470" s="1" t="n">
        <v>45913</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61510-2024</t>
        </is>
      </c>
      <c r="B471" s="1" t="n">
        <v>45646.56674768519</v>
      </c>
      <c r="C471" s="1" t="n">
        <v>45913</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4547-2025</t>
        </is>
      </c>
      <c r="B472" s="1" t="n">
        <v>45687.40212962963</v>
      </c>
      <c r="C472" s="1" t="n">
        <v>45913</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10611-2025</t>
        </is>
      </c>
      <c r="B473" s="1" t="n">
        <v>45721</v>
      </c>
      <c r="C473" s="1" t="n">
        <v>45913</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6269-2023</t>
        </is>
      </c>
      <c r="B474" s="1" t="n">
        <v>44960</v>
      </c>
      <c r="C474" s="1" t="n">
        <v>45913</v>
      </c>
      <c r="D474" t="inlineStr">
        <is>
          <t>NORRBOTTENS LÄN</t>
        </is>
      </c>
      <c r="E474" t="inlineStr">
        <is>
          <t>LULEÅ</t>
        </is>
      </c>
      <c r="G474" t="n">
        <v>2.6</v>
      </c>
      <c r="H474" t="n">
        <v>0</v>
      </c>
      <c r="I474" t="n">
        <v>0</v>
      </c>
      <c r="J474" t="n">
        <v>0</v>
      </c>
      <c r="K474" t="n">
        <v>0</v>
      </c>
      <c r="L474" t="n">
        <v>0</v>
      </c>
      <c r="M474" t="n">
        <v>0</v>
      </c>
      <c r="N474" t="n">
        <v>0</v>
      </c>
      <c r="O474" t="n">
        <v>0</v>
      </c>
      <c r="P474" t="n">
        <v>0</v>
      </c>
      <c r="Q474" t="n">
        <v>0</v>
      </c>
      <c r="R474" s="2" t="inlineStr"/>
    </row>
    <row r="475" ht="15" customHeight="1">
      <c r="A475" t="inlineStr">
        <is>
          <t>A 57815-2022</t>
        </is>
      </c>
      <c r="B475" s="1" t="n">
        <v>44897.92459490741</v>
      </c>
      <c r="C475" s="1" t="n">
        <v>45913</v>
      </c>
      <c r="D475" t="inlineStr">
        <is>
          <t>NORRBOTTENS LÄN</t>
        </is>
      </c>
      <c r="E475" t="inlineStr">
        <is>
          <t>LULEÅ</t>
        </is>
      </c>
      <c r="G475" t="n">
        <v>2.4</v>
      </c>
      <c r="H475" t="n">
        <v>0</v>
      </c>
      <c r="I475" t="n">
        <v>0</v>
      </c>
      <c r="J475" t="n">
        <v>0</v>
      </c>
      <c r="K475" t="n">
        <v>0</v>
      </c>
      <c r="L475" t="n">
        <v>0</v>
      </c>
      <c r="M475" t="n">
        <v>0</v>
      </c>
      <c r="N475" t="n">
        <v>0</v>
      </c>
      <c r="O475" t="n">
        <v>0</v>
      </c>
      <c r="P475" t="n">
        <v>0</v>
      </c>
      <c r="Q475" t="n">
        <v>0</v>
      </c>
      <c r="R475" s="2" t="inlineStr"/>
    </row>
    <row r="476" ht="15" customHeight="1">
      <c r="A476" t="inlineStr">
        <is>
          <t>A 25791-2024</t>
        </is>
      </c>
      <c r="B476" s="1" t="n">
        <v>45463</v>
      </c>
      <c r="C476" s="1" t="n">
        <v>45913</v>
      </c>
      <c r="D476" t="inlineStr">
        <is>
          <t>NORRBOTTENS LÄN</t>
        </is>
      </c>
      <c r="E476" t="inlineStr">
        <is>
          <t>LULEÅ</t>
        </is>
      </c>
      <c r="G476" t="n">
        <v>3.6</v>
      </c>
      <c r="H476" t="n">
        <v>0</v>
      </c>
      <c r="I476" t="n">
        <v>0</v>
      </c>
      <c r="J476" t="n">
        <v>0</v>
      </c>
      <c r="K476" t="n">
        <v>0</v>
      </c>
      <c r="L476" t="n">
        <v>0</v>
      </c>
      <c r="M476" t="n">
        <v>0</v>
      </c>
      <c r="N476" t="n">
        <v>0</v>
      </c>
      <c r="O476" t="n">
        <v>0</v>
      </c>
      <c r="P476" t="n">
        <v>0</v>
      </c>
      <c r="Q476" t="n">
        <v>0</v>
      </c>
      <c r="R476" s="2" t="inlineStr"/>
    </row>
    <row r="477" ht="15" customHeight="1">
      <c r="A477" t="inlineStr">
        <is>
          <t>A 42822-2024</t>
        </is>
      </c>
      <c r="B477" s="1" t="n">
        <v>45566.59611111111</v>
      </c>
      <c r="C477" s="1" t="n">
        <v>45913</v>
      </c>
      <c r="D477" t="inlineStr">
        <is>
          <t>NORRBOTTENS LÄN</t>
        </is>
      </c>
      <c r="E477" t="inlineStr">
        <is>
          <t>LULEÅ</t>
        </is>
      </c>
      <c r="G477" t="n">
        <v>2.3</v>
      </c>
      <c r="H477" t="n">
        <v>0</v>
      </c>
      <c r="I477" t="n">
        <v>0</v>
      </c>
      <c r="J477" t="n">
        <v>0</v>
      </c>
      <c r="K477" t="n">
        <v>0</v>
      </c>
      <c r="L477" t="n">
        <v>0</v>
      </c>
      <c r="M477" t="n">
        <v>0</v>
      </c>
      <c r="N477" t="n">
        <v>0</v>
      </c>
      <c r="O477" t="n">
        <v>0</v>
      </c>
      <c r="P477" t="n">
        <v>0</v>
      </c>
      <c r="Q477" t="n">
        <v>0</v>
      </c>
      <c r="R477" s="2" t="inlineStr"/>
    </row>
    <row r="478" ht="15" customHeight="1">
      <c r="A478" t="inlineStr">
        <is>
          <t>A 38712-2025</t>
        </is>
      </c>
      <c r="B478" s="1" t="n">
        <v>45886.34465277778</v>
      </c>
      <c r="C478" s="1" t="n">
        <v>45913</v>
      </c>
      <c r="D478" t="inlineStr">
        <is>
          <t>NORRBOTTENS LÄN</t>
        </is>
      </c>
      <c r="E478" t="inlineStr">
        <is>
          <t>LULEÅ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38683-2025</t>
        </is>
      </c>
      <c r="B479" s="1" t="n">
        <v>45884.65483796296</v>
      </c>
      <c r="C479" s="1" t="n">
        <v>45913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38841-2025</t>
        </is>
      </c>
      <c r="B480" s="1" t="n">
        <v>45887.53751157408</v>
      </c>
      <c r="C480" s="1" t="n">
        <v>45913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17900-2025</t>
        </is>
      </c>
      <c r="B481" s="1" t="n">
        <v>45758.69837962963</v>
      </c>
      <c r="C481" s="1" t="n">
        <v>45913</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38714-2025</t>
        </is>
      </c>
      <c r="B482" s="1" t="n">
        <v>45886.34490740741</v>
      </c>
      <c r="C482" s="1" t="n">
        <v>45913</v>
      </c>
      <c r="D482" t="inlineStr">
        <is>
          <t>NORRBOTTENS LÄN</t>
        </is>
      </c>
      <c r="E482" t="inlineStr">
        <is>
          <t>LULEÅ</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26234-2023</t>
        </is>
      </c>
      <c r="B483" s="1" t="n">
        <v>45086</v>
      </c>
      <c r="C483" s="1" t="n">
        <v>45913</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61557-2024</t>
        </is>
      </c>
      <c r="B484" s="1" t="n">
        <v>45646.61081018519</v>
      </c>
      <c r="C484" s="1" t="n">
        <v>45913</v>
      </c>
      <c r="D484" t="inlineStr">
        <is>
          <t>NORRBOTTENS LÄN</t>
        </is>
      </c>
      <c r="E484" t="inlineStr">
        <is>
          <t>LULEÅ</t>
        </is>
      </c>
      <c r="G484" t="n">
        <v>2</v>
      </c>
      <c r="H484" t="n">
        <v>0</v>
      </c>
      <c r="I484" t="n">
        <v>0</v>
      </c>
      <c r="J484" t="n">
        <v>0</v>
      </c>
      <c r="K484" t="n">
        <v>0</v>
      </c>
      <c r="L484" t="n">
        <v>0</v>
      </c>
      <c r="M484" t="n">
        <v>0</v>
      </c>
      <c r="N484" t="n">
        <v>0</v>
      </c>
      <c r="O484" t="n">
        <v>0</v>
      </c>
      <c r="P484" t="n">
        <v>0</v>
      </c>
      <c r="Q484" t="n">
        <v>0</v>
      </c>
      <c r="R484" s="2" t="inlineStr"/>
    </row>
    <row r="485" ht="15" customHeight="1">
      <c r="A485" t="inlineStr">
        <is>
          <t>A 52698-2024</t>
        </is>
      </c>
      <c r="B485" s="1" t="n">
        <v>45610</v>
      </c>
      <c r="C485" s="1" t="n">
        <v>45913</v>
      </c>
      <c r="D485" t="inlineStr">
        <is>
          <t>NORRBOTTENS LÄN</t>
        </is>
      </c>
      <c r="E485" t="inlineStr">
        <is>
          <t>LULEÅ</t>
        </is>
      </c>
      <c r="G485" t="n">
        <v>8.9</v>
      </c>
      <c r="H485" t="n">
        <v>0</v>
      </c>
      <c r="I485" t="n">
        <v>0</v>
      </c>
      <c r="J485" t="n">
        <v>0</v>
      </c>
      <c r="K485" t="n">
        <v>0</v>
      </c>
      <c r="L485" t="n">
        <v>0</v>
      </c>
      <c r="M485" t="n">
        <v>0</v>
      </c>
      <c r="N485" t="n">
        <v>0</v>
      </c>
      <c r="O485" t="n">
        <v>0</v>
      </c>
      <c r="P485" t="n">
        <v>0</v>
      </c>
      <c r="Q485" t="n">
        <v>0</v>
      </c>
      <c r="R485" s="2" t="inlineStr"/>
    </row>
    <row r="486" ht="15" customHeight="1">
      <c r="A486" t="inlineStr">
        <is>
          <t>A 38936-2025</t>
        </is>
      </c>
      <c r="B486" s="1" t="n">
        <v>45884</v>
      </c>
      <c r="C486" s="1" t="n">
        <v>45913</v>
      </c>
      <c r="D486" t="inlineStr">
        <is>
          <t>NORRBOTTENS LÄN</t>
        </is>
      </c>
      <c r="E486" t="inlineStr">
        <is>
          <t>LULEÅ</t>
        </is>
      </c>
      <c r="G486" t="n">
        <v>2</v>
      </c>
      <c r="H486" t="n">
        <v>0</v>
      </c>
      <c r="I486" t="n">
        <v>0</v>
      </c>
      <c r="J486" t="n">
        <v>0</v>
      </c>
      <c r="K486" t="n">
        <v>0</v>
      </c>
      <c r="L486" t="n">
        <v>0</v>
      </c>
      <c r="M486" t="n">
        <v>0</v>
      </c>
      <c r="N486" t="n">
        <v>0</v>
      </c>
      <c r="O486" t="n">
        <v>0</v>
      </c>
      <c r="P486" t="n">
        <v>0</v>
      </c>
      <c r="Q486" t="n">
        <v>0</v>
      </c>
      <c r="R486" s="2" t="inlineStr"/>
    </row>
    <row r="487" ht="15" customHeight="1">
      <c r="A487" t="inlineStr">
        <is>
          <t>A 7417-2021</t>
        </is>
      </c>
      <c r="B487" s="1" t="n">
        <v>44239</v>
      </c>
      <c r="C487" s="1" t="n">
        <v>45913</v>
      </c>
      <c r="D487" t="inlineStr">
        <is>
          <t>NORRBOTTENS LÄN</t>
        </is>
      </c>
      <c r="E487" t="inlineStr">
        <is>
          <t>LULEÅ</t>
        </is>
      </c>
      <c r="G487" t="n">
        <v>2.2</v>
      </c>
      <c r="H487" t="n">
        <v>0</v>
      </c>
      <c r="I487" t="n">
        <v>0</v>
      </c>
      <c r="J487" t="n">
        <v>0</v>
      </c>
      <c r="K487" t="n">
        <v>0</v>
      </c>
      <c r="L487" t="n">
        <v>0</v>
      </c>
      <c r="M487" t="n">
        <v>0</v>
      </c>
      <c r="N487" t="n">
        <v>0</v>
      </c>
      <c r="O487" t="n">
        <v>0</v>
      </c>
      <c r="P487" t="n">
        <v>0</v>
      </c>
      <c r="Q487" t="n">
        <v>0</v>
      </c>
      <c r="R487" s="2" t="inlineStr"/>
    </row>
    <row r="488" ht="15" customHeight="1">
      <c r="A488" t="inlineStr">
        <is>
          <t>A 57764-2022</t>
        </is>
      </c>
      <c r="B488" s="1" t="n">
        <v>44890</v>
      </c>
      <c r="C488" s="1" t="n">
        <v>45913</v>
      </c>
      <c r="D488" t="inlineStr">
        <is>
          <t>NORRBOTTENS LÄN</t>
        </is>
      </c>
      <c r="E488" t="inlineStr">
        <is>
          <t>LULEÅ</t>
        </is>
      </c>
      <c r="G488" t="n">
        <v>4.3</v>
      </c>
      <c r="H488" t="n">
        <v>0</v>
      </c>
      <c r="I488" t="n">
        <v>0</v>
      </c>
      <c r="J488" t="n">
        <v>0</v>
      </c>
      <c r="K488" t="n">
        <v>0</v>
      </c>
      <c r="L488" t="n">
        <v>0</v>
      </c>
      <c r="M488" t="n">
        <v>0</v>
      </c>
      <c r="N488" t="n">
        <v>0</v>
      </c>
      <c r="O488" t="n">
        <v>0</v>
      </c>
      <c r="P488" t="n">
        <v>0</v>
      </c>
      <c r="Q488" t="n">
        <v>0</v>
      </c>
      <c r="R488" s="2" t="inlineStr"/>
    </row>
    <row r="489" ht="15" customHeight="1">
      <c r="A489" t="inlineStr">
        <is>
          <t>A 62701-2022</t>
        </is>
      </c>
      <c r="B489" s="1" t="n">
        <v>44917</v>
      </c>
      <c r="C489" s="1" t="n">
        <v>45913</v>
      </c>
      <c r="D489" t="inlineStr">
        <is>
          <t>NORRBOTTENS LÄN</t>
        </is>
      </c>
      <c r="E489" t="inlineStr">
        <is>
          <t>LULEÅ</t>
        </is>
      </c>
      <c r="G489" t="n">
        <v>0.5</v>
      </c>
      <c r="H489" t="n">
        <v>0</v>
      </c>
      <c r="I489" t="n">
        <v>0</v>
      </c>
      <c r="J489" t="n">
        <v>0</v>
      </c>
      <c r="K489" t="n">
        <v>0</v>
      </c>
      <c r="L489" t="n">
        <v>0</v>
      </c>
      <c r="M489" t="n">
        <v>0</v>
      </c>
      <c r="N489" t="n">
        <v>0</v>
      </c>
      <c r="O489" t="n">
        <v>0</v>
      </c>
      <c r="P489" t="n">
        <v>0</v>
      </c>
      <c r="Q489" t="n">
        <v>0</v>
      </c>
      <c r="R489" s="2" t="inlineStr"/>
    </row>
    <row r="490" ht="15" customHeight="1">
      <c r="A490" t="inlineStr">
        <is>
          <t>A 38685-2025</t>
        </is>
      </c>
      <c r="B490" s="1" t="n">
        <v>45884.65607638889</v>
      </c>
      <c r="C490" s="1" t="n">
        <v>45913</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1002-2025</t>
        </is>
      </c>
      <c r="B491" s="1" t="n">
        <v>45665</v>
      </c>
      <c r="C491" s="1" t="n">
        <v>45913</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8229-2024</t>
        </is>
      </c>
      <c r="B492" s="1" t="n">
        <v>45351</v>
      </c>
      <c r="C492" s="1" t="n">
        <v>45913</v>
      </c>
      <c r="D492" t="inlineStr">
        <is>
          <t>NORRBOTTENS LÄN</t>
        </is>
      </c>
      <c r="E492" t="inlineStr">
        <is>
          <t>LULEÅ</t>
        </is>
      </c>
      <c r="G492" t="n">
        <v>14.8</v>
      </c>
      <c r="H492" t="n">
        <v>0</v>
      </c>
      <c r="I492" t="n">
        <v>0</v>
      </c>
      <c r="J492" t="n">
        <v>0</v>
      </c>
      <c r="K492" t="n">
        <v>0</v>
      </c>
      <c r="L492" t="n">
        <v>0</v>
      </c>
      <c r="M492" t="n">
        <v>0</v>
      </c>
      <c r="N492" t="n">
        <v>0</v>
      </c>
      <c r="O492" t="n">
        <v>0</v>
      </c>
      <c r="P492" t="n">
        <v>0</v>
      </c>
      <c r="Q492" t="n">
        <v>0</v>
      </c>
      <c r="R492" s="2" t="inlineStr"/>
    </row>
    <row r="493" ht="15" customHeight="1">
      <c r="A493" t="inlineStr">
        <is>
          <t>A 433-2022</t>
        </is>
      </c>
      <c r="B493" s="1" t="n">
        <v>44565.92903935185</v>
      </c>
      <c r="C493" s="1" t="n">
        <v>45913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29457-2023</t>
        </is>
      </c>
      <c r="B494" s="1" t="n">
        <v>45106</v>
      </c>
      <c r="C494" s="1" t="n">
        <v>45913</v>
      </c>
      <c r="D494" t="inlineStr">
        <is>
          <t>NORRBOTTENS LÄN</t>
        </is>
      </c>
      <c r="E494" t="inlineStr">
        <is>
          <t>LULEÅ</t>
        </is>
      </c>
      <c r="G494" t="n">
        <v>7</v>
      </c>
      <c r="H494" t="n">
        <v>0</v>
      </c>
      <c r="I494" t="n">
        <v>0</v>
      </c>
      <c r="J494" t="n">
        <v>0</v>
      </c>
      <c r="K494" t="n">
        <v>0</v>
      </c>
      <c r="L494" t="n">
        <v>0</v>
      </c>
      <c r="M494" t="n">
        <v>0</v>
      </c>
      <c r="N494" t="n">
        <v>0</v>
      </c>
      <c r="O494" t="n">
        <v>0</v>
      </c>
      <c r="P494" t="n">
        <v>0</v>
      </c>
      <c r="Q494" t="n">
        <v>0</v>
      </c>
      <c r="R494" s="2" t="inlineStr"/>
    </row>
    <row r="495" ht="15" customHeight="1">
      <c r="A495" t="inlineStr">
        <is>
          <t>A 20340-2023</t>
        </is>
      </c>
      <c r="B495" s="1" t="n">
        <v>45054</v>
      </c>
      <c r="C495" s="1" t="n">
        <v>45913</v>
      </c>
      <c r="D495" t="inlineStr">
        <is>
          <t>NORRBOTTENS LÄN</t>
        </is>
      </c>
      <c r="E495" t="inlineStr">
        <is>
          <t>LULEÅ</t>
        </is>
      </c>
      <c r="G495" t="n">
        <v>65</v>
      </c>
      <c r="H495" t="n">
        <v>0</v>
      </c>
      <c r="I495" t="n">
        <v>0</v>
      </c>
      <c r="J495" t="n">
        <v>0</v>
      </c>
      <c r="K495" t="n">
        <v>0</v>
      </c>
      <c r="L495" t="n">
        <v>0</v>
      </c>
      <c r="M495" t="n">
        <v>0</v>
      </c>
      <c r="N495" t="n">
        <v>0</v>
      </c>
      <c r="O495" t="n">
        <v>0</v>
      </c>
      <c r="P495" t="n">
        <v>0</v>
      </c>
      <c r="Q495" t="n">
        <v>0</v>
      </c>
      <c r="R495" s="2" t="inlineStr"/>
    </row>
    <row r="496" ht="15" customHeight="1">
      <c r="A496" t="inlineStr">
        <is>
          <t>A 30787-2024</t>
        </is>
      </c>
      <c r="B496" s="1" t="n">
        <v>45496.95108796296</v>
      </c>
      <c r="C496" s="1" t="n">
        <v>45913</v>
      </c>
      <c r="D496" t="inlineStr">
        <is>
          <t>NORRBOTTENS LÄN</t>
        </is>
      </c>
      <c r="E496" t="inlineStr">
        <is>
          <t>LULEÅ</t>
        </is>
      </c>
      <c r="F496" t="inlineStr">
        <is>
          <t>Naturvårdsverket</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45913</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42854-2024</t>
        </is>
      </c>
      <c r="B498" s="1" t="n">
        <v>45566.64958333333</v>
      </c>
      <c r="C498" s="1" t="n">
        <v>45913</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39531-2025</t>
        </is>
      </c>
      <c r="B499" s="1" t="n">
        <v>45890.44831018519</v>
      </c>
      <c r="C499" s="1" t="n">
        <v>45913</v>
      </c>
      <c r="D499" t="inlineStr">
        <is>
          <t>NORRBOTTENS LÄN</t>
        </is>
      </c>
      <c r="E499" t="inlineStr">
        <is>
          <t>LULEÅ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39550-2025</t>
        </is>
      </c>
      <c r="B500" s="1" t="n">
        <v>45890.46265046296</v>
      </c>
      <c r="C500" s="1" t="n">
        <v>45913</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19533-2025</t>
        </is>
      </c>
      <c r="B501" s="1" t="n">
        <v>45770.47331018518</v>
      </c>
      <c r="C501" s="1" t="n">
        <v>45913</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15848-2022</t>
        </is>
      </c>
      <c r="B502" s="1" t="n">
        <v>44664</v>
      </c>
      <c r="C502" s="1" t="n">
        <v>45913</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34565-2025</t>
        </is>
      </c>
      <c r="B503" s="1" t="n">
        <v>45847</v>
      </c>
      <c r="C503" s="1" t="n">
        <v>45913</v>
      </c>
      <c r="D503" t="inlineStr">
        <is>
          <t>NORRBOTTENS LÄN</t>
        </is>
      </c>
      <c r="E503" t="inlineStr">
        <is>
          <t>LULEÅ</t>
        </is>
      </c>
      <c r="G503" t="n">
        <v>10.2</v>
      </c>
      <c r="H503" t="n">
        <v>0</v>
      </c>
      <c r="I503" t="n">
        <v>0</v>
      </c>
      <c r="J503" t="n">
        <v>0</v>
      </c>
      <c r="K503" t="n">
        <v>0</v>
      </c>
      <c r="L503" t="n">
        <v>0</v>
      </c>
      <c r="M503" t="n">
        <v>0</v>
      </c>
      <c r="N503" t="n">
        <v>0</v>
      </c>
      <c r="O503" t="n">
        <v>0</v>
      </c>
      <c r="P503" t="n">
        <v>0</v>
      </c>
      <c r="Q503" t="n">
        <v>0</v>
      </c>
      <c r="R503" s="2" t="inlineStr"/>
    </row>
    <row r="504" ht="15" customHeight="1">
      <c r="A504" t="inlineStr">
        <is>
          <t>A 34655-2025</t>
        </is>
      </c>
      <c r="B504" s="1" t="n">
        <v>45847</v>
      </c>
      <c r="C504" s="1" t="n">
        <v>45913</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39269-2025</t>
        </is>
      </c>
      <c r="B505" s="1" t="n">
        <v>45889.38579861111</v>
      </c>
      <c r="C505" s="1" t="n">
        <v>45913</v>
      </c>
      <c r="D505" t="inlineStr">
        <is>
          <t>NORRBOTTENS LÄN</t>
        </is>
      </c>
      <c r="E505" t="inlineStr">
        <is>
          <t>LULEÅ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44005-2024</t>
        </is>
      </c>
      <c r="B506" s="1" t="n">
        <v>45572.54814814815</v>
      </c>
      <c r="C506" s="1" t="n">
        <v>45913</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39644-2025</t>
        </is>
      </c>
      <c r="B507" s="1" t="n">
        <v>45890.61241898148</v>
      </c>
      <c r="C507" s="1" t="n">
        <v>45913</v>
      </c>
      <c r="D507" t="inlineStr">
        <is>
          <t>NORRBOTTENS LÄN</t>
        </is>
      </c>
      <c r="E507" t="inlineStr">
        <is>
          <t>LULEÅ</t>
        </is>
      </c>
      <c r="G507" t="n">
        <v>4.6</v>
      </c>
      <c r="H507" t="n">
        <v>0</v>
      </c>
      <c r="I507" t="n">
        <v>0</v>
      </c>
      <c r="J507" t="n">
        <v>0</v>
      </c>
      <c r="K507" t="n">
        <v>0</v>
      </c>
      <c r="L507" t="n">
        <v>0</v>
      </c>
      <c r="M507" t="n">
        <v>0</v>
      </c>
      <c r="N507" t="n">
        <v>0</v>
      </c>
      <c r="O507" t="n">
        <v>0</v>
      </c>
      <c r="P507" t="n">
        <v>0</v>
      </c>
      <c r="Q507" t="n">
        <v>0</v>
      </c>
      <c r="R507" s="2" t="inlineStr"/>
    </row>
    <row r="508" ht="15" customHeight="1">
      <c r="A508" t="inlineStr">
        <is>
          <t>A 50632-2021</t>
        </is>
      </c>
      <c r="B508" s="1" t="n">
        <v>44459</v>
      </c>
      <c r="C508" s="1" t="n">
        <v>45913</v>
      </c>
      <c r="D508" t="inlineStr">
        <is>
          <t>NORRBOTTENS LÄN</t>
        </is>
      </c>
      <c r="E508" t="inlineStr">
        <is>
          <t>LULEÅ</t>
        </is>
      </c>
      <c r="G508" t="n">
        <v>3.5</v>
      </c>
      <c r="H508" t="n">
        <v>0</v>
      </c>
      <c r="I508" t="n">
        <v>0</v>
      </c>
      <c r="J508" t="n">
        <v>0</v>
      </c>
      <c r="K508" t="n">
        <v>0</v>
      </c>
      <c r="L508" t="n">
        <v>0</v>
      </c>
      <c r="M508" t="n">
        <v>0</v>
      </c>
      <c r="N508" t="n">
        <v>0</v>
      </c>
      <c r="O508" t="n">
        <v>0</v>
      </c>
      <c r="P508" t="n">
        <v>0</v>
      </c>
      <c r="Q508" t="n">
        <v>0</v>
      </c>
      <c r="R508" s="2" t="inlineStr"/>
    </row>
    <row r="509" ht="15" customHeight="1">
      <c r="A509" t="inlineStr">
        <is>
          <t>A 60106-2024</t>
        </is>
      </c>
      <c r="B509" s="1" t="n">
        <v>45642.56950231481</v>
      </c>
      <c r="C509" s="1" t="n">
        <v>45913</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12685-2023</t>
        </is>
      </c>
      <c r="B510" s="1" t="n">
        <v>44999</v>
      </c>
      <c r="C510" s="1" t="n">
        <v>45913</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42102-2024</t>
        </is>
      </c>
      <c r="B511" s="1" t="n">
        <v>45562.35875</v>
      </c>
      <c r="C511" s="1" t="n">
        <v>45913</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42422-2024</t>
        </is>
      </c>
      <c r="B512" s="1" t="n">
        <v>45565.38912037037</v>
      </c>
      <c r="C512" s="1" t="n">
        <v>45913</v>
      </c>
      <c r="D512" t="inlineStr">
        <is>
          <t>NORRBOTTENS LÄN</t>
        </is>
      </c>
      <c r="E512" t="inlineStr">
        <is>
          <t>LULEÅ</t>
        </is>
      </c>
      <c r="G512" t="n">
        <v>0.5</v>
      </c>
      <c r="H512" t="n">
        <v>0</v>
      </c>
      <c r="I512" t="n">
        <v>0</v>
      </c>
      <c r="J512" t="n">
        <v>0</v>
      </c>
      <c r="K512" t="n">
        <v>0</v>
      </c>
      <c r="L512" t="n">
        <v>0</v>
      </c>
      <c r="M512" t="n">
        <v>0</v>
      </c>
      <c r="N512" t="n">
        <v>0</v>
      </c>
      <c r="O512" t="n">
        <v>0</v>
      </c>
      <c r="P512" t="n">
        <v>0</v>
      </c>
      <c r="Q512" t="n">
        <v>0</v>
      </c>
      <c r="R512" s="2" t="inlineStr"/>
    </row>
    <row r="513" ht="15" customHeight="1">
      <c r="A513" t="inlineStr">
        <is>
          <t>A 42426-2024</t>
        </is>
      </c>
      <c r="B513" s="1" t="n">
        <v>45565.39958333333</v>
      </c>
      <c r="C513" s="1" t="n">
        <v>45913</v>
      </c>
      <c r="D513" t="inlineStr">
        <is>
          <t>NORRBOTTENS LÄN</t>
        </is>
      </c>
      <c r="E513" t="inlineStr">
        <is>
          <t>LULEÅ</t>
        </is>
      </c>
      <c r="G513" t="n">
        <v>0.5</v>
      </c>
      <c r="H513" t="n">
        <v>0</v>
      </c>
      <c r="I513" t="n">
        <v>0</v>
      </c>
      <c r="J513" t="n">
        <v>0</v>
      </c>
      <c r="K513" t="n">
        <v>0</v>
      </c>
      <c r="L513" t="n">
        <v>0</v>
      </c>
      <c r="M513" t="n">
        <v>0</v>
      </c>
      <c r="N513" t="n">
        <v>0</v>
      </c>
      <c r="O513" t="n">
        <v>0</v>
      </c>
      <c r="P513" t="n">
        <v>0</v>
      </c>
      <c r="Q513" t="n">
        <v>0</v>
      </c>
      <c r="R513" s="2" t="inlineStr"/>
    </row>
    <row r="514" ht="15" customHeight="1">
      <c r="A514" t="inlineStr">
        <is>
          <t>A 41707-2024</t>
        </is>
      </c>
      <c r="B514" s="1" t="n">
        <v>45560.69846064815</v>
      </c>
      <c r="C514" s="1" t="n">
        <v>45913</v>
      </c>
      <c r="D514" t="inlineStr">
        <is>
          <t>NORRBOTTENS LÄN</t>
        </is>
      </c>
      <c r="E514" t="inlineStr">
        <is>
          <t>LULEÅ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45913</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61315-2022</t>
        </is>
      </c>
      <c r="B516" s="1" t="n">
        <v>44909</v>
      </c>
      <c r="C516" s="1" t="n">
        <v>45913</v>
      </c>
      <c r="D516" t="inlineStr">
        <is>
          <t>NORRBOTTENS LÄN</t>
        </is>
      </c>
      <c r="E516" t="inlineStr">
        <is>
          <t>LULEÅ</t>
        </is>
      </c>
      <c r="G516" t="n">
        <v>2.8</v>
      </c>
      <c r="H516" t="n">
        <v>0</v>
      </c>
      <c r="I516" t="n">
        <v>0</v>
      </c>
      <c r="J516" t="n">
        <v>0</v>
      </c>
      <c r="K516" t="n">
        <v>0</v>
      </c>
      <c r="L516" t="n">
        <v>0</v>
      </c>
      <c r="M516" t="n">
        <v>0</v>
      </c>
      <c r="N516" t="n">
        <v>0</v>
      </c>
      <c r="O516" t="n">
        <v>0</v>
      </c>
      <c r="P516" t="n">
        <v>0</v>
      </c>
      <c r="Q516" t="n">
        <v>0</v>
      </c>
      <c r="R516" s="2" t="inlineStr"/>
    </row>
    <row r="517" ht="15" customHeight="1">
      <c r="A517" t="inlineStr">
        <is>
          <t>A 11178-2023</t>
        </is>
      </c>
      <c r="B517" s="1" t="n">
        <v>44987</v>
      </c>
      <c r="C517" s="1" t="n">
        <v>45913</v>
      </c>
      <c r="D517" t="inlineStr">
        <is>
          <t>NORRBOTTENS LÄN</t>
        </is>
      </c>
      <c r="E517" t="inlineStr">
        <is>
          <t>LULEÅ</t>
        </is>
      </c>
      <c r="G517" t="n">
        <v>4.7</v>
      </c>
      <c r="H517" t="n">
        <v>0</v>
      </c>
      <c r="I517" t="n">
        <v>0</v>
      </c>
      <c r="J517" t="n">
        <v>0</v>
      </c>
      <c r="K517" t="n">
        <v>0</v>
      </c>
      <c r="L517" t="n">
        <v>0</v>
      </c>
      <c r="M517" t="n">
        <v>0</v>
      </c>
      <c r="N517" t="n">
        <v>0</v>
      </c>
      <c r="O517" t="n">
        <v>0</v>
      </c>
      <c r="P517" t="n">
        <v>0</v>
      </c>
      <c r="Q517" t="n">
        <v>0</v>
      </c>
      <c r="R517" s="2" t="inlineStr"/>
    </row>
    <row r="518" ht="15" customHeight="1">
      <c r="A518" t="inlineStr">
        <is>
          <t>A 4347-2025</t>
        </is>
      </c>
      <c r="B518" s="1" t="n">
        <v>45685.92931712963</v>
      </c>
      <c r="C518" s="1" t="n">
        <v>45913</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40644-2025</t>
        </is>
      </c>
      <c r="B519" s="1" t="n">
        <v>45896.6166087963</v>
      </c>
      <c r="C519" s="1" t="n">
        <v>45913</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7306-2024</t>
        </is>
      </c>
      <c r="B520" s="1" t="n">
        <v>45344</v>
      </c>
      <c r="C520" s="1" t="n">
        <v>45913</v>
      </c>
      <c r="D520" t="inlineStr">
        <is>
          <t>NORRBOTTENS LÄN</t>
        </is>
      </c>
      <c r="E520" t="inlineStr">
        <is>
          <t>LULEÅ</t>
        </is>
      </c>
      <c r="G520" t="n">
        <v>29.2</v>
      </c>
      <c r="H520" t="n">
        <v>0</v>
      </c>
      <c r="I520" t="n">
        <v>0</v>
      </c>
      <c r="J520" t="n">
        <v>0</v>
      </c>
      <c r="K520" t="n">
        <v>0</v>
      </c>
      <c r="L520" t="n">
        <v>0</v>
      </c>
      <c r="M520" t="n">
        <v>0</v>
      </c>
      <c r="N520" t="n">
        <v>0</v>
      </c>
      <c r="O520" t="n">
        <v>0</v>
      </c>
      <c r="P520" t="n">
        <v>0</v>
      </c>
      <c r="Q520" t="n">
        <v>0</v>
      </c>
      <c r="R520" s="2" t="inlineStr"/>
    </row>
    <row r="521" ht="15" customHeight="1">
      <c r="A521" t="inlineStr">
        <is>
          <t>A 40643-2025</t>
        </is>
      </c>
      <c r="B521" s="1" t="n">
        <v>45896.61263888889</v>
      </c>
      <c r="C521" s="1" t="n">
        <v>45913</v>
      </c>
      <c r="D521" t="inlineStr">
        <is>
          <t>NORRBOTTENS LÄN</t>
        </is>
      </c>
      <c r="E521" t="inlineStr">
        <is>
          <t>LULEÅ</t>
        </is>
      </c>
      <c r="G521" t="n">
        <v>4.1</v>
      </c>
      <c r="H521" t="n">
        <v>0</v>
      </c>
      <c r="I521" t="n">
        <v>0</v>
      </c>
      <c r="J521" t="n">
        <v>0</v>
      </c>
      <c r="K521" t="n">
        <v>0</v>
      </c>
      <c r="L521" t="n">
        <v>0</v>
      </c>
      <c r="M521" t="n">
        <v>0</v>
      </c>
      <c r="N521" t="n">
        <v>0</v>
      </c>
      <c r="O521" t="n">
        <v>0</v>
      </c>
      <c r="P521" t="n">
        <v>0</v>
      </c>
      <c r="Q521" t="n">
        <v>0</v>
      </c>
      <c r="R521" s="2" t="inlineStr"/>
    </row>
    <row r="522" ht="15" customHeight="1">
      <c r="A522" t="inlineStr">
        <is>
          <t>A 40464-2025</t>
        </is>
      </c>
      <c r="B522" s="1" t="n">
        <v>45895.65347222222</v>
      </c>
      <c r="C522" s="1" t="n">
        <v>45913</v>
      </c>
      <c r="D522" t="inlineStr">
        <is>
          <t>NORRBOTTENS LÄN</t>
        </is>
      </c>
      <c r="E522" t="inlineStr">
        <is>
          <t>LULEÅ</t>
        </is>
      </c>
      <c r="G522" t="n">
        <v>6.9</v>
      </c>
      <c r="H522" t="n">
        <v>0</v>
      </c>
      <c r="I522" t="n">
        <v>0</v>
      </c>
      <c r="J522" t="n">
        <v>0</v>
      </c>
      <c r="K522" t="n">
        <v>0</v>
      </c>
      <c r="L522" t="n">
        <v>0</v>
      </c>
      <c r="M522" t="n">
        <v>0</v>
      </c>
      <c r="N522" t="n">
        <v>0</v>
      </c>
      <c r="O522" t="n">
        <v>0</v>
      </c>
      <c r="P522" t="n">
        <v>0</v>
      </c>
      <c r="Q522" t="n">
        <v>0</v>
      </c>
      <c r="R522" s="2" t="inlineStr"/>
    </row>
    <row r="523" ht="15" customHeight="1">
      <c r="A523" t="inlineStr">
        <is>
          <t>A 49648-2024</t>
        </is>
      </c>
      <c r="B523" s="1" t="n">
        <v>45596</v>
      </c>
      <c r="C523" s="1" t="n">
        <v>45913</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44531-2023</t>
        </is>
      </c>
      <c r="B524" s="1" t="n">
        <v>45183</v>
      </c>
      <c r="C524" s="1" t="n">
        <v>45913</v>
      </c>
      <c r="D524" t="inlineStr">
        <is>
          <t>NORRBOTTENS LÄN</t>
        </is>
      </c>
      <c r="E524" t="inlineStr">
        <is>
          <t>LULEÅ</t>
        </is>
      </c>
      <c r="G524" t="n">
        <v>2</v>
      </c>
      <c r="H524" t="n">
        <v>0</v>
      </c>
      <c r="I524" t="n">
        <v>0</v>
      </c>
      <c r="J524" t="n">
        <v>0</v>
      </c>
      <c r="K524" t="n">
        <v>0</v>
      </c>
      <c r="L524" t="n">
        <v>0</v>
      </c>
      <c r="M524" t="n">
        <v>0</v>
      </c>
      <c r="N524" t="n">
        <v>0</v>
      </c>
      <c r="O524" t="n">
        <v>0</v>
      </c>
      <c r="P524" t="n">
        <v>0</v>
      </c>
      <c r="Q524" t="n">
        <v>0</v>
      </c>
      <c r="R524" s="2" t="inlineStr"/>
    </row>
    <row r="525" ht="15" customHeight="1">
      <c r="A525" t="inlineStr">
        <is>
          <t>A 40695-2025</t>
        </is>
      </c>
      <c r="B525" s="1" t="n">
        <v>45897.28637731481</v>
      </c>
      <c r="C525" s="1" t="n">
        <v>45913</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7689-2025</t>
        </is>
      </c>
      <c r="B526" s="1" t="n">
        <v>45706</v>
      </c>
      <c r="C526" s="1" t="n">
        <v>45913</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42024-2024</t>
        </is>
      </c>
      <c r="B527" s="1" t="n">
        <v>45561.72005787037</v>
      </c>
      <c r="C527" s="1" t="n">
        <v>45913</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45913</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40977-2025</t>
        </is>
      </c>
      <c r="B529" s="1" t="n">
        <v>45897.93575231481</v>
      </c>
      <c r="C529" s="1" t="n">
        <v>45913</v>
      </c>
      <c r="D529" t="inlineStr">
        <is>
          <t>NORRBOTTENS LÄN</t>
        </is>
      </c>
      <c r="E529" t="inlineStr">
        <is>
          <t>LULEÅ</t>
        </is>
      </c>
      <c r="G529" t="n">
        <v>11.2</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45913</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35682-2025</t>
        </is>
      </c>
      <c r="B531" s="1" t="n">
        <v>45859</v>
      </c>
      <c r="C531" s="1" t="n">
        <v>45913</v>
      </c>
      <c r="D531" t="inlineStr">
        <is>
          <t>NORRBOTTENS LÄN</t>
        </is>
      </c>
      <c r="E531" t="inlineStr">
        <is>
          <t>LULEÅ</t>
        </is>
      </c>
      <c r="G531" t="n">
        <v>5.2</v>
      </c>
      <c r="H531" t="n">
        <v>0</v>
      </c>
      <c r="I531" t="n">
        <v>0</v>
      </c>
      <c r="J531" t="n">
        <v>0</v>
      </c>
      <c r="K531" t="n">
        <v>0</v>
      </c>
      <c r="L531" t="n">
        <v>0</v>
      </c>
      <c r="M531" t="n">
        <v>0</v>
      </c>
      <c r="N531" t="n">
        <v>0</v>
      </c>
      <c r="O531" t="n">
        <v>0</v>
      </c>
      <c r="P531" t="n">
        <v>0</v>
      </c>
      <c r="Q531" t="n">
        <v>0</v>
      </c>
      <c r="R531" s="2" t="inlineStr"/>
    </row>
    <row r="532" ht="15" customHeight="1">
      <c r="A532" t="inlineStr">
        <is>
          <t>A 17020-2024</t>
        </is>
      </c>
      <c r="B532" s="1" t="n">
        <v>45411</v>
      </c>
      <c r="C532" s="1" t="n">
        <v>45913</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17031-2024</t>
        </is>
      </c>
      <c r="B533" s="1" t="n">
        <v>45411</v>
      </c>
      <c r="C533" s="1" t="n">
        <v>45913</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60954-2021</t>
        </is>
      </c>
      <c r="B534" s="1" t="n">
        <v>44496</v>
      </c>
      <c r="C534" s="1" t="n">
        <v>45913</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42218-2025</t>
        </is>
      </c>
      <c r="B535" s="1" t="n">
        <v>45904.51621527778</v>
      </c>
      <c r="C535" s="1" t="n">
        <v>45913</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45940-2021</t>
        </is>
      </c>
      <c r="B536" s="1" t="n">
        <v>44441</v>
      </c>
      <c r="C536" s="1" t="n">
        <v>45913</v>
      </c>
      <c r="D536" t="inlineStr">
        <is>
          <t>NORRBOTTENS LÄN</t>
        </is>
      </c>
      <c r="E536" t="inlineStr">
        <is>
          <t>LULEÅ</t>
        </is>
      </c>
      <c r="G536" t="n">
        <v>15.2</v>
      </c>
      <c r="H536" t="n">
        <v>0</v>
      </c>
      <c r="I536" t="n">
        <v>0</v>
      </c>
      <c r="J536" t="n">
        <v>0</v>
      </c>
      <c r="K536" t="n">
        <v>0</v>
      </c>
      <c r="L536" t="n">
        <v>0</v>
      </c>
      <c r="M536" t="n">
        <v>0</v>
      </c>
      <c r="N536" t="n">
        <v>0</v>
      </c>
      <c r="O536" t="n">
        <v>0</v>
      </c>
      <c r="P536" t="n">
        <v>0</v>
      </c>
      <c r="Q536" t="n">
        <v>0</v>
      </c>
      <c r="R536" s="2" t="inlineStr"/>
    </row>
    <row r="537" ht="15" customHeight="1">
      <c r="A537" t="inlineStr">
        <is>
          <t>A 42217-2025</t>
        </is>
      </c>
      <c r="B537" s="1" t="n">
        <v>45904.51274305556</v>
      </c>
      <c r="C537" s="1" t="n">
        <v>45913</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35249-2021</t>
        </is>
      </c>
      <c r="B538" s="1" t="n">
        <v>44384</v>
      </c>
      <c r="C538" s="1" t="n">
        <v>45913</v>
      </c>
      <c r="D538" t="inlineStr">
        <is>
          <t>NORRBOTTENS LÄN</t>
        </is>
      </c>
      <c r="E538" t="inlineStr">
        <is>
          <t>LULEÅ</t>
        </is>
      </c>
      <c r="G538" t="n">
        <v>2.4</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45913</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35912-2025</t>
        </is>
      </c>
      <c r="B540" s="1" t="n">
        <v>45862.53150462963</v>
      </c>
      <c r="C540" s="1" t="n">
        <v>45913</v>
      </c>
      <c r="D540" t="inlineStr">
        <is>
          <t>NORRBOTTENS LÄN</t>
        </is>
      </c>
      <c r="E540" t="inlineStr">
        <is>
          <t>LULEÅ</t>
        </is>
      </c>
      <c r="G540" t="n">
        <v>5.5</v>
      </c>
      <c r="H540" t="n">
        <v>0</v>
      </c>
      <c r="I540" t="n">
        <v>0</v>
      </c>
      <c r="J540" t="n">
        <v>0</v>
      </c>
      <c r="K540" t="n">
        <v>0</v>
      </c>
      <c r="L540" t="n">
        <v>0</v>
      </c>
      <c r="M540" t="n">
        <v>0</v>
      </c>
      <c r="N540" t="n">
        <v>0</v>
      </c>
      <c r="O540" t="n">
        <v>0</v>
      </c>
      <c r="P540" t="n">
        <v>0</v>
      </c>
      <c r="Q540" t="n">
        <v>0</v>
      </c>
      <c r="R540" s="2" t="inlineStr"/>
    </row>
    <row r="541" ht="15" customHeight="1">
      <c r="A541" t="inlineStr">
        <is>
          <t>A 63024-2020</t>
        </is>
      </c>
      <c r="B541" s="1" t="n">
        <v>44162</v>
      </c>
      <c r="C541" s="1" t="n">
        <v>45913</v>
      </c>
      <c r="D541" t="inlineStr">
        <is>
          <t>NORRBOTTENS LÄN</t>
        </is>
      </c>
      <c r="E541" t="inlineStr">
        <is>
          <t>LULEÅ</t>
        </is>
      </c>
      <c r="F541" t="inlineStr">
        <is>
          <t>Kyrkan</t>
        </is>
      </c>
      <c r="G541" t="n">
        <v>27.4</v>
      </c>
      <c r="H541" t="n">
        <v>0</v>
      </c>
      <c r="I541" t="n">
        <v>0</v>
      </c>
      <c r="J541" t="n">
        <v>0</v>
      </c>
      <c r="K541" t="n">
        <v>0</v>
      </c>
      <c r="L541" t="n">
        <v>0</v>
      </c>
      <c r="M541" t="n">
        <v>0</v>
      </c>
      <c r="N541" t="n">
        <v>0</v>
      </c>
      <c r="O541" t="n">
        <v>0</v>
      </c>
      <c r="P541" t="n">
        <v>0</v>
      </c>
      <c r="Q541" t="n">
        <v>0</v>
      </c>
      <c r="R541" s="2" t="inlineStr"/>
    </row>
    <row r="542" ht="15" customHeight="1">
      <c r="A542" t="inlineStr">
        <is>
          <t>A 35902-2025</t>
        </is>
      </c>
      <c r="B542" s="1" t="n">
        <v>45862.48990740741</v>
      </c>
      <c r="C542" s="1" t="n">
        <v>45913</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2561-2022</t>
        </is>
      </c>
      <c r="B543" s="1" t="n">
        <v>44579</v>
      </c>
      <c r="C543" s="1" t="n">
        <v>45913</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53603-2024</t>
        </is>
      </c>
      <c r="B544" s="1" t="n">
        <v>45614.69736111111</v>
      </c>
      <c r="C544" s="1" t="n">
        <v>45913</v>
      </c>
      <c r="D544" t="inlineStr">
        <is>
          <t>NORRBOTTENS LÄN</t>
        </is>
      </c>
      <c r="E544" t="inlineStr">
        <is>
          <t>LULEÅ</t>
        </is>
      </c>
      <c r="G544" t="n">
        <v>3.2</v>
      </c>
      <c r="H544" t="n">
        <v>0</v>
      </c>
      <c r="I544" t="n">
        <v>0</v>
      </c>
      <c r="J544" t="n">
        <v>0</v>
      </c>
      <c r="K544" t="n">
        <v>0</v>
      </c>
      <c r="L544" t="n">
        <v>0</v>
      </c>
      <c r="M544" t="n">
        <v>0</v>
      </c>
      <c r="N544" t="n">
        <v>0</v>
      </c>
      <c r="O544" t="n">
        <v>0</v>
      </c>
      <c r="P544" t="n">
        <v>0</v>
      </c>
      <c r="Q544" t="n">
        <v>0</v>
      </c>
      <c r="R544" s="2" t="inlineStr"/>
    </row>
    <row r="545" ht="15" customHeight="1">
      <c r="A545" t="inlineStr">
        <is>
          <t>A 47931-2024</t>
        </is>
      </c>
      <c r="B545" s="1" t="n">
        <v>45589</v>
      </c>
      <c r="C545" s="1" t="n">
        <v>45913</v>
      </c>
      <c r="D545" t="inlineStr">
        <is>
          <t>NORRBOTTENS LÄN</t>
        </is>
      </c>
      <c r="E545" t="inlineStr">
        <is>
          <t>LULEÅ</t>
        </is>
      </c>
      <c r="F545" t="inlineStr">
        <is>
          <t>Naturvårdsverket</t>
        </is>
      </c>
      <c r="G545" t="n">
        <v>1.2</v>
      </c>
      <c r="H545" t="n">
        <v>0</v>
      </c>
      <c r="I545" t="n">
        <v>0</v>
      </c>
      <c r="J545" t="n">
        <v>0</v>
      </c>
      <c r="K545" t="n">
        <v>0</v>
      </c>
      <c r="L545" t="n">
        <v>0</v>
      </c>
      <c r="M545" t="n">
        <v>0</v>
      </c>
      <c r="N545" t="n">
        <v>0</v>
      </c>
      <c r="O545" t="n">
        <v>0</v>
      </c>
      <c r="P545" t="n">
        <v>0</v>
      </c>
      <c r="Q545" t="n">
        <v>0</v>
      </c>
      <c r="R545" s="2" t="inlineStr"/>
    </row>
    <row r="546" ht="15" customHeight="1">
      <c r="A546" t="inlineStr">
        <is>
          <t>A 30120-2025</t>
        </is>
      </c>
      <c r="B546" s="1" t="n">
        <v>45826</v>
      </c>
      <c r="C546" s="1" t="n">
        <v>45913</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c r="U546">
        <f>HYPERLINK("https://klasma.github.io/Logging_2580/knärot/A 30120-2025 karta knärot.png", "A 30120-2025")</f>
        <v/>
      </c>
      <c r="V546">
        <f>HYPERLINK("https://klasma.github.io/Logging_2580/klagomål/A 30120-2025 FSC-klagomål.docx", "A 30120-2025")</f>
        <v/>
      </c>
      <c r="W546">
        <f>HYPERLINK("https://klasma.github.io/Logging_2580/klagomålsmail/A 30120-2025 FSC-klagomål mail.docx", "A 30120-2025")</f>
        <v/>
      </c>
      <c r="X546">
        <f>HYPERLINK("https://klasma.github.io/Logging_2580/tillsyn/A 30120-2025 tillsynsbegäran.docx", "A 30120-2025")</f>
        <v/>
      </c>
      <c r="Y546">
        <f>HYPERLINK("https://klasma.github.io/Logging_2580/tillsynsmail/A 30120-2025 tillsynsbegäran mail.docx", "A 30120-2025")</f>
        <v/>
      </c>
    </row>
    <row r="547" ht="15" customHeight="1">
      <c r="A547" t="inlineStr">
        <is>
          <t>A 60130-2024</t>
        </is>
      </c>
      <c r="B547" s="1" t="n">
        <v>45642.59327546296</v>
      </c>
      <c r="C547" s="1" t="n">
        <v>45913</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49641-2024</t>
        </is>
      </c>
      <c r="B548" s="1" t="n">
        <v>45596</v>
      </c>
      <c r="C548" s="1" t="n">
        <v>45913</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43182-2025</t>
        </is>
      </c>
      <c r="B549" s="1" t="n">
        <v>45910.40729166667</v>
      </c>
      <c r="C549" s="1" t="n">
        <v>45913</v>
      </c>
      <c r="D549" t="inlineStr">
        <is>
          <t>NORRBOTTENS LÄN</t>
        </is>
      </c>
      <c r="E549" t="inlineStr">
        <is>
          <t>LULEÅ</t>
        </is>
      </c>
      <c r="G549" t="n">
        <v>17.7</v>
      </c>
      <c r="H549" t="n">
        <v>0</v>
      </c>
      <c r="I549" t="n">
        <v>0</v>
      </c>
      <c r="J549" t="n">
        <v>0</v>
      </c>
      <c r="K549" t="n">
        <v>0</v>
      </c>
      <c r="L549" t="n">
        <v>0</v>
      </c>
      <c r="M549" t="n">
        <v>0</v>
      </c>
      <c r="N549" t="n">
        <v>0</v>
      </c>
      <c r="O549" t="n">
        <v>0</v>
      </c>
      <c r="P549" t="n">
        <v>0</v>
      </c>
      <c r="Q549" t="n">
        <v>0</v>
      </c>
      <c r="R549" s="2" t="inlineStr"/>
    </row>
    <row r="550" ht="15" customHeight="1">
      <c r="A550" t="inlineStr">
        <is>
          <t>A 26925-2024</t>
        </is>
      </c>
      <c r="B550" s="1" t="n">
        <v>45470.93118055556</v>
      </c>
      <c r="C550" s="1" t="n">
        <v>45913</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55747-2023</t>
        </is>
      </c>
      <c r="B551" s="1" t="n">
        <v>45232</v>
      </c>
      <c r="C551" s="1" t="n">
        <v>45913</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54769-2024</t>
        </is>
      </c>
      <c r="B552" s="1" t="n">
        <v>45618.47244212963</v>
      </c>
      <c r="C552" s="1" t="n">
        <v>45913</v>
      </c>
      <c r="D552" t="inlineStr">
        <is>
          <t>NORRBOTTENS LÄN</t>
        </is>
      </c>
      <c r="E552" t="inlineStr">
        <is>
          <t>LULEÅ</t>
        </is>
      </c>
      <c r="G552" t="n">
        <v>8.4</v>
      </c>
      <c r="H552" t="n">
        <v>0</v>
      </c>
      <c r="I552" t="n">
        <v>0</v>
      </c>
      <c r="J552" t="n">
        <v>0</v>
      </c>
      <c r="K552" t="n">
        <v>0</v>
      </c>
      <c r="L552" t="n">
        <v>0</v>
      </c>
      <c r="M552" t="n">
        <v>0</v>
      </c>
      <c r="N552" t="n">
        <v>0</v>
      </c>
      <c r="O552" t="n">
        <v>0</v>
      </c>
      <c r="P552" t="n">
        <v>0</v>
      </c>
      <c r="Q552" t="n">
        <v>0</v>
      </c>
      <c r="R552" s="2" t="inlineStr"/>
    </row>
    <row r="553" ht="15" customHeight="1">
      <c r="A553" t="inlineStr">
        <is>
          <t>A 1513-2025</t>
        </is>
      </c>
      <c r="B553" s="1" t="n">
        <v>45670.45391203704</v>
      </c>
      <c r="C553" s="1" t="n">
        <v>45913</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6958-2025</t>
        </is>
      </c>
      <c r="B554" s="1" t="n">
        <v>45701.49054398148</v>
      </c>
      <c r="C554" s="1" t="n">
        <v>45913</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43115-2025</t>
        </is>
      </c>
      <c r="B555" s="1" t="n">
        <v>45909.66664351852</v>
      </c>
      <c r="C555" s="1" t="n">
        <v>45913</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59682-2023</t>
        </is>
      </c>
      <c r="B556" s="1" t="n">
        <v>45255</v>
      </c>
      <c r="C556" s="1" t="n">
        <v>45913</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43116-2025</t>
        </is>
      </c>
      <c r="B557" s="1" t="n">
        <v>45909.66799768519</v>
      </c>
      <c r="C557" s="1" t="n">
        <v>45913</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40641-2025</t>
        </is>
      </c>
      <c r="B558" s="1" t="n">
        <v>45896</v>
      </c>
      <c r="C558" s="1" t="n">
        <v>45913</v>
      </c>
      <c r="D558" t="inlineStr">
        <is>
          <t>NORRBOTTENS LÄN</t>
        </is>
      </c>
      <c r="E558" t="inlineStr">
        <is>
          <t>LULEÅ</t>
        </is>
      </c>
      <c r="G558" t="n">
        <v>4.2</v>
      </c>
      <c r="H558" t="n">
        <v>0</v>
      </c>
      <c r="I558" t="n">
        <v>0</v>
      </c>
      <c r="J558" t="n">
        <v>0</v>
      </c>
      <c r="K558" t="n">
        <v>0</v>
      </c>
      <c r="L558" t="n">
        <v>0</v>
      </c>
      <c r="M558" t="n">
        <v>0</v>
      </c>
      <c r="N558" t="n">
        <v>0</v>
      </c>
      <c r="O558" t="n">
        <v>0</v>
      </c>
      <c r="P558" t="n">
        <v>0</v>
      </c>
      <c r="Q558" t="n">
        <v>0</v>
      </c>
      <c r="R558" s="2" t="inlineStr"/>
    </row>
    <row r="559" ht="15" customHeight="1">
      <c r="A559" t="inlineStr">
        <is>
          <t>A 35685-2025</t>
        </is>
      </c>
      <c r="B559" s="1" t="n">
        <v>45859.921875</v>
      </c>
      <c r="C559" s="1" t="n">
        <v>45913</v>
      </c>
      <c r="D559" t="inlineStr">
        <is>
          <t>NORRBOTTENS LÄN</t>
        </is>
      </c>
      <c r="E559" t="inlineStr">
        <is>
          <t>LULEÅ</t>
        </is>
      </c>
      <c r="G559" t="n">
        <v>4.7</v>
      </c>
      <c r="H559" t="n">
        <v>0</v>
      </c>
      <c r="I559" t="n">
        <v>0</v>
      </c>
      <c r="J559" t="n">
        <v>0</v>
      </c>
      <c r="K559" t="n">
        <v>0</v>
      </c>
      <c r="L559" t="n">
        <v>0</v>
      </c>
      <c r="M559" t="n">
        <v>0</v>
      </c>
      <c r="N559" t="n">
        <v>0</v>
      </c>
      <c r="O559" t="n">
        <v>0</v>
      </c>
      <c r="P559" t="n">
        <v>0</v>
      </c>
      <c r="Q559" t="n">
        <v>0</v>
      </c>
      <c r="R559" s="2" t="inlineStr"/>
    </row>
    <row r="560" ht="15" customHeight="1">
      <c r="A560" t="inlineStr">
        <is>
          <t>A 35686-2025</t>
        </is>
      </c>
      <c r="B560" s="1" t="n">
        <v>45859.92579861111</v>
      </c>
      <c r="C560" s="1" t="n">
        <v>45913</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43112-2025</t>
        </is>
      </c>
      <c r="B561" s="1" t="n">
        <v>45909.66228009259</v>
      </c>
      <c r="C561" s="1" t="n">
        <v>45913</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43113-2025</t>
        </is>
      </c>
      <c r="B562" s="1" t="n">
        <v>45909.6640625</v>
      </c>
      <c r="C562" s="1" t="n">
        <v>45913</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35595-2025</t>
        </is>
      </c>
      <c r="B563" s="1" t="n">
        <v>45858.32641203704</v>
      </c>
      <c r="C563" s="1" t="n">
        <v>45913</v>
      </c>
      <c r="D563" t="inlineStr">
        <is>
          <t>NORRBOTTENS LÄN</t>
        </is>
      </c>
      <c r="E563" t="inlineStr">
        <is>
          <t>LULEÅ</t>
        </is>
      </c>
      <c r="G563" t="n">
        <v>13.1</v>
      </c>
      <c r="H563" t="n">
        <v>0</v>
      </c>
      <c r="I563" t="n">
        <v>0</v>
      </c>
      <c r="J563" t="n">
        <v>0</v>
      </c>
      <c r="K563" t="n">
        <v>0</v>
      </c>
      <c r="L563" t="n">
        <v>0</v>
      </c>
      <c r="M563" t="n">
        <v>0</v>
      </c>
      <c r="N563" t="n">
        <v>0</v>
      </c>
      <c r="O563" t="n">
        <v>0</v>
      </c>
      <c r="P563" t="n">
        <v>0</v>
      </c>
      <c r="Q563" t="n">
        <v>0</v>
      </c>
      <c r="R563" s="2" t="inlineStr"/>
    </row>
    <row r="564" ht="15" customHeight="1">
      <c r="A564" t="inlineStr">
        <is>
          <t>A 9274-2023</t>
        </is>
      </c>
      <c r="B564" s="1" t="n">
        <v>44977</v>
      </c>
      <c r="C564" s="1" t="n">
        <v>45913</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9278-2023</t>
        </is>
      </c>
      <c r="B565" s="1" t="n">
        <v>44977</v>
      </c>
      <c r="C565" s="1" t="n">
        <v>45913</v>
      </c>
      <c r="D565" t="inlineStr">
        <is>
          <t>NORRBOTTENS LÄN</t>
        </is>
      </c>
      <c r="E565" t="inlineStr">
        <is>
          <t>LULEÅ</t>
        </is>
      </c>
      <c r="G565" t="n">
        <v>0.7</v>
      </c>
      <c r="H565" t="n">
        <v>0</v>
      </c>
      <c r="I565" t="n">
        <v>0</v>
      </c>
      <c r="J565" t="n">
        <v>0</v>
      </c>
      <c r="K565" t="n">
        <v>0</v>
      </c>
      <c r="L565" t="n">
        <v>0</v>
      </c>
      <c r="M565" t="n">
        <v>0</v>
      </c>
      <c r="N565" t="n">
        <v>0</v>
      </c>
      <c r="O565" t="n">
        <v>0</v>
      </c>
      <c r="P565" t="n">
        <v>0</v>
      </c>
      <c r="Q565" t="n">
        <v>0</v>
      </c>
      <c r="R565" s="2" t="inlineStr"/>
    </row>
    <row r="566" ht="15" customHeight="1">
      <c r="A566" t="inlineStr">
        <is>
          <t>A 9449-2023</t>
        </is>
      </c>
      <c r="B566" s="1" t="n">
        <v>44981</v>
      </c>
      <c r="C566" s="1" t="n">
        <v>45913</v>
      </c>
      <c r="D566" t="inlineStr">
        <is>
          <t>NORRBOTTENS LÄN</t>
        </is>
      </c>
      <c r="E566" t="inlineStr">
        <is>
          <t>LULEÅ</t>
        </is>
      </c>
      <c r="G566" t="n">
        <v>6.1</v>
      </c>
      <c r="H566" t="n">
        <v>0</v>
      </c>
      <c r="I566" t="n">
        <v>0</v>
      </c>
      <c r="J566" t="n">
        <v>0</v>
      </c>
      <c r="K566" t="n">
        <v>0</v>
      </c>
      <c r="L566" t="n">
        <v>0</v>
      </c>
      <c r="M566" t="n">
        <v>0</v>
      </c>
      <c r="N566" t="n">
        <v>0</v>
      </c>
      <c r="O566" t="n">
        <v>0</v>
      </c>
      <c r="P566" t="n">
        <v>0</v>
      </c>
      <c r="Q566" t="n">
        <v>0</v>
      </c>
      <c r="R566" s="2" t="inlineStr"/>
    </row>
    <row r="567" ht="15" customHeight="1">
      <c r="A567" t="inlineStr">
        <is>
          <t>A 9286-2023</t>
        </is>
      </c>
      <c r="B567" s="1" t="n">
        <v>44977</v>
      </c>
      <c r="C567" s="1" t="n">
        <v>45913</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9289-2023</t>
        </is>
      </c>
      <c r="B568" s="1" t="n">
        <v>44977</v>
      </c>
      <c r="C568" s="1" t="n">
        <v>45913</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6841-2024</t>
        </is>
      </c>
      <c r="B569" s="1" t="n">
        <v>45342</v>
      </c>
      <c r="C569" s="1" t="n">
        <v>45913</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8816-2023</t>
        </is>
      </c>
      <c r="B570" s="1" t="n">
        <v>44973</v>
      </c>
      <c r="C570" s="1" t="n">
        <v>45913</v>
      </c>
      <c r="D570" t="inlineStr">
        <is>
          <t>NORRBOTTENS LÄN</t>
        </is>
      </c>
      <c r="E570" t="inlineStr">
        <is>
          <t>LULEÅ</t>
        </is>
      </c>
      <c r="G570" t="n">
        <v>7.4</v>
      </c>
      <c r="H570" t="n">
        <v>0</v>
      </c>
      <c r="I570" t="n">
        <v>0</v>
      </c>
      <c r="J570" t="n">
        <v>0</v>
      </c>
      <c r="K570" t="n">
        <v>0</v>
      </c>
      <c r="L570" t="n">
        <v>0</v>
      </c>
      <c r="M570" t="n">
        <v>0</v>
      </c>
      <c r="N570" t="n">
        <v>0</v>
      </c>
      <c r="O570" t="n">
        <v>0</v>
      </c>
      <c r="P570" t="n">
        <v>0</v>
      </c>
      <c r="Q570" t="n">
        <v>0</v>
      </c>
      <c r="R570" s="2" t="inlineStr"/>
    </row>
    <row r="571" ht="15" customHeight="1">
      <c r="A571" t="inlineStr">
        <is>
          <t>A 46869-2024</t>
        </is>
      </c>
      <c r="B571" s="1" t="n">
        <v>45583</v>
      </c>
      <c r="C571" s="1" t="n">
        <v>45913</v>
      </c>
      <c r="D571" t="inlineStr">
        <is>
          <t>NORRBOTTENS LÄN</t>
        </is>
      </c>
      <c r="E571" t="inlineStr">
        <is>
          <t>LULEÅ</t>
        </is>
      </c>
      <c r="G571" t="n">
        <v>4.4</v>
      </c>
      <c r="H571" t="n">
        <v>0</v>
      </c>
      <c r="I571" t="n">
        <v>0</v>
      </c>
      <c r="J571" t="n">
        <v>0</v>
      </c>
      <c r="K571" t="n">
        <v>0</v>
      </c>
      <c r="L571" t="n">
        <v>0</v>
      </c>
      <c r="M571" t="n">
        <v>0</v>
      </c>
      <c r="N571" t="n">
        <v>0</v>
      </c>
      <c r="O571" t="n">
        <v>0</v>
      </c>
      <c r="P571" t="n">
        <v>0</v>
      </c>
      <c r="Q571" t="n">
        <v>0</v>
      </c>
      <c r="R571" s="2" t="inlineStr"/>
    </row>
    <row r="572" ht="15" customHeight="1">
      <c r="A572" t="inlineStr">
        <is>
          <t>A 1058-2025</t>
        </is>
      </c>
      <c r="B572" s="1" t="n">
        <v>45665</v>
      </c>
      <c r="C572" s="1" t="n">
        <v>45913</v>
      </c>
      <c r="D572" t="inlineStr">
        <is>
          <t>NORRBOTTENS LÄN</t>
        </is>
      </c>
      <c r="E572" t="inlineStr">
        <is>
          <t>LULEÅ</t>
        </is>
      </c>
      <c r="G572" t="n">
        <v>2.1</v>
      </c>
      <c r="H572" t="n">
        <v>0</v>
      </c>
      <c r="I572" t="n">
        <v>0</v>
      </c>
      <c r="J572" t="n">
        <v>0</v>
      </c>
      <c r="K572" t="n">
        <v>0</v>
      </c>
      <c r="L572" t="n">
        <v>0</v>
      </c>
      <c r="M572" t="n">
        <v>0</v>
      </c>
      <c r="N572" t="n">
        <v>0</v>
      </c>
      <c r="O572" t="n">
        <v>0</v>
      </c>
      <c r="P572" t="n">
        <v>0</v>
      </c>
      <c r="Q572" t="n">
        <v>0</v>
      </c>
      <c r="R572" s="2" t="inlineStr"/>
    </row>
    <row r="573" ht="15" customHeight="1">
      <c r="A573" t="inlineStr">
        <is>
          <t>A 8068-2023</t>
        </is>
      </c>
      <c r="B573" s="1" t="n">
        <v>44974.36233796296</v>
      </c>
      <c r="C573" s="1" t="n">
        <v>45913</v>
      </c>
      <c r="D573" t="inlineStr">
        <is>
          <t>NORRBOTTENS LÄN</t>
        </is>
      </c>
      <c r="E573" t="inlineStr">
        <is>
          <t>LULEÅ</t>
        </is>
      </c>
      <c r="G573" t="n">
        <v>5.4</v>
      </c>
      <c r="H573" t="n">
        <v>0</v>
      </c>
      <c r="I573" t="n">
        <v>0</v>
      </c>
      <c r="J573" t="n">
        <v>0</v>
      </c>
      <c r="K573" t="n">
        <v>0</v>
      </c>
      <c r="L573" t="n">
        <v>0</v>
      </c>
      <c r="M573" t="n">
        <v>0</v>
      </c>
      <c r="N573" t="n">
        <v>0</v>
      </c>
      <c r="O573" t="n">
        <v>0</v>
      </c>
      <c r="P573" t="n">
        <v>0</v>
      </c>
      <c r="Q573" t="n">
        <v>0</v>
      </c>
      <c r="R573" s="2" t="inlineStr"/>
    </row>
    <row r="574" ht="15" customHeight="1">
      <c r="A574" t="inlineStr">
        <is>
          <t>A 26594-2024</t>
        </is>
      </c>
      <c r="B574" s="1" t="n">
        <v>45469.68552083334</v>
      </c>
      <c r="C574" s="1" t="n">
        <v>45913</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8862-2024</t>
        </is>
      </c>
      <c r="B575" s="1" t="n">
        <v>45356.96326388889</v>
      </c>
      <c r="C575" s="1" t="n">
        <v>45913</v>
      </c>
      <c r="D575" t="inlineStr">
        <is>
          <t>NORRBOTTENS LÄN</t>
        </is>
      </c>
      <c r="E575" t="inlineStr">
        <is>
          <t>LULEÅ</t>
        </is>
      </c>
      <c r="G575" t="n">
        <v>10.6</v>
      </c>
      <c r="H575" t="n">
        <v>0</v>
      </c>
      <c r="I575" t="n">
        <v>0</v>
      </c>
      <c r="J575" t="n">
        <v>0</v>
      </c>
      <c r="K575" t="n">
        <v>0</v>
      </c>
      <c r="L575" t="n">
        <v>0</v>
      </c>
      <c r="M575" t="n">
        <v>0</v>
      </c>
      <c r="N575" t="n">
        <v>0</v>
      </c>
      <c r="O575" t="n">
        <v>0</v>
      </c>
      <c r="P575" t="n">
        <v>0</v>
      </c>
      <c r="Q575" t="n">
        <v>0</v>
      </c>
      <c r="R575" s="2" t="inlineStr"/>
    </row>
    <row r="576" ht="15" customHeight="1">
      <c r="A576" t="inlineStr">
        <is>
          <t>A 51655-2023</t>
        </is>
      </c>
      <c r="B576" s="1" t="n">
        <v>45215</v>
      </c>
      <c r="C576" s="1" t="n">
        <v>45913</v>
      </c>
      <c r="D576" t="inlineStr">
        <is>
          <t>NORRBOTTENS LÄN</t>
        </is>
      </c>
      <c r="E576" t="inlineStr">
        <is>
          <t>LULEÅ</t>
        </is>
      </c>
      <c r="G576" t="n">
        <v>7.5</v>
      </c>
      <c r="H576" t="n">
        <v>0</v>
      </c>
      <c r="I576" t="n">
        <v>0</v>
      </c>
      <c r="J576" t="n">
        <v>0</v>
      </c>
      <c r="K576" t="n">
        <v>0</v>
      </c>
      <c r="L576" t="n">
        <v>0</v>
      </c>
      <c r="M576" t="n">
        <v>0</v>
      </c>
      <c r="N576" t="n">
        <v>0</v>
      </c>
      <c r="O576" t="n">
        <v>0</v>
      </c>
      <c r="P576" t="n">
        <v>0</v>
      </c>
      <c r="Q576" t="n">
        <v>0</v>
      </c>
      <c r="R576" s="2" t="inlineStr"/>
    </row>
    <row r="577" ht="15" customHeight="1">
      <c r="A577" t="inlineStr">
        <is>
          <t>A 2700-2025</t>
        </is>
      </c>
      <c r="B577" s="1" t="n">
        <v>45677.40685185185</v>
      </c>
      <c r="C577" s="1" t="n">
        <v>45913</v>
      </c>
      <c r="D577" t="inlineStr">
        <is>
          <t>NORRBOTTENS LÄN</t>
        </is>
      </c>
      <c r="E577" t="inlineStr">
        <is>
          <t>LULEÅ</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115-2025</t>
        </is>
      </c>
      <c r="B578" s="1" t="n">
        <v>45659.51613425926</v>
      </c>
      <c r="C578" s="1" t="n">
        <v>45913</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40974-2024</t>
        </is>
      </c>
      <c r="B579" s="1" t="n">
        <v>45558.6815162037</v>
      </c>
      <c r="C579" s="1" t="n">
        <v>45913</v>
      </c>
      <c r="D579" t="inlineStr">
        <is>
          <t>NORRBOTTENS LÄN</t>
        </is>
      </c>
      <c r="E579" t="inlineStr">
        <is>
          <t>LULEÅ</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6718-2024</t>
        </is>
      </c>
      <c r="B580" s="1" t="n">
        <v>45342</v>
      </c>
      <c r="C580" s="1" t="n">
        <v>45913</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11294-2024</t>
        </is>
      </c>
      <c r="B581" s="1" t="n">
        <v>45371</v>
      </c>
      <c r="C581" s="1" t="n">
        <v>45913</v>
      </c>
      <c r="D581" t="inlineStr">
        <is>
          <t>NORRBOTTENS LÄN</t>
        </is>
      </c>
      <c r="E581" t="inlineStr">
        <is>
          <t>LULEÅ</t>
        </is>
      </c>
      <c r="G581" t="n">
        <v>0.4</v>
      </c>
      <c r="H581" t="n">
        <v>0</v>
      </c>
      <c r="I581" t="n">
        <v>0</v>
      </c>
      <c r="J581" t="n">
        <v>0</v>
      </c>
      <c r="K581" t="n">
        <v>0</v>
      </c>
      <c r="L581" t="n">
        <v>0</v>
      </c>
      <c r="M581" t="n">
        <v>0</v>
      </c>
      <c r="N581" t="n">
        <v>0</v>
      </c>
      <c r="O581" t="n">
        <v>0</v>
      </c>
      <c r="P581" t="n">
        <v>0</v>
      </c>
      <c r="Q581" t="n">
        <v>0</v>
      </c>
      <c r="R581" s="2" t="inlineStr"/>
    </row>
    <row r="582" ht="15" customHeight="1">
      <c r="A582" t="inlineStr">
        <is>
          <t>A 4768-2024</t>
        </is>
      </c>
      <c r="B582" s="1" t="n">
        <v>45328</v>
      </c>
      <c r="C582" s="1" t="n">
        <v>45913</v>
      </c>
      <c r="D582" t="inlineStr">
        <is>
          <t>NORRBOTTENS LÄN</t>
        </is>
      </c>
      <c r="E582" t="inlineStr">
        <is>
          <t>LULEÅ</t>
        </is>
      </c>
      <c r="G582" t="n">
        <v>4</v>
      </c>
      <c r="H582" t="n">
        <v>0</v>
      </c>
      <c r="I582" t="n">
        <v>0</v>
      </c>
      <c r="J582" t="n">
        <v>0</v>
      </c>
      <c r="K582" t="n">
        <v>0</v>
      </c>
      <c r="L582" t="n">
        <v>0</v>
      </c>
      <c r="M582" t="n">
        <v>0</v>
      </c>
      <c r="N582" t="n">
        <v>0</v>
      </c>
      <c r="O582" t="n">
        <v>0</v>
      </c>
      <c r="P582" t="n">
        <v>0</v>
      </c>
      <c r="Q582" t="n">
        <v>0</v>
      </c>
      <c r="R582" s="2" t="inlineStr"/>
    </row>
    <row r="583" ht="15" customHeight="1">
      <c r="A583" t="inlineStr">
        <is>
          <t>A 25340-2024</t>
        </is>
      </c>
      <c r="B583" s="1" t="n">
        <v>45462</v>
      </c>
      <c r="C583" s="1" t="n">
        <v>45913</v>
      </c>
      <c r="D583" t="inlineStr">
        <is>
          <t>NORRBOTTENS LÄN</t>
        </is>
      </c>
      <c r="E583" t="inlineStr">
        <is>
          <t>LULEÅ</t>
        </is>
      </c>
      <c r="G583" t="n">
        <v>3.6</v>
      </c>
      <c r="H583" t="n">
        <v>0</v>
      </c>
      <c r="I583" t="n">
        <v>0</v>
      </c>
      <c r="J583" t="n">
        <v>0</v>
      </c>
      <c r="K583" t="n">
        <v>0</v>
      </c>
      <c r="L583" t="n">
        <v>0</v>
      </c>
      <c r="M583" t="n">
        <v>0</v>
      </c>
      <c r="N583" t="n">
        <v>0</v>
      </c>
      <c r="O583" t="n">
        <v>0</v>
      </c>
      <c r="P583" t="n">
        <v>0</v>
      </c>
      <c r="Q583" t="n">
        <v>0</v>
      </c>
      <c r="R583" s="2" t="inlineStr"/>
    </row>
    <row r="584" ht="15" customHeight="1">
      <c r="A584" t="inlineStr">
        <is>
          <t>A 29237-2024</t>
        </is>
      </c>
      <c r="B584" s="1" t="n">
        <v>45482.92732638889</v>
      </c>
      <c r="C584" s="1" t="n">
        <v>45913</v>
      </c>
      <c r="D584" t="inlineStr">
        <is>
          <t>NORRBOTTENS LÄN</t>
        </is>
      </c>
      <c r="E584" t="inlineStr">
        <is>
          <t>LULEÅ</t>
        </is>
      </c>
      <c r="G584" t="n">
        <v>10.3</v>
      </c>
      <c r="H584" t="n">
        <v>0</v>
      </c>
      <c r="I584" t="n">
        <v>0</v>
      </c>
      <c r="J584" t="n">
        <v>0</v>
      </c>
      <c r="K584" t="n">
        <v>0</v>
      </c>
      <c r="L584" t="n">
        <v>0</v>
      </c>
      <c r="M584" t="n">
        <v>0</v>
      </c>
      <c r="N584" t="n">
        <v>0</v>
      </c>
      <c r="O584" t="n">
        <v>0</v>
      </c>
      <c r="P584" t="n">
        <v>0</v>
      </c>
      <c r="Q584" t="n">
        <v>0</v>
      </c>
      <c r="R584" s="2" t="inlineStr"/>
    </row>
    <row r="585" ht="15" customHeight="1">
      <c r="A585" t="inlineStr">
        <is>
          <t>A 53185-2022</t>
        </is>
      </c>
      <c r="B585" s="1" t="n">
        <v>44876.57346064815</v>
      </c>
      <c r="C585" s="1" t="n">
        <v>45913</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58547-2024</t>
        </is>
      </c>
      <c r="B586" s="1" t="n">
        <v>45635.45822916667</v>
      </c>
      <c r="C586" s="1" t="n">
        <v>45913</v>
      </c>
      <c r="D586" t="inlineStr">
        <is>
          <t>NORRBOTTENS LÄN</t>
        </is>
      </c>
      <c r="E586" t="inlineStr">
        <is>
          <t>LULEÅ</t>
        </is>
      </c>
      <c r="G586" t="n">
        <v>8</v>
      </c>
      <c r="H586" t="n">
        <v>0</v>
      </c>
      <c r="I586" t="n">
        <v>0</v>
      </c>
      <c r="J586" t="n">
        <v>0</v>
      </c>
      <c r="K586" t="n">
        <v>0</v>
      </c>
      <c r="L586" t="n">
        <v>0</v>
      </c>
      <c r="M586" t="n">
        <v>0</v>
      </c>
      <c r="N586" t="n">
        <v>0</v>
      </c>
      <c r="O586" t="n">
        <v>0</v>
      </c>
      <c r="P586" t="n">
        <v>0</v>
      </c>
      <c r="Q586" t="n">
        <v>0</v>
      </c>
      <c r="R586" s="2" t="inlineStr"/>
    </row>
    <row r="587" ht="15" customHeight="1">
      <c r="A587" t="inlineStr">
        <is>
          <t>A 804-2025</t>
        </is>
      </c>
      <c r="B587" s="1" t="n">
        <v>45664</v>
      </c>
      <c r="C587" s="1" t="n">
        <v>45913</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814-2025</t>
        </is>
      </c>
      <c r="B588" s="1" t="n">
        <v>45664</v>
      </c>
      <c r="C588" s="1" t="n">
        <v>45913</v>
      </c>
      <c r="D588" t="inlineStr">
        <is>
          <t>NORRBOTTENS LÄN</t>
        </is>
      </c>
      <c r="E588" t="inlineStr">
        <is>
          <t>LULEÅ</t>
        </is>
      </c>
      <c r="G588" t="n">
        <v>3.4</v>
      </c>
      <c r="H588" t="n">
        <v>0</v>
      </c>
      <c r="I588" t="n">
        <v>0</v>
      </c>
      <c r="J588" t="n">
        <v>0</v>
      </c>
      <c r="K588" t="n">
        <v>0</v>
      </c>
      <c r="L588" t="n">
        <v>0</v>
      </c>
      <c r="M588" t="n">
        <v>0</v>
      </c>
      <c r="N588" t="n">
        <v>0</v>
      </c>
      <c r="O588" t="n">
        <v>0</v>
      </c>
      <c r="P588" t="n">
        <v>0</v>
      </c>
      <c r="Q588" t="n">
        <v>0</v>
      </c>
      <c r="R588" s="2" t="inlineStr"/>
    </row>
    <row r="589" ht="15" customHeight="1">
      <c r="A589" t="inlineStr">
        <is>
          <t>A 2208-2024</t>
        </is>
      </c>
      <c r="B589" s="1" t="n">
        <v>45309</v>
      </c>
      <c r="C589" s="1" t="n">
        <v>45913</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17125-2024</t>
        </is>
      </c>
      <c r="B590" s="1" t="n">
        <v>45412</v>
      </c>
      <c r="C590" s="1" t="n">
        <v>45913</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6986-2025</t>
        </is>
      </c>
      <c r="B591" s="1" t="n">
        <v>45701</v>
      </c>
      <c r="C591" s="1" t="n">
        <v>45913</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695-2025</t>
        </is>
      </c>
      <c r="B592" s="1" t="n">
        <v>45663</v>
      </c>
      <c r="C592" s="1" t="n">
        <v>45913</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61866-2023</t>
        </is>
      </c>
      <c r="B593" s="1" t="n">
        <v>45264</v>
      </c>
      <c r="C593" s="1" t="n">
        <v>45913</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8928-2025</t>
        </is>
      </c>
      <c r="B594" s="1" t="n">
        <v>45712</v>
      </c>
      <c r="C594" s="1" t="n">
        <v>45913</v>
      </c>
      <c r="D594" t="inlineStr">
        <is>
          <t>NORRBOTTENS LÄN</t>
        </is>
      </c>
      <c r="E594" t="inlineStr">
        <is>
          <t>LULEÅ</t>
        </is>
      </c>
      <c r="G594" t="n">
        <v>3.3</v>
      </c>
      <c r="H594" t="n">
        <v>0</v>
      </c>
      <c r="I594" t="n">
        <v>0</v>
      </c>
      <c r="J594" t="n">
        <v>0</v>
      </c>
      <c r="K594" t="n">
        <v>0</v>
      </c>
      <c r="L594" t="n">
        <v>0</v>
      </c>
      <c r="M594" t="n">
        <v>0</v>
      </c>
      <c r="N594" t="n">
        <v>0</v>
      </c>
      <c r="O594" t="n">
        <v>0</v>
      </c>
      <c r="P594" t="n">
        <v>0</v>
      </c>
      <c r="Q594" t="n">
        <v>0</v>
      </c>
      <c r="R594" s="2" t="inlineStr"/>
    </row>
    <row r="595" ht="15" customHeight="1">
      <c r="A595" t="inlineStr">
        <is>
          <t>A 1572-2025</t>
        </is>
      </c>
      <c r="B595" s="1" t="n">
        <v>45670.55724537037</v>
      </c>
      <c r="C595" s="1" t="n">
        <v>45913</v>
      </c>
      <c r="D595" t="inlineStr">
        <is>
          <t>NORRBOTTENS LÄN</t>
        </is>
      </c>
      <c r="E595" t="inlineStr">
        <is>
          <t>LULEÅ</t>
        </is>
      </c>
      <c r="G595" t="n">
        <v>5.2</v>
      </c>
      <c r="H595" t="n">
        <v>0</v>
      </c>
      <c r="I595" t="n">
        <v>0</v>
      </c>
      <c r="J595" t="n">
        <v>0</v>
      </c>
      <c r="K595" t="n">
        <v>0</v>
      </c>
      <c r="L595" t="n">
        <v>0</v>
      </c>
      <c r="M595" t="n">
        <v>0</v>
      </c>
      <c r="N595" t="n">
        <v>0</v>
      </c>
      <c r="O595" t="n">
        <v>0</v>
      </c>
      <c r="P595" t="n">
        <v>0</v>
      </c>
      <c r="Q595" t="n">
        <v>0</v>
      </c>
      <c r="R595" s="2" t="inlineStr"/>
    </row>
    <row r="596" ht="15" customHeight="1">
      <c r="A596" t="inlineStr">
        <is>
          <t>A 39816-2024</t>
        </is>
      </c>
      <c r="B596" s="1" t="n">
        <v>45553.3859837963</v>
      </c>
      <c r="C596" s="1" t="n">
        <v>45913</v>
      </c>
      <c r="D596" t="inlineStr">
        <is>
          <t>NORRBOTTENS LÄN</t>
        </is>
      </c>
      <c r="E596" t="inlineStr">
        <is>
          <t>LULEÅ</t>
        </is>
      </c>
      <c r="F596" t="inlineStr">
        <is>
          <t>Naturvårdsverket</t>
        </is>
      </c>
      <c r="G596" t="n">
        <v>11.1</v>
      </c>
      <c r="H596" t="n">
        <v>0</v>
      </c>
      <c r="I596" t="n">
        <v>0</v>
      </c>
      <c r="J596" t="n">
        <v>0</v>
      </c>
      <c r="K596" t="n">
        <v>0</v>
      </c>
      <c r="L596" t="n">
        <v>0</v>
      </c>
      <c r="M596" t="n">
        <v>0</v>
      </c>
      <c r="N596" t="n">
        <v>0</v>
      </c>
      <c r="O596" t="n">
        <v>0</v>
      </c>
      <c r="P596" t="n">
        <v>0</v>
      </c>
      <c r="Q596" t="n">
        <v>0</v>
      </c>
      <c r="R596" s="2" t="inlineStr"/>
    </row>
    <row r="597" ht="15" customHeight="1">
      <c r="A597" t="inlineStr">
        <is>
          <t>A 10377-2025</t>
        </is>
      </c>
      <c r="B597" s="1" t="n">
        <v>45720.5630787037</v>
      </c>
      <c r="C597" s="1" t="n">
        <v>45913</v>
      </c>
      <c r="D597" t="inlineStr">
        <is>
          <t>NORRBOTTENS LÄN</t>
        </is>
      </c>
      <c r="E597" t="inlineStr">
        <is>
          <t>LULEÅ</t>
        </is>
      </c>
      <c r="G597" t="n">
        <v>3</v>
      </c>
      <c r="H597" t="n">
        <v>0</v>
      </c>
      <c r="I597" t="n">
        <v>0</v>
      </c>
      <c r="J597" t="n">
        <v>0</v>
      </c>
      <c r="K597" t="n">
        <v>0</v>
      </c>
      <c r="L597" t="n">
        <v>0</v>
      </c>
      <c r="M597" t="n">
        <v>0</v>
      </c>
      <c r="N597" t="n">
        <v>0</v>
      </c>
      <c r="O597" t="n">
        <v>0</v>
      </c>
      <c r="P597" t="n">
        <v>0</v>
      </c>
      <c r="Q597" t="n">
        <v>0</v>
      </c>
      <c r="R597" s="2" t="inlineStr"/>
    </row>
    <row r="598" ht="15" customHeight="1">
      <c r="A598" t="inlineStr">
        <is>
          <t>A 20723-2021</t>
        </is>
      </c>
      <c r="B598" s="1" t="n">
        <v>44316.52800925926</v>
      </c>
      <c r="C598" s="1" t="n">
        <v>45913</v>
      </c>
      <c r="D598" t="inlineStr">
        <is>
          <t>NORRBOTTENS LÄN</t>
        </is>
      </c>
      <c r="E598" t="inlineStr">
        <is>
          <t>LULEÅ</t>
        </is>
      </c>
      <c r="G598" t="n">
        <v>7</v>
      </c>
      <c r="H598" t="n">
        <v>0</v>
      </c>
      <c r="I598" t="n">
        <v>0</v>
      </c>
      <c r="J598" t="n">
        <v>0</v>
      </c>
      <c r="K598" t="n">
        <v>0</v>
      </c>
      <c r="L598" t="n">
        <v>0</v>
      </c>
      <c r="M598" t="n">
        <v>0</v>
      </c>
      <c r="N598" t="n">
        <v>0</v>
      </c>
      <c r="O598" t="n">
        <v>0</v>
      </c>
      <c r="P598" t="n">
        <v>0</v>
      </c>
      <c r="Q598" t="n">
        <v>0</v>
      </c>
      <c r="R598" s="2" t="inlineStr"/>
    </row>
    <row r="599" ht="15" customHeight="1">
      <c r="A599" t="inlineStr">
        <is>
          <t>A 8767-2025</t>
        </is>
      </c>
      <c r="B599" s="1" t="n">
        <v>45712.58931712963</v>
      </c>
      <c r="C599" s="1" t="n">
        <v>45913</v>
      </c>
      <c r="D599" t="inlineStr">
        <is>
          <t>NORRBOTTENS LÄN</t>
        </is>
      </c>
      <c r="E599" t="inlineStr">
        <is>
          <t>LULEÅ</t>
        </is>
      </c>
      <c r="G599" t="n">
        <v>3.4</v>
      </c>
      <c r="H599" t="n">
        <v>0</v>
      </c>
      <c r="I599" t="n">
        <v>0</v>
      </c>
      <c r="J599" t="n">
        <v>0</v>
      </c>
      <c r="K599" t="n">
        <v>0</v>
      </c>
      <c r="L599" t="n">
        <v>0</v>
      </c>
      <c r="M599" t="n">
        <v>0</v>
      </c>
      <c r="N599" t="n">
        <v>0</v>
      </c>
      <c r="O599" t="n">
        <v>0</v>
      </c>
      <c r="P599" t="n">
        <v>0</v>
      </c>
      <c r="Q599" t="n">
        <v>0</v>
      </c>
      <c r="R599" s="2" t="inlineStr"/>
    </row>
    <row r="600" ht="15" customHeight="1">
      <c r="A600" t="inlineStr">
        <is>
          <t>A 11901-2025</t>
        </is>
      </c>
      <c r="B600" s="1" t="n">
        <v>45727</v>
      </c>
      <c r="C600" s="1" t="n">
        <v>45913</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12552-2024</t>
        </is>
      </c>
      <c r="B601" s="1" t="n">
        <v>45379</v>
      </c>
      <c r="C601" s="1" t="n">
        <v>45913</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704-2025</t>
        </is>
      </c>
      <c r="B602" s="1" t="n">
        <v>45663</v>
      </c>
      <c r="C602" s="1" t="n">
        <v>45913</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114-2025</t>
        </is>
      </c>
      <c r="B603" s="1" t="n">
        <v>45659.51113425926</v>
      </c>
      <c r="C603" s="1" t="n">
        <v>45913</v>
      </c>
      <c r="D603" t="inlineStr">
        <is>
          <t>NORRBOTTENS LÄN</t>
        </is>
      </c>
      <c r="E603" t="inlineStr">
        <is>
          <t>LULEÅ</t>
        </is>
      </c>
      <c r="G603" t="n">
        <v>3.5</v>
      </c>
      <c r="H603" t="n">
        <v>0</v>
      </c>
      <c r="I603" t="n">
        <v>0</v>
      </c>
      <c r="J603" t="n">
        <v>0</v>
      </c>
      <c r="K603" t="n">
        <v>0</v>
      </c>
      <c r="L603" t="n">
        <v>0</v>
      </c>
      <c r="M603" t="n">
        <v>0</v>
      </c>
      <c r="N603" t="n">
        <v>0</v>
      </c>
      <c r="O603" t="n">
        <v>0</v>
      </c>
      <c r="P603" t="n">
        <v>0</v>
      </c>
      <c r="Q603" t="n">
        <v>0</v>
      </c>
      <c r="R603" s="2" t="inlineStr"/>
    </row>
    <row r="604" ht="15" customHeight="1">
      <c r="A604" t="inlineStr">
        <is>
          <t>A 45857-2024</t>
        </is>
      </c>
      <c r="B604" s="1" t="n">
        <v>45580.34554398148</v>
      </c>
      <c r="C604" s="1" t="n">
        <v>45913</v>
      </c>
      <c r="D604" t="inlineStr">
        <is>
          <t>NORRBOTTENS LÄN</t>
        </is>
      </c>
      <c r="E604" t="inlineStr">
        <is>
          <t>LULEÅ</t>
        </is>
      </c>
      <c r="G604" t="n">
        <v>4.6</v>
      </c>
      <c r="H604" t="n">
        <v>0</v>
      </c>
      <c r="I604" t="n">
        <v>0</v>
      </c>
      <c r="J604" t="n">
        <v>0</v>
      </c>
      <c r="K604" t="n">
        <v>0</v>
      </c>
      <c r="L604" t="n">
        <v>0</v>
      </c>
      <c r="M604" t="n">
        <v>0</v>
      </c>
      <c r="N604" t="n">
        <v>0</v>
      </c>
      <c r="O604" t="n">
        <v>0</v>
      </c>
      <c r="P604" t="n">
        <v>0</v>
      </c>
      <c r="Q604" t="n">
        <v>0</v>
      </c>
      <c r="R604" s="2" t="inlineStr"/>
    </row>
    <row r="605" ht="15" customHeight="1">
      <c r="A605" t="inlineStr">
        <is>
          <t>A 64240-2023</t>
        </is>
      </c>
      <c r="B605" s="1" t="n">
        <v>45279</v>
      </c>
      <c r="C605" s="1" t="n">
        <v>45913</v>
      </c>
      <c r="D605" t="inlineStr">
        <is>
          <t>NORRBOTTENS LÄN</t>
        </is>
      </c>
      <c r="E605" t="inlineStr">
        <is>
          <t>LULEÅ</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10885-2023</t>
        </is>
      </c>
      <c r="B606" s="1" t="n">
        <v>44985</v>
      </c>
      <c r="C606" s="1" t="n">
        <v>45913</v>
      </c>
      <c r="D606" t="inlineStr">
        <is>
          <t>NORRBOTTENS LÄN</t>
        </is>
      </c>
      <c r="E606" t="inlineStr">
        <is>
          <t>LULEÅ</t>
        </is>
      </c>
      <c r="G606" t="n">
        <v>3.1</v>
      </c>
      <c r="H606" t="n">
        <v>0</v>
      </c>
      <c r="I606" t="n">
        <v>0</v>
      </c>
      <c r="J606" t="n">
        <v>0</v>
      </c>
      <c r="K606" t="n">
        <v>0</v>
      </c>
      <c r="L606" t="n">
        <v>0</v>
      </c>
      <c r="M606" t="n">
        <v>0</v>
      </c>
      <c r="N606" t="n">
        <v>0</v>
      </c>
      <c r="O606" t="n">
        <v>0</v>
      </c>
      <c r="P606" t="n">
        <v>0</v>
      </c>
      <c r="Q606" t="n">
        <v>0</v>
      </c>
      <c r="R606" s="2" t="inlineStr"/>
    </row>
    <row r="607" ht="15" customHeight="1">
      <c r="A607" t="inlineStr">
        <is>
          <t>A 2748-2022</t>
        </is>
      </c>
      <c r="B607" s="1" t="n">
        <v>44580</v>
      </c>
      <c r="C607" s="1" t="n">
        <v>45913</v>
      </c>
      <c r="D607" t="inlineStr">
        <is>
          <t>NORRBOTTENS LÄN</t>
        </is>
      </c>
      <c r="E607" t="inlineStr">
        <is>
          <t>LULEÅ</t>
        </is>
      </c>
      <c r="G607" t="n">
        <v>4.7</v>
      </c>
      <c r="H607" t="n">
        <v>0</v>
      </c>
      <c r="I607" t="n">
        <v>0</v>
      </c>
      <c r="J607" t="n">
        <v>0</v>
      </c>
      <c r="K607" t="n">
        <v>0</v>
      </c>
      <c r="L607" t="n">
        <v>0</v>
      </c>
      <c r="M607" t="n">
        <v>0</v>
      </c>
      <c r="N607" t="n">
        <v>0</v>
      </c>
      <c r="O607" t="n">
        <v>0</v>
      </c>
      <c r="P607" t="n">
        <v>0</v>
      </c>
      <c r="Q607" t="n">
        <v>0</v>
      </c>
      <c r="R607" s="2" t="inlineStr"/>
    </row>
    <row r="608" ht="15" customHeight="1">
      <c r="A608" t="inlineStr">
        <is>
          <t>A 7037-2025</t>
        </is>
      </c>
      <c r="B608" s="1" t="n">
        <v>45701.63607638889</v>
      </c>
      <c r="C608" s="1" t="n">
        <v>45913</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700-2025</t>
        </is>
      </c>
      <c r="B609" s="1" t="n">
        <v>45663</v>
      </c>
      <c r="C609" s="1" t="n">
        <v>45913</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702-2025</t>
        </is>
      </c>
      <c r="B610" s="1" t="n">
        <v>45663</v>
      </c>
      <c r="C610" s="1" t="n">
        <v>45913</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2659-2025</t>
        </is>
      </c>
      <c r="B611" s="1" t="n">
        <v>45676.8134375</v>
      </c>
      <c r="C611" s="1" t="n">
        <v>45913</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454-2024</t>
        </is>
      </c>
      <c r="B612" s="1" t="n">
        <v>45296</v>
      </c>
      <c r="C612" s="1" t="n">
        <v>45913</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22017-2024</t>
        </is>
      </c>
      <c r="B613" s="1" t="n">
        <v>45443</v>
      </c>
      <c r="C613" s="1" t="n">
        <v>45913</v>
      </c>
      <c r="D613" t="inlineStr">
        <is>
          <t>NORRBOTTENS LÄN</t>
        </is>
      </c>
      <c r="E613" t="inlineStr">
        <is>
          <t>LULEÅ</t>
        </is>
      </c>
      <c r="G613" t="n">
        <v>0.2</v>
      </c>
      <c r="H613" t="n">
        <v>0</v>
      </c>
      <c r="I613" t="n">
        <v>0</v>
      </c>
      <c r="J613" t="n">
        <v>0</v>
      </c>
      <c r="K613" t="n">
        <v>0</v>
      </c>
      <c r="L613" t="n">
        <v>0</v>
      </c>
      <c r="M613" t="n">
        <v>0</v>
      </c>
      <c r="N613" t="n">
        <v>0</v>
      </c>
      <c r="O613" t="n">
        <v>0</v>
      </c>
      <c r="P613" t="n">
        <v>0</v>
      </c>
      <c r="Q613" t="n">
        <v>0</v>
      </c>
      <c r="R613" s="2" t="inlineStr"/>
    </row>
    <row r="614" ht="15" customHeight="1">
      <c r="A614" t="inlineStr">
        <is>
          <t>A 3128-2023</t>
        </is>
      </c>
      <c r="B614" s="1" t="n">
        <v>44946</v>
      </c>
      <c r="C614" s="1" t="n">
        <v>45913</v>
      </c>
      <c r="D614" t="inlineStr">
        <is>
          <t>NORRBOTTENS LÄN</t>
        </is>
      </c>
      <c r="E614" t="inlineStr">
        <is>
          <t>LULEÅ</t>
        </is>
      </c>
      <c r="G614" t="n">
        <v>5</v>
      </c>
      <c r="H614" t="n">
        <v>0</v>
      </c>
      <c r="I614" t="n">
        <v>0</v>
      </c>
      <c r="J614" t="n">
        <v>0</v>
      </c>
      <c r="K614" t="n">
        <v>0</v>
      </c>
      <c r="L614" t="n">
        <v>0</v>
      </c>
      <c r="M614" t="n">
        <v>0</v>
      </c>
      <c r="N614" t="n">
        <v>0</v>
      </c>
      <c r="O614" t="n">
        <v>0</v>
      </c>
      <c r="P614" t="n">
        <v>0</v>
      </c>
      <c r="Q614" t="n">
        <v>0</v>
      </c>
      <c r="R614" s="2" t="inlineStr"/>
    </row>
    <row r="615" ht="15" customHeight="1">
      <c r="A615" t="inlineStr">
        <is>
          <t>A 57823-2022</t>
        </is>
      </c>
      <c r="B615" s="1" t="n">
        <v>44897</v>
      </c>
      <c r="C615" s="1" t="n">
        <v>45913</v>
      </c>
      <c r="D615" t="inlineStr">
        <is>
          <t>NORRBOTTENS LÄN</t>
        </is>
      </c>
      <c r="E615" t="inlineStr">
        <is>
          <t>LULEÅ</t>
        </is>
      </c>
      <c r="G615" t="n">
        <v>6.7</v>
      </c>
      <c r="H615" t="n">
        <v>0</v>
      </c>
      <c r="I615" t="n">
        <v>0</v>
      </c>
      <c r="J615" t="n">
        <v>0</v>
      </c>
      <c r="K615" t="n">
        <v>0</v>
      </c>
      <c r="L615" t="n">
        <v>0</v>
      </c>
      <c r="M615" t="n">
        <v>0</v>
      </c>
      <c r="N615" t="n">
        <v>0</v>
      </c>
      <c r="O615" t="n">
        <v>0</v>
      </c>
      <c r="P615" t="n">
        <v>0</v>
      </c>
      <c r="Q615" t="n">
        <v>0</v>
      </c>
      <c r="R615" s="2" t="inlineStr"/>
    </row>
    <row r="616" ht="15" customHeight="1">
      <c r="A616" t="inlineStr">
        <is>
          <t>A 57825-2022</t>
        </is>
      </c>
      <c r="B616" s="1" t="n">
        <v>44897</v>
      </c>
      <c r="C616" s="1" t="n">
        <v>45913</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55083-2024</t>
        </is>
      </c>
      <c r="B617" s="1" t="n">
        <v>45621.42998842592</v>
      </c>
      <c r="C617" s="1" t="n">
        <v>45913</v>
      </c>
      <c r="D617" t="inlineStr">
        <is>
          <t>NORRBOTTENS LÄN</t>
        </is>
      </c>
      <c r="E617" t="inlineStr">
        <is>
          <t>LULEÅ</t>
        </is>
      </c>
      <c r="G617" t="n">
        <v>7</v>
      </c>
      <c r="H617" t="n">
        <v>0</v>
      </c>
      <c r="I617" t="n">
        <v>0</v>
      </c>
      <c r="J617" t="n">
        <v>0</v>
      </c>
      <c r="K617" t="n">
        <v>0</v>
      </c>
      <c r="L617" t="n">
        <v>0</v>
      </c>
      <c r="M617" t="n">
        <v>0</v>
      </c>
      <c r="N617" t="n">
        <v>0</v>
      </c>
      <c r="O617" t="n">
        <v>0</v>
      </c>
      <c r="P617" t="n">
        <v>0</v>
      </c>
      <c r="Q617" t="n">
        <v>0</v>
      </c>
      <c r="R617" s="2" t="inlineStr"/>
    </row>
    <row r="618" ht="15" customHeight="1">
      <c r="A618" t="inlineStr">
        <is>
          <t>A 50640-2024</t>
        </is>
      </c>
      <c r="B618" s="1" t="n">
        <v>45601.67827546296</v>
      </c>
      <c r="C618" s="1" t="n">
        <v>45913</v>
      </c>
      <c r="D618" t="inlineStr">
        <is>
          <t>NORRBOTTENS LÄN</t>
        </is>
      </c>
      <c r="E618" t="inlineStr">
        <is>
          <t>LULEÅ</t>
        </is>
      </c>
      <c r="G618" t="n">
        <v>3</v>
      </c>
      <c r="H618" t="n">
        <v>0</v>
      </c>
      <c r="I618" t="n">
        <v>0</v>
      </c>
      <c r="J618" t="n">
        <v>0</v>
      </c>
      <c r="K618" t="n">
        <v>0</v>
      </c>
      <c r="L618" t="n">
        <v>0</v>
      </c>
      <c r="M618" t="n">
        <v>0</v>
      </c>
      <c r="N618" t="n">
        <v>0</v>
      </c>
      <c r="O618" t="n">
        <v>0</v>
      </c>
      <c r="P618" t="n">
        <v>0</v>
      </c>
      <c r="Q618" t="n">
        <v>0</v>
      </c>
      <c r="R618" s="2" t="inlineStr"/>
    </row>
    <row r="619" ht="15" customHeight="1">
      <c r="A619" t="inlineStr">
        <is>
          <t>A 17304-2025</t>
        </is>
      </c>
      <c r="B619" s="1" t="n">
        <v>45756</v>
      </c>
      <c r="C619" s="1" t="n">
        <v>45913</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17306-2025</t>
        </is>
      </c>
      <c r="B620" s="1" t="n">
        <v>45756.60434027778</v>
      </c>
      <c r="C620" s="1" t="n">
        <v>45913</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59609-2024</t>
        </is>
      </c>
      <c r="B621" s="1" t="n">
        <v>45638.75081018519</v>
      </c>
      <c r="C621" s="1" t="n">
        <v>45913</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c r="A622" t="inlineStr">
        <is>
          <t>A 5058-2025</t>
        </is>
      </c>
      <c r="B622" s="1" t="n">
        <v>45691.46903935185</v>
      </c>
      <c r="C622" s="1" t="n">
        <v>45913</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2025-09-13T08:57:30Z</dcterms:created>
  <dcterms:modified xmlns:dcterms="http://purl.org/dc/terms/" xmlns:xsi="http://www.w3.org/2001/XMLSchema-instance" xsi:type="dcterms:W3CDTF">2025-09-13T08:57:31Z</dcterms:modified>
</cp:coreProperties>
</file>