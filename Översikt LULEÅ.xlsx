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45877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45877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45877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45877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45877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45877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45877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45877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45877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45877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45877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45877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45877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45877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45877</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45877</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45877</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45877</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45877</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45877</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45877</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45877</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45877</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45877</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45877</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45877</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45877</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45877</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45877</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45877</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45877</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45877</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45877</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45877</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45877</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45877</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45877</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45877</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45877</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45877</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45877</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45877</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45877</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45877</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45877</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45877</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45877</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45877</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45877</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45877</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45877</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45877</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45877</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45877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52164-2022</t>
        </is>
      </c>
      <c r="B56" s="1" t="n">
        <v>44868</v>
      </c>
      <c r="C56" s="1" t="n">
        <v>45877</v>
      </c>
      <c r="D56" t="inlineStr">
        <is>
          <t>NORRBOTTENS LÄN</t>
        </is>
      </c>
      <c r="E56" t="inlineStr">
        <is>
          <t>LULEÅ</t>
        </is>
      </c>
      <c r="G56" t="n">
        <v>3.6</v>
      </c>
      <c r="H56" t="n">
        <v>1</v>
      </c>
      <c r="I56" t="n">
        <v>0</v>
      </c>
      <c r="J56" t="n">
        <v>1</v>
      </c>
      <c r="K56" t="n">
        <v>0</v>
      </c>
      <c r="L56" t="n">
        <v>0</v>
      </c>
      <c r="M56" t="n">
        <v>0</v>
      </c>
      <c r="N56" t="n">
        <v>0</v>
      </c>
      <c r="O56" t="n">
        <v>1</v>
      </c>
      <c r="P56" t="n">
        <v>0</v>
      </c>
      <c r="Q56" t="n">
        <v>1</v>
      </c>
      <c r="R56" s="2" t="inlineStr">
        <is>
          <t>Havsörn</t>
        </is>
      </c>
      <c r="S56">
        <f>HYPERLINK("https://klasma.github.io/Logging_2580/artfynd/A 52164-2022 artfynd.xlsx", "A 52164-2022")</f>
        <v/>
      </c>
      <c r="T56">
        <f>HYPERLINK("https://klasma.github.io/Logging_2580/kartor/A 52164-2022 karta.png", "A 52164-2022")</f>
        <v/>
      </c>
      <c r="V56">
        <f>HYPERLINK("https://klasma.github.io/Logging_2580/klagomål/A 52164-2022 FSC-klagomål.docx", "A 52164-2022")</f>
        <v/>
      </c>
      <c r="W56">
        <f>HYPERLINK("https://klasma.github.io/Logging_2580/klagomålsmail/A 52164-2022 FSC-klagomål mail.docx", "A 52164-2022")</f>
        <v/>
      </c>
      <c r="X56">
        <f>HYPERLINK("https://klasma.github.io/Logging_2580/tillsyn/A 52164-2022 tillsynsbegäran.docx", "A 52164-2022")</f>
        <v/>
      </c>
      <c r="Y56">
        <f>HYPERLINK("https://klasma.github.io/Logging_2580/tillsynsmail/A 52164-2022 tillsynsbegäran mail.docx", "A 52164-2022")</f>
        <v/>
      </c>
      <c r="Z56">
        <f>HYPERLINK("https://klasma.github.io/Logging_2580/fåglar/A 52164-2022 prioriterade fågelarter.docx", "A 52164-2022")</f>
        <v/>
      </c>
    </row>
    <row r="57" ht="15" customHeight="1">
      <c r="A57" t="inlineStr">
        <is>
          <t>A 58717-2022</t>
        </is>
      </c>
      <c r="B57" s="1" t="n">
        <v>44902</v>
      </c>
      <c r="C57" s="1" t="n">
        <v>45877</v>
      </c>
      <c r="D57" t="inlineStr">
        <is>
          <t>NORRBOTTENS LÄN</t>
        </is>
      </c>
      <c r="E57" t="inlineStr">
        <is>
          <t>LULEÅ</t>
        </is>
      </c>
      <c r="G57" t="n">
        <v>5.9</v>
      </c>
      <c r="H57" t="n">
        <v>0</v>
      </c>
      <c r="I57" t="n">
        <v>1</v>
      </c>
      <c r="J57" t="n">
        <v>0</v>
      </c>
      <c r="K57" t="n">
        <v>0</v>
      </c>
      <c r="L57" t="n">
        <v>0</v>
      </c>
      <c r="M57" t="n">
        <v>0</v>
      </c>
      <c r="N57" t="n">
        <v>0</v>
      </c>
      <c r="O57" t="n">
        <v>0</v>
      </c>
      <c r="P57" t="n">
        <v>0</v>
      </c>
      <c r="Q57" t="n">
        <v>1</v>
      </c>
      <c r="R57" s="2" t="inlineStr">
        <is>
          <t>Dropptaggsvamp</t>
        </is>
      </c>
      <c r="S57">
        <f>HYPERLINK("https://klasma.github.io/Logging_2580/artfynd/A 58717-2022 artfynd.xlsx", "A 58717-2022")</f>
        <v/>
      </c>
      <c r="T57">
        <f>HYPERLINK("https://klasma.github.io/Logging_2580/kartor/A 58717-2022 karta.png", "A 58717-2022")</f>
        <v/>
      </c>
      <c r="V57">
        <f>HYPERLINK("https://klasma.github.io/Logging_2580/klagomål/A 58717-2022 FSC-klagomål.docx", "A 58717-2022")</f>
        <v/>
      </c>
      <c r="W57">
        <f>HYPERLINK("https://klasma.github.io/Logging_2580/klagomålsmail/A 58717-2022 FSC-klagomål mail.docx", "A 58717-2022")</f>
        <v/>
      </c>
      <c r="X57">
        <f>HYPERLINK("https://klasma.github.io/Logging_2580/tillsyn/A 58717-2022 tillsynsbegäran.docx", "A 58717-2022")</f>
        <v/>
      </c>
      <c r="Y57">
        <f>HYPERLINK("https://klasma.github.io/Logging_2580/tillsynsmail/A 58717-2022 tillsynsbegäran mail.docx", "A 58717-2022")</f>
        <v/>
      </c>
    </row>
    <row r="58" ht="15" customHeight="1">
      <c r="A58" t="inlineStr">
        <is>
          <t>A 59362-2022</t>
        </is>
      </c>
      <c r="B58" s="1" t="n">
        <v>44904</v>
      </c>
      <c r="C58" s="1" t="n">
        <v>45877</v>
      </c>
      <c r="D58" t="inlineStr">
        <is>
          <t>NORRBOTTENS LÄN</t>
        </is>
      </c>
      <c r="E58" t="inlineStr">
        <is>
          <t>LULEÅ</t>
        </is>
      </c>
      <c r="G58" t="n">
        <v>5.1</v>
      </c>
      <c r="H58" t="n">
        <v>1</v>
      </c>
      <c r="I58" t="n">
        <v>0</v>
      </c>
      <c r="J58" t="n">
        <v>1</v>
      </c>
      <c r="K58" t="n">
        <v>0</v>
      </c>
      <c r="L58" t="n">
        <v>0</v>
      </c>
      <c r="M58" t="n">
        <v>0</v>
      </c>
      <c r="N58" t="n">
        <v>0</v>
      </c>
      <c r="O58" t="n">
        <v>1</v>
      </c>
      <c r="P58" t="n">
        <v>0</v>
      </c>
      <c r="Q58" t="n">
        <v>1</v>
      </c>
      <c r="R58" s="2" t="inlineStr">
        <is>
          <t>Tretåig hackspett</t>
        </is>
      </c>
      <c r="S58">
        <f>HYPERLINK("https://klasma.github.io/Logging_2580/artfynd/A 59362-2022 artfynd.xlsx", "A 59362-2022")</f>
        <v/>
      </c>
      <c r="T58">
        <f>HYPERLINK("https://klasma.github.io/Logging_2580/kartor/A 59362-2022 karta.png", "A 59362-2022")</f>
        <v/>
      </c>
      <c r="V58">
        <f>HYPERLINK("https://klasma.github.io/Logging_2580/klagomål/A 59362-2022 FSC-klagomål.docx", "A 59362-2022")</f>
        <v/>
      </c>
      <c r="W58">
        <f>HYPERLINK("https://klasma.github.io/Logging_2580/klagomålsmail/A 59362-2022 FSC-klagomål mail.docx", "A 59362-2022")</f>
        <v/>
      </c>
      <c r="X58">
        <f>HYPERLINK("https://klasma.github.io/Logging_2580/tillsyn/A 59362-2022 tillsynsbegäran.docx", "A 59362-2022")</f>
        <v/>
      </c>
      <c r="Y58">
        <f>HYPERLINK("https://klasma.github.io/Logging_2580/tillsynsmail/A 59362-2022 tillsynsbegäran mail.docx", "A 59362-2022")</f>
        <v/>
      </c>
      <c r="Z58">
        <f>HYPERLINK("https://klasma.github.io/Logging_2580/fåglar/A 59362-2022 prioriterade fågelarter.docx", "A 59362-2022")</f>
        <v/>
      </c>
    </row>
    <row r="59" ht="15" customHeight="1">
      <c r="A59" t="inlineStr">
        <is>
          <t>A 4561-2023</t>
        </is>
      </c>
      <c r="B59" s="1" t="n">
        <v>44951</v>
      </c>
      <c r="C59" s="1" t="n">
        <v>45877</v>
      </c>
      <c r="D59" t="inlineStr">
        <is>
          <t>NORRBOTTENS LÄN</t>
        </is>
      </c>
      <c r="E59" t="inlineStr">
        <is>
          <t>LULEÅ</t>
        </is>
      </c>
      <c r="G59" t="n">
        <v>4.1</v>
      </c>
      <c r="H59" t="n">
        <v>1</v>
      </c>
      <c r="I59" t="n">
        <v>0</v>
      </c>
      <c r="J59" t="n">
        <v>0</v>
      </c>
      <c r="K59" t="n">
        <v>1</v>
      </c>
      <c r="L59" t="n">
        <v>0</v>
      </c>
      <c r="M59" t="n">
        <v>0</v>
      </c>
      <c r="N59" t="n">
        <v>0</v>
      </c>
      <c r="O59" t="n">
        <v>1</v>
      </c>
      <c r="P59" t="n">
        <v>1</v>
      </c>
      <c r="Q59" t="n">
        <v>1</v>
      </c>
      <c r="R59" s="2" t="inlineStr">
        <is>
          <t>Topplåsbräken</t>
        </is>
      </c>
      <c r="S59">
        <f>HYPERLINK("https://klasma.github.io/Logging_2580/artfynd/A 4561-2023 artfynd.xlsx", "A 4561-2023")</f>
        <v/>
      </c>
      <c r="T59">
        <f>HYPERLINK("https://klasma.github.io/Logging_2580/kartor/A 4561-2023 karta.png", "A 4561-2023")</f>
        <v/>
      </c>
      <c r="V59">
        <f>HYPERLINK("https://klasma.github.io/Logging_2580/klagomål/A 4561-2023 FSC-klagomål.docx", "A 4561-2023")</f>
        <v/>
      </c>
      <c r="W59">
        <f>HYPERLINK("https://klasma.github.io/Logging_2580/klagomålsmail/A 4561-2023 FSC-klagomål mail.docx", "A 4561-2023")</f>
        <v/>
      </c>
      <c r="X59">
        <f>HYPERLINK("https://klasma.github.io/Logging_2580/tillsyn/A 4561-2023 tillsynsbegäran.docx", "A 4561-2023")</f>
        <v/>
      </c>
      <c r="Y59">
        <f>HYPERLINK("https://klasma.github.io/Logging_2580/tillsynsmail/A 4561-2023 tillsynsbegäran mail.docx", "A 4561-2023")</f>
        <v/>
      </c>
    </row>
    <row r="60" ht="15" customHeight="1">
      <c r="A60" t="inlineStr">
        <is>
          <t>A 17428-2023</t>
        </is>
      </c>
      <c r="B60" s="1" t="n">
        <v>45036</v>
      </c>
      <c r="C60" s="1" t="n">
        <v>45877</v>
      </c>
      <c r="D60" t="inlineStr">
        <is>
          <t>NORRBOTTENS LÄN</t>
        </is>
      </c>
      <c r="E60" t="inlineStr">
        <is>
          <t>LULEÅ</t>
        </is>
      </c>
      <c r="G60" t="n">
        <v>2</v>
      </c>
      <c r="H60" t="n">
        <v>0</v>
      </c>
      <c r="I60" t="n">
        <v>1</v>
      </c>
      <c r="J60" t="n">
        <v>0</v>
      </c>
      <c r="K60" t="n">
        <v>0</v>
      </c>
      <c r="L60" t="n">
        <v>0</v>
      </c>
      <c r="M60" t="n">
        <v>0</v>
      </c>
      <c r="N60" t="n">
        <v>0</v>
      </c>
      <c r="O60" t="n">
        <v>0</v>
      </c>
      <c r="P60" t="n">
        <v>0</v>
      </c>
      <c r="Q60" t="n">
        <v>1</v>
      </c>
      <c r="R60" s="2" t="inlineStr">
        <is>
          <t>Mindre märgborre</t>
        </is>
      </c>
      <c r="S60">
        <f>HYPERLINK("https://klasma.github.io/Logging_2580/artfynd/A 17428-2023 artfynd.xlsx", "A 17428-2023")</f>
        <v/>
      </c>
      <c r="T60">
        <f>HYPERLINK("https://klasma.github.io/Logging_2580/kartor/A 17428-2023 karta.png", "A 17428-2023")</f>
        <v/>
      </c>
      <c r="V60">
        <f>HYPERLINK("https://klasma.github.io/Logging_2580/klagomål/A 17428-2023 FSC-klagomål.docx", "A 17428-2023")</f>
        <v/>
      </c>
      <c r="W60">
        <f>HYPERLINK("https://klasma.github.io/Logging_2580/klagomålsmail/A 17428-2023 FSC-klagomål mail.docx", "A 17428-2023")</f>
        <v/>
      </c>
      <c r="X60">
        <f>HYPERLINK("https://klasma.github.io/Logging_2580/tillsyn/A 17428-2023 tillsynsbegäran.docx", "A 17428-2023")</f>
        <v/>
      </c>
      <c r="Y60">
        <f>HYPERLINK("https://klasma.github.io/Logging_2580/tillsynsmail/A 17428-2023 tillsynsbegäran mail.docx", "A 17428-2023")</f>
        <v/>
      </c>
    </row>
    <row r="61" ht="15" customHeight="1">
      <c r="A61" t="inlineStr">
        <is>
          <t>A 39583-2023</t>
        </is>
      </c>
      <c r="B61" s="1" t="n">
        <v>45167</v>
      </c>
      <c r="C61" s="1" t="n">
        <v>45877</v>
      </c>
      <c r="D61" t="inlineStr">
        <is>
          <t>NORRBOTTENS LÄN</t>
        </is>
      </c>
      <c r="E61" t="inlineStr">
        <is>
          <t>LULEÅ</t>
        </is>
      </c>
      <c r="G61" t="n">
        <v>20.5</v>
      </c>
      <c r="H61" t="n">
        <v>0</v>
      </c>
      <c r="I61" t="n">
        <v>1</v>
      </c>
      <c r="J61" t="n">
        <v>0</v>
      </c>
      <c r="K61" t="n">
        <v>0</v>
      </c>
      <c r="L61" t="n">
        <v>0</v>
      </c>
      <c r="M61" t="n">
        <v>0</v>
      </c>
      <c r="N61" t="n">
        <v>0</v>
      </c>
      <c r="O61" t="n">
        <v>0</v>
      </c>
      <c r="P61" t="n">
        <v>0</v>
      </c>
      <c r="Q61" t="n">
        <v>1</v>
      </c>
      <c r="R61" s="2" t="inlineStr">
        <is>
          <t>Dropptaggsvamp</t>
        </is>
      </c>
      <c r="S61">
        <f>HYPERLINK("https://klasma.github.io/Logging_2580/artfynd/A 39583-2023 artfynd.xlsx", "A 39583-2023")</f>
        <v/>
      </c>
      <c r="T61">
        <f>HYPERLINK("https://klasma.github.io/Logging_2580/kartor/A 39583-2023 karta.png", "A 39583-2023")</f>
        <v/>
      </c>
      <c r="V61">
        <f>HYPERLINK("https://klasma.github.io/Logging_2580/klagomål/A 39583-2023 FSC-klagomål.docx", "A 39583-2023")</f>
        <v/>
      </c>
      <c r="W61">
        <f>HYPERLINK("https://klasma.github.io/Logging_2580/klagomålsmail/A 39583-2023 FSC-klagomål mail.docx", "A 39583-2023")</f>
        <v/>
      </c>
      <c r="X61">
        <f>HYPERLINK("https://klasma.github.io/Logging_2580/tillsyn/A 39583-2023 tillsynsbegäran.docx", "A 39583-2023")</f>
        <v/>
      </c>
      <c r="Y61">
        <f>HYPERLINK("https://klasma.github.io/Logging_2580/tillsynsmail/A 39583-2023 tillsynsbegäran mail.docx", "A 39583-2023")</f>
        <v/>
      </c>
    </row>
    <row r="62" ht="15" customHeight="1">
      <c r="A62" t="inlineStr">
        <is>
          <t>A 56564-2023</t>
        </is>
      </c>
      <c r="B62" s="1" t="n">
        <v>45237</v>
      </c>
      <c r="C62" s="1" t="n">
        <v>45877</v>
      </c>
      <c r="D62" t="inlineStr">
        <is>
          <t>NORRBOTTENS LÄN</t>
        </is>
      </c>
      <c r="E62" t="inlineStr">
        <is>
          <t>LULEÅ</t>
        </is>
      </c>
      <c r="G62" t="n">
        <v>33</v>
      </c>
      <c r="H62" t="n">
        <v>1</v>
      </c>
      <c r="I62" t="n">
        <v>0</v>
      </c>
      <c r="J62" t="n">
        <v>1</v>
      </c>
      <c r="K62" t="n">
        <v>0</v>
      </c>
      <c r="L62" t="n">
        <v>0</v>
      </c>
      <c r="M62" t="n">
        <v>0</v>
      </c>
      <c r="N62" t="n">
        <v>0</v>
      </c>
      <c r="O62" t="n">
        <v>1</v>
      </c>
      <c r="P62" t="n">
        <v>0</v>
      </c>
      <c r="Q62" t="n">
        <v>1</v>
      </c>
      <c r="R62" s="2" t="inlineStr">
        <is>
          <t>Järpe</t>
        </is>
      </c>
      <c r="S62">
        <f>HYPERLINK("https://klasma.github.io/Logging_2580/artfynd/A 56564-2023 artfynd.xlsx", "A 56564-2023")</f>
        <v/>
      </c>
      <c r="T62">
        <f>HYPERLINK("https://klasma.github.io/Logging_2580/kartor/A 56564-2023 karta.png", "A 56564-2023")</f>
        <v/>
      </c>
      <c r="V62">
        <f>HYPERLINK("https://klasma.github.io/Logging_2580/klagomål/A 56564-2023 FSC-klagomål.docx", "A 56564-2023")</f>
        <v/>
      </c>
      <c r="W62">
        <f>HYPERLINK("https://klasma.github.io/Logging_2580/klagomålsmail/A 56564-2023 FSC-klagomål mail.docx", "A 56564-2023")</f>
        <v/>
      </c>
      <c r="X62">
        <f>HYPERLINK("https://klasma.github.io/Logging_2580/tillsyn/A 56564-2023 tillsynsbegäran.docx", "A 56564-2023")</f>
        <v/>
      </c>
      <c r="Y62">
        <f>HYPERLINK("https://klasma.github.io/Logging_2580/tillsynsmail/A 56564-2023 tillsynsbegäran mail.docx", "A 56564-2023")</f>
        <v/>
      </c>
      <c r="Z62">
        <f>HYPERLINK("https://klasma.github.io/Logging_2580/fåglar/A 56564-2023 prioriterade fågelarter.docx", "A 56564-2023")</f>
        <v/>
      </c>
    </row>
    <row r="63" ht="15" customHeight="1">
      <c r="A63" t="inlineStr">
        <is>
          <t>A 59466-2023</t>
        </is>
      </c>
      <c r="B63" s="1" t="n">
        <v>45254</v>
      </c>
      <c r="C63" s="1" t="n">
        <v>45877</v>
      </c>
      <c r="D63" t="inlineStr">
        <is>
          <t>NORRBOTTENS LÄN</t>
        </is>
      </c>
      <c r="E63" t="inlineStr">
        <is>
          <t>LULEÅ</t>
        </is>
      </c>
      <c r="F63" t="inlineStr">
        <is>
          <t>Sveaskog</t>
        </is>
      </c>
      <c r="G63" t="n">
        <v>0.4</v>
      </c>
      <c r="H63" t="n">
        <v>0</v>
      </c>
      <c r="I63" t="n">
        <v>0</v>
      </c>
      <c r="J63" t="n">
        <v>1</v>
      </c>
      <c r="K63" t="n">
        <v>0</v>
      </c>
      <c r="L63" t="n">
        <v>0</v>
      </c>
      <c r="M63" t="n">
        <v>0</v>
      </c>
      <c r="N63" t="n">
        <v>0</v>
      </c>
      <c r="O63" t="n">
        <v>1</v>
      </c>
      <c r="P63" t="n">
        <v>0</v>
      </c>
      <c r="Q63" t="n">
        <v>1</v>
      </c>
      <c r="R63" s="2" t="inlineStr">
        <is>
          <t>Motaggsvamp</t>
        </is>
      </c>
      <c r="S63">
        <f>HYPERLINK("https://klasma.github.io/Logging_2580/artfynd/A 59466-2023 artfynd.xlsx", "A 59466-2023")</f>
        <v/>
      </c>
      <c r="T63">
        <f>HYPERLINK("https://klasma.github.io/Logging_2580/kartor/A 59466-2023 karta.png", "A 59466-2023")</f>
        <v/>
      </c>
      <c r="V63">
        <f>HYPERLINK("https://klasma.github.io/Logging_2580/klagomål/A 59466-2023 FSC-klagomål.docx", "A 59466-2023")</f>
        <v/>
      </c>
      <c r="W63">
        <f>HYPERLINK("https://klasma.github.io/Logging_2580/klagomålsmail/A 59466-2023 FSC-klagomål mail.docx", "A 59466-2023")</f>
        <v/>
      </c>
      <c r="X63">
        <f>HYPERLINK("https://klasma.github.io/Logging_2580/tillsyn/A 59466-2023 tillsynsbegäran.docx", "A 59466-2023")</f>
        <v/>
      </c>
      <c r="Y63">
        <f>HYPERLINK("https://klasma.github.io/Logging_2580/tillsynsmail/A 59466-2023 tillsynsbegäran mail.docx", "A 59466-2023")</f>
        <v/>
      </c>
    </row>
    <row r="64" ht="15" customHeight="1">
      <c r="A64" t="inlineStr">
        <is>
          <t>A 63879-2023</t>
        </is>
      </c>
      <c r="B64" s="1" t="n">
        <v>45278</v>
      </c>
      <c r="C64" s="1" t="n">
        <v>45877</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Nattviol</t>
        </is>
      </c>
      <c r="S64">
        <f>HYPERLINK("https://klasma.github.io/Logging_2580/artfynd/A 63879-2023 artfynd.xlsx", "A 63879-2023")</f>
        <v/>
      </c>
      <c r="T64">
        <f>HYPERLINK("https://klasma.github.io/Logging_2580/kartor/A 63879-2023 karta.png", "A 63879-2023")</f>
        <v/>
      </c>
      <c r="V64">
        <f>HYPERLINK("https://klasma.github.io/Logging_2580/klagomål/A 63879-2023 FSC-klagomål.docx", "A 63879-2023")</f>
        <v/>
      </c>
      <c r="W64">
        <f>HYPERLINK("https://klasma.github.io/Logging_2580/klagomålsmail/A 63879-2023 FSC-klagomål mail.docx", "A 63879-2023")</f>
        <v/>
      </c>
      <c r="X64">
        <f>HYPERLINK("https://klasma.github.io/Logging_2580/tillsyn/A 63879-2023 tillsynsbegäran.docx", "A 63879-2023")</f>
        <v/>
      </c>
      <c r="Y64">
        <f>HYPERLINK("https://klasma.github.io/Logging_2580/tillsynsmail/A 63879-2023 tillsynsbegäran mail.docx", "A 63879-2023")</f>
        <v/>
      </c>
    </row>
    <row r="65" ht="15" customHeight="1">
      <c r="A65" t="inlineStr">
        <is>
          <t>A 4141-2024</t>
        </is>
      </c>
      <c r="B65" s="1" t="n">
        <v>45323</v>
      </c>
      <c r="C65" s="1" t="n">
        <v>45877</v>
      </c>
      <c r="D65" t="inlineStr">
        <is>
          <t>NORRBOTTENS LÄN</t>
        </is>
      </c>
      <c r="E65" t="inlineStr">
        <is>
          <t>LULEÅ</t>
        </is>
      </c>
      <c r="G65" t="n">
        <v>24</v>
      </c>
      <c r="H65" t="n">
        <v>1</v>
      </c>
      <c r="I65" t="n">
        <v>0</v>
      </c>
      <c r="J65" t="n">
        <v>1</v>
      </c>
      <c r="K65" t="n">
        <v>0</v>
      </c>
      <c r="L65" t="n">
        <v>0</v>
      </c>
      <c r="M65" t="n">
        <v>0</v>
      </c>
      <c r="N65" t="n">
        <v>0</v>
      </c>
      <c r="O65" t="n">
        <v>1</v>
      </c>
      <c r="P65" t="n">
        <v>0</v>
      </c>
      <c r="Q65" t="n">
        <v>1</v>
      </c>
      <c r="R65" s="2" t="inlineStr">
        <is>
          <t>Havsörn</t>
        </is>
      </c>
      <c r="S65">
        <f>HYPERLINK("https://klasma.github.io/Logging_2580/artfynd/A 4141-2024 artfynd.xlsx", "A 4141-2024")</f>
        <v/>
      </c>
      <c r="T65">
        <f>HYPERLINK("https://klasma.github.io/Logging_2580/kartor/A 4141-2024 karta.png", "A 4141-2024")</f>
        <v/>
      </c>
      <c r="V65">
        <f>HYPERLINK("https://klasma.github.io/Logging_2580/klagomål/A 4141-2024 FSC-klagomål.docx", "A 4141-2024")</f>
        <v/>
      </c>
      <c r="W65">
        <f>HYPERLINK("https://klasma.github.io/Logging_2580/klagomålsmail/A 4141-2024 FSC-klagomål mail.docx", "A 4141-2024")</f>
        <v/>
      </c>
      <c r="X65">
        <f>HYPERLINK("https://klasma.github.io/Logging_2580/tillsyn/A 4141-2024 tillsynsbegäran.docx", "A 4141-2024")</f>
        <v/>
      </c>
      <c r="Y65">
        <f>HYPERLINK("https://klasma.github.io/Logging_2580/tillsynsmail/A 4141-2024 tillsynsbegäran mail.docx", "A 4141-2024")</f>
        <v/>
      </c>
      <c r="Z65">
        <f>HYPERLINK("https://klasma.github.io/Logging_2580/fåglar/A 4141-2024 prioriterade fågelarter.docx", "A 4141-2024")</f>
        <v/>
      </c>
    </row>
    <row r="66" ht="15" customHeight="1">
      <c r="A66" t="inlineStr">
        <is>
          <t>A 4692-2024</t>
        </is>
      </c>
      <c r="B66" s="1" t="n">
        <v>45328</v>
      </c>
      <c r="C66" s="1" t="n">
        <v>45877</v>
      </c>
      <c r="D66" t="inlineStr">
        <is>
          <t>NORRBOTTENS LÄN</t>
        </is>
      </c>
      <c r="E66" t="inlineStr">
        <is>
          <t>LULEÅ</t>
        </is>
      </c>
      <c r="G66" t="n">
        <v>4</v>
      </c>
      <c r="H66" t="n">
        <v>1</v>
      </c>
      <c r="I66" t="n">
        <v>0</v>
      </c>
      <c r="J66" t="n">
        <v>0</v>
      </c>
      <c r="K66" t="n">
        <v>0</v>
      </c>
      <c r="L66" t="n">
        <v>0</v>
      </c>
      <c r="M66" t="n">
        <v>0</v>
      </c>
      <c r="N66" t="n">
        <v>0</v>
      </c>
      <c r="O66" t="n">
        <v>0</v>
      </c>
      <c r="P66" t="n">
        <v>0</v>
      </c>
      <c r="Q66" t="n">
        <v>1</v>
      </c>
      <c r="R66" s="2" t="inlineStr">
        <is>
          <t>Fläcknycklar</t>
        </is>
      </c>
      <c r="S66">
        <f>HYPERLINK("https://klasma.github.io/Logging_2580/artfynd/A 4692-2024 artfynd.xlsx", "A 4692-2024")</f>
        <v/>
      </c>
      <c r="T66">
        <f>HYPERLINK("https://klasma.github.io/Logging_2580/kartor/A 4692-2024 karta.png", "A 4692-2024")</f>
        <v/>
      </c>
      <c r="V66">
        <f>HYPERLINK("https://klasma.github.io/Logging_2580/klagomål/A 4692-2024 FSC-klagomål.docx", "A 4692-2024")</f>
        <v/>
      </c>
      <c r="W66">
        <f>HYPERLINK("https://klasma.github.io/Logging_2580/klagomålsmail/A 4692-2024 FSC-klagomål mail.docx", "A 4692-2024")</f>
        <v/>
      </c>
      <c r="X66">
        <f>HYPERLINK("https://klasma.github.io/Logging_2580/tillsyn/A 4692-2024 tillsynsbegäran.docx", "A 4692-2024")</f>
        <v/>
      </c>
      <c r="Y66">
        <f>HYPERLINK("https://klasma.github.io/Logging_2580/tillsynsmail/A 4692-2024 tillsynsbegäran mail.docx", "A 4692-2024")</f>
        <v/>
      </c>
    </row>
    <row r="67" ht="15" customHeight="1">
      <c r="A67" t="inlineStr">
        <is>
          <t>A 12462-2024</t>
        </is>
      </c>
      <c r="B67" s="1" t="n">
        <v>45378</v>
      </c>
      <c r="C67" s="1" t="n">
        <v>45877</v>
      </c>
      <c r="D67" t="inlineStr">
        <is>
          <t>NORRBOTTENS LÄN</t>
        </is>
      </c>
      <c r="E67" t="inlineStr">
        <is>
          <t>LULEÅ</t>
        </is>
      </c>
      <c r="G67" t="n">
        <v>6.9</v>
      </c>
      <c r="H67" t="n">
        <v>0</v>
      </c>
      <c r="I67" t="n">
        <v>0</v>
      </c>
      <c r="J67" t="n">
        <v>1</v>
      </c>
      <c r="K67" t="n">
        <v>0</v>
      </c>
      <c r="L67" t="n">
        <v>0</v>
      </c>
      <c r="M67" t="n">
        <v>0</v>
      </c>
      <c r="N67" t="n">
        <v>0</v>
      </c>
      <c r="O67" t="n">
        <v>1</v>
      </c>
      <c r="P67" t="n">
        <v>0</v>
      </c>
      <c r="Q67" t="n">
        <v>1</v>
      </c>
      <c r="R67" s="2" t="inlineStr">
        <is>
          <t>Ullticka</t>
        </is>
      </c>
      <c r="S67">
        <f>HYPERLINK("https://klasma.github.io/Logging_2580/artfynd/A 12462-2024 artfynd.xlsx", "A 12462-2024")</f>
        <v/>
      </c>
      <c r="T67">
        <f>HYPERLINK("https://klasma.github.io/Logging_2580/kartor/A 12462-2024 karta.png", "A 12462-2024")</f>
        <v/>
      </c>
      <c r="V67">
        <f>HYPERLINK("https://klasma.github.io/Logging_2580/klagomål/A 12462-2024 FSC-klagomål.docx", "A 12462-2024")</f>
        <v/>
      </c>
      <c r="W67">
        <f>HYPERLINK("https://klasma.github.io/Logging_2580/klagomålsmail/A 12462-2024 FSC-klagomål mail.docx", "A 12462-2024")</f>
        <v/>
      </c>
      <c r="X67">
        <f>HYPERLINK("https://klasma.github.io/Logging_2580/tillsyn/A 12462-2024 tillsynsbegäran.docx", "A 12462-2024")</f>
        <v/>
      </c>
      <c r="Y67">
        <f>HYPERLINK("https://klasma.github.io/Logging_2580/tillsynsmail/A 12462-2024 tillsynsbegäran mail.docx", "A 12462-2024")</f>
        <v/>
      </c>
    </row>
    <row r="68" ht="15" customHeight="1">
      <c r="A68" t="inlineStr">
        <is>
          <t>A 19552-2024</t>
        </is>
      </c>
      <c r="B68" s="1" t="n">
        <v>45429</v>
      </c>
      <c r="C68" s="1" t="n">
        <v>45877</v>
      </c>
      <c r="D68" t="inlineStr">
        <is>
          <t>NORRBOTTENS LÄN</t>
        </is>
      </c>
      <c r="E68" t="inlineStr">
        <is>
          <t>LULEÅ</t>
        </is>
      </c>
      <c r="G68" t="n">
        <v>0.7</v>
      </c>
      <c r="H68" t="n">
        <v>0</v>
      </c>
      <c r="I68" t="n">
        <v>0</v>
      </c>
      <c r="J68" t="n">
        <v>0</v>
      </c>
      <c r="K68" t="n">
        <v>1</v>
      </c>
      <c r="L68" t="n">
        <v>0</v>
      </c>
      <c r="M68" t="n">
        <v>0</v>
      </c>
      <c r="N68" t="n">
        <v>0</v>
      </c>
      <c r="O68" t="n">
        <v>1</v>
      </c>
      <c r="P68" t="n">
        <v>1</v>
      </c>
      <c r="Q68" t="n">
        <v>1</v>
      </c>
      <c r="R68" s="2" t="inlineStr">
        <is>
          <t>Smalfotad taggsvamp</t>
        </is>
      </c>
      <c r="S68">
        <f>HYPERLINK("https://klasma.github.io/Logging_2580/artfynd/A 19552-2024 artfynd.xlsx", "A 19552-2024")</f>
        <v/>
      </c>
      <c r="T68">
        <f>HYPERLINK("https://klasma.github.io/Logging_2580/kartor/A 19552-2024 karta.png", "A 19552-2024")</f>
        <v/>
      </c>
      <c r="V68">
        <f>HYPERLINK("https://klasma.github.io/Logging_2580/klagomål/A 19552-2024 FSC-klagomål.docx", "A 19552-2024")</f>
        <v/>
      </c>
      <c r="W68">
        <f>HYPERLINK("https://klasma.github.io/Logging_2580/klagomålsmail/A 19552-2024 FSC-klagomål mail.docx", "A 19552-2024")</f>
        <v/>
      </c>
      <c r="X68">
        <f>HYPERLINK("https://klasma.github.io/Logging_2580/tillsyn/A 19552-2024 tillsynsbegäran.docx", "A 19552-2024")</f>
        <v/>
      </c>
      <c r="Y68">
        <f>HYPERLINK("https://klasma.github.io/Logging_2580/tillsynsmail/A 19552-2024 tillsynsbegäran mail.docx", "A 19552-2024")</f>
        <v/>
      </c>
    </row>
    <row r="69" ht="15" customHeight="1">
      <c r="A69" t="inlineStr">
        <is>
          <t>A 25528-2024</t>
        </is>
      </c>
      <c r="B69" s="1" t="n">
        <v>45463</v>
      </c>
      <c r="C69" s="1" t="n">
        <v>45877</v>
      </c>
      <c r="D69" t="inlineStr">
        <is>
          <t>NORRBOTTENS LÄN</t>
        </is>
      </c>
      <c r="E69" t="inlineStr">
        <is>
          <t>LULEÅ</t>
        </is>
      </c>
      <c r="G69" t="n">
        <v>1.4</v>
      </c>
      <c r="H69" t="n">
        <v>0</v>
      </c>
      <c r="I69" t="n">
        <v>0</v>
      </c>
      <c r="J69" t="n">
        <v>1</v>
      </c>
      <c r="K69" t="n">
        <v>0</v>
      </c>
      <c r="L69" t="n">
        <v>0</v>
      </c>
      <c r="M69" t="n">
        <v>0</v>
      </c>
      <c r="N69" t="n">
        <v>0</v>
      </c>
      <c r="O69" t="n">
        <v>1</v>
      </c>
      <c r="P69" t="n">
        <v>0</v>
      </c>
      <c r="Q69" t="n">
        <v>1</v>
      </c>
      <c r="R69" s="2" t="inlineStr">
        <is>
          <t>Granticka</t>
        </is>
      </c>
      <c r="S69">
        <f>HYPERLINK("https://klasma.github.io/Logging_2580/artfynd/A 25528-2024 artfynd.xlsx", "A 25528-2024")</f>
        <v/>
      </c>
      <c r="T69">
        <f>HYPERLINK("https://klasma.github.io/Logging_2580/kartor/A 25528-2024 karta.png", "A 25528-2024")</f>
        <v/>
      </c>
      <c r="V69">
        <f>HYPERLINK("https://klasma.github.io/Logging_2580/klagomål/A 25528-2024 FSC-klagomål.docx", "A 25528-2024")</f>
        <v/>
      </c>
      <c r="W69">
        <f>HYPERLINK("https://klasma.github.io/Logging_2580/klagomålsmail/A 25528-2024 FSC-klagomål mail.docx", "A 25528-2024")</f>
        <v/>
      </c>
      <c r="X69">
        <f>HYPERLINK("https://klasma.github.io/Logging_2580/tillsyn/A 25528-2024 tillsynsbegäran.docx", "A 25528-2024")</f>
        <v/>
      </c>
      <c r="Y69">
        <f>HYPERLINK("https://klasma.github.io/Logging_2580/tillsynsmail/A 25528-2024 tillsynsbegäran mail.docx", "A 25528-2024")</f>
        <v/>
      </c>
    </row>
    <row r="70" ht="15" customHeight="1">
      <c r="A70" t="inlineStr">
        <is>
          <t>A 35545-2024</t>
        </is>
      </c>
      <c r="B70" s="1" t="n">
        <v>45531</v>
      </c>
      <c r="C70" s="1" t="n">
        <v>45877</v>
      </c>
      <c r="D70" t="inlineStr">
        <is>
          <t>NORRBOTTENS LÄN</t>
        </is>
      </c>
      <c r="E70" t="inlineStr">
        <is>
          <t>LULEÅ</t>
        </is>
      </c>
      <c r="G70" t="n">
        <v>19.7</v>
      </c>
      <c r="H70" t="n">
        <v>0</v>
      </c>
      <c r="I70" t="n">
        <v>0</v>
      </c>
      <c r="J70" t="n">
        <v>0</v>
      </c>
      <c r="K70" t="n">
        <v>1</v>
      </c>
      <c r="L70" t="n">
        <v>0</v>
      </c>
      <c r="M70" t="n">
        <v>0</v>
      </c>
      <c r="N70" t="n">
        <v>0</v>
      </c>
      <c r="O70" t="n">
        <v>1</v>
      </c>
      <c r="P70" t="n">
        <v>1</v>
      </c>
      <c r="Q70" t="n">
        <v>1</v>
      </c>
      <c r="R70" s="2" t="inlineStr">
        <is>
          <t>Liten aspgelélav</t>
        </is>
      </c>
      <c r="S70">
        <f>HYPERLINK("https://klasma.github.io/Logging_2580/artfynd/A 35545-2024 artfynd.xlsx", "A 35545-2024")</f>
        <v/>
      </c>
      <c r="T70">
        <f>HYPERLINK("https://klasma.github.io/Logging_2580/kartor/A 35545-2024 karta.png", "A 35545-2024")</f>
        <v/>
      </c>
      <c r="V70">
        <f>HYPERLINK("https://klasma.github.io/Logging_2580/klagomål/A 35545-2024 FSC-klagomål.docx", "A 35545-2024")</f>
        <v/>
      </c>
      <c r="W70">
        <f>HYPERLINK("https://klasma.github.io/Logging_2580/klagomålsmail/A 35545-2024 FSC-klagomål mail.docx", "A 35545-2024")</f>
        <v/>
      </c>
      <c r="X70">
        <f>HYPERLINK("https://klasma.github.io/Logging_2580/tillsyn/A 35545-2024 tillsynsbegäran.docx", "A 35545-2024")</f>
        <v/>
      </c>
      <c r="Y70">
        <f>HYPERLINK("https://klasma.github.io/Logging_2580/tillsynsmail/A 35545-2024 tillsynsbegäran mail.docx", "A 35545-2024")</f>
        <v/>
      </c>
    </row>
    <row r="71" ht="15" customHeight="1">
      <c r="A71" t="inlineStr">
        <is>
          <t>A 38333-2024</t>
        </is>
      </c>
      <c r="B71" s="1" t="n">
        <v>45545</v>
      </c>
      <c r="C71" s="1" t="n">
        <v>45877</v>
      </c>
      <c r="D71" t="inlineStr">
        <is>
          <t>NORRBOTTENS LÄN</t>
        </is>
      </c>
      <c r="E71" t="inlineStr">
        <is>
          <t>LULEÅ</t>
        </is>
      </c>
      <c r="F71" t="inlineStr">
        <is>
          <t>Sveaskog</t>
        </is>
      </c>
      <c r="G71" t="n">
        <v>2.9</v>
      </c>
      <c r="H71" t="n">
        <v>1</v>
      </c>
      <c r="I71" t="n">
        <v>0</v>
      </c>
      <c r="J71" t="n">
        <v>0</v>
      </c>
      <c r="K71" t="n">
        <v>1</v>
      </c>
      <c r="L71" t="n">
        <v>0</v>
      </c>
      <c r="M71" t="n">
        <v>0</v>
      </c>
      <c r="N71" t="n">
        <v>0</v>
      </c>
      <c r="O71" t="n">
        <v>1</v>
      </c>
      <c r="P71" t="n">
        <v>1</v>
      </c>
      <c r="Q71" t="n">
        <v>1</v>
      </c>
      <c r="R71" s="2" t="inlineStr">
        <is>
          <t>Knärot</t>
        </is>
      </c>
      <c r="S71">
        <f>HYPERLINK("https://klasma.github.io/Logging_2580/artfynd/A 38333-2024 artfynd.xlsx", "A 38333-2024")</f>
        <v/>
      </c>
      <c r="T71">
        <f>HYPERLINK("https://klasma.github.io/Logging_2580/kartor/A 38333-2024 karta.png", "A 38333-2024")</f>
        <v/>
      </c>
      <c r="U71">
        <f>HYPERLINK("https://klasma.github.io/Logging_2580/knärot/A 38333-2024 karta knärot.png", "A 38333-2024")</f>
        <v/>
      </c>
      <c r="V71">
        <f>HYPERLINK("https://klasma.github.io/Logging_2580/klagomål/A 38333-2024 FSC-klagomål.docx", "A 38333-2024")</f>
        <v/>
      </c>
      <c r="W71">
        <f>HYPERLINK("https://klasma.github.io/Logging_2580/klagomålsmail/A 38333-2024 FSC-klagomål mail.docx", "A 38333-2024")</f>
        <v/>
      </c>
      <c r="X71">
        <f>HYPERLINK("https://klasma.github.io/Logging_2580/tillsyn/A 38333-2024 tillsynsbegäran.docx", "A 38333-2024")</f>
        <v/>
      </c>
      <c r="Y71">
        <f>HYPERLINK("https://klasma.github.io/Logging_2580/tillsynsmail/A 38333-2024 tillsynsbegäran mail.docx", "A 38333-2024")</f>
        <v/>
      </c>
    </row>
    <row r="72" ht="15" customHeight="1">
      <c r="A72" t="inlineStr">
        <is>
          <t>A 59395-2024</t>
        </is>
      </c>
      <c r="B72" s="1" t="n">
        <v>45638</v>
      </c>
      <c r="C72" s="1" t="n">
        <v>45877</v>
      </c>
      <c r="D72" t="inlineStr">
        <is>
          <t>NORRBOTTENS LÄN</t>
        </is>
      </c>
      <c r="E72" t="inlineStr">
        <is>
          <t>LULEÅ</t>
        </is>
      </c>
      <c r="F72" t="inlineStr">
        <is>
          <t>Sveaskog</t>
        </is>
      </c>
      <c r="G72" t="n">
        <v>18.3</v>
      </c>
      <c r="H72" t="n">
        <v>0</v>
      </c>
      <c r="I72" t="n">
        <v>1</v>
      </c>
      <c r="J72" t="n">
        <v>0</v>
      </c>
      <c r="K72" t="n">
        <v>0</v>
      </c>
      <c r="L72" t="n">
        <v>0</v>
      </c>
      <c r="M72" t="n">
        <v>0</v>
      </c>
      <c r="N72" t="n">
        <v>0</v>
      </c>
      <c r="O72" t="n">
        <v>0</v>
      </c>
      <c r="P72" t="n">
        <v>0</v>
      </c>
      <c r="Q72" t="n">
        <v>1</v>
      </c>
      <c r="R72" s="2" t="inlineStr">
        <is>
          <t>Stuplav</t>
        </is>
      </c>
      <c r="S72">
        <f>HYPERLINK("https://klasma.github.io/Logging_2580/artfynd/A 59395-2024 artfynd.xlsx", "A 59395-2024")</f>
        <v/>
      </c>
      <c r="T72">
        <f>HYPERLINK("https://klasma.github.io/Logging_2580/kartor/A 59395-2024 karta.png", "A 59395-2024")</f>
        <v/>
      </c>
      <c r="V72">
        <f>HYPERLINK("https://klasma.github.io/Logging_2580/klagomål/A 59395-2024 FSC-klagomål.docx", "A 59395-2024")</f>
        <v/>
      </c>
      <c r="W72">
        <f>HYPERLINK("https://klasma.github.io/Logging_2580/klagomålsmail/A 59395-2024 FSC-klagomål mail.docx", "A 59395-2024")</f>
        <v/>
      </c>
      <c r="X72">
        <f>HYPERLINK("https://klasma.github.io/Logging_2580/tillsyn/A 59395-2024 tillsynsbegäran.docx", "A 59395-2024")</f>
        <v/>
      </c>
      <c r="Y72">
        <f>HYPERLINK("https://klasma.github.io/Logging_2580/tillsynsmail/A 59395-2024 tillsynsbegäran mail.docx", "A 59395-2024")</f>
        <v/>
      </c>
    </row>
    <row r="73" ht="15" customHeight="1">
      <c r="A73" t="inlineStr">
        <is>
          <t>A 60002-2024</t>
        </is>
      </c>
      <c r="B73" s="1" t="n">
        <v>45642</v>
      </c>
      <c r="C73" s="1" t="n">
        <v>45877</v>
      </c>
      <c r="D73" t="inlineStr">
        <is>
          <t>NORRBOTTENS LÄN</t>
        </is>
      </c>
      <c r="E73" t="inlineStr">
        <is>
          <t>LULEÅ</t>
        </is>
      </c>
      <c r="G73" t="n">
        <v>5</v>
      </c>
      <c r="H73" t="n">
        <v>1</v>
      </c>
      <c r="I73" t="n">
        <v>0</v>
      </c>
      <c r="J73" t="n">
        <v>0</v>
      </c>
      <c r="K73" t="n">
        <v>0</v>
      </c>
      <c r="L73" t="n">
        <v>0</v>
      </c>
      <c r="M73" t="n">
        <v>0</v>
      </c>
      <c r="N73" t="n">
        <v>0</v>
      </c>
      <c r="O73" t="n">
        <v>0</v>
      </c>
      <c r="P73" t="n">
        <v>0</v>
      </c>
      <c r="Q73" t="n">
        <v>1</v>
      </c>
      <c r="R73" s="2" t="inlineStr">
        <is>
          <t>Fläcknycklar</t>
        </is>
      </c>
      <c r="S73">
        <f>HYPERLINK("https://klasma.github.io/Logging_2580/artfynd/A 60002-2024 artfynd.xlsx", "A 60002-2024")</f>
        <v/>
      </c>
      <c r="T73">
        <f>HYPERLINK("https://klasma.github.io/Logging_2580/kartor/A 60002-2024 karta.png", "A 60002-2024")</f>
        <v/>
      </c>
      <c r="V73">
        <f>HYPERLINK("https://klasma.github.io/Logging_2580/klagomål/A 60002-2024 FSC-klagomål.docx", "A 60002-2024")</f>
        <v/>
      </c>
      <c r="W73">
        <f>HYPERLINK("https://klasma.github.io/Logging_2580/klagomålsmail/A 60002-2024 FSC-klagomål mail.docx", "A 60002-2024")</f>
        <v/>
      </c>
      <c r="X73">
        <f>HYPERLINK("https://klasma.github.io/Logging_2580/tillsyn/A 60002-2024 tillsynsbegäran.docx", "A 60002-2024")</f>
        <v/>
      </c>
      <c r="Y73">
        <f>HYPERLINK("https://klasma.github.io/Logging_2580/tillsynsmail/A 60002-2024 tillsynsbegäran mail.docx", "A 60002-2024")</f>
        <v/>
      </c>
    </row>
    <row r="74" ht="15" customHeight="1">
      <c r="A74" t="inlineStr">
        <is>
          <t>A 739-2025</t>
        </is>
      </c>
      <c r="B74" s="1" t="n">
        <v>45664</v>
      </c>
      <c r="C74" s="1" t="n">
        <v>45877</v>
      </c>
      <c r="D74" t="inlineStr">
        <is>
          <t>NORRBOTTENS LÄN</t>
        </is>
      </c>
      <c r="E74" t="inlineStr">
        <is>
          <t>LULEÅ</t>
        </is>
      </c>
      <c r="G74" t="n">
        <v>1.8</v>
      </c>
      <c r="H74" t="n">
        <v>0</v>
      </c>
      <c r="I74" t="n">
        <v>0</v>
      </c>
      <c r="J74" t="n">
        <v>1</v>
      </c>
      <c r="K74" t="n">
        <v>0</v>
      </c>
      <c r="L74" t="n">
        <v>0</v>
      </c>
      <c r="M74" t="n">
        <v>0</v>
      </c>
      <c r="N74" t="n">
        <v>0</v>
      </c>
      <c r="O74" t="n">
        <v>1</v>
      </c>
      <c r="P74" t="n">
        <v>0</v>
      </c>
      <c r="Q74" t="n">
        <v>1</v>
      </c>
      <c r="R74" s="2" t="inlineStr">
        <is>
          <t>Garnlav</t>
        </is>
      </c>
      <c r="S74">
        <f>HYPERLINK("https://klasma.github.io/Logging_2580/artfynd/A 739-2025 artfynd.xlsx", "A 739-2025")</f>
        <v/>
      </c>
      <c r="T74">
        <f>HYPERLINK("https://klasma.github.io/Logging_2580/kartor/A 739-2025 karta.png", "A 739-2025")</f>
        <v/>
      </c>
      <c r="U74">
        <f>HYPERLINK("https://klasma.github.io/Logging_2580/knärot/A 739-2025 karta knärot.png", "A 739-2025")</f>
        <v/>
      </c>
      <c r="V74">
        <f>HYPERLINK("https://klasma.github.io/Logging_2580/klagomål/A 739-2025 FSC-klagomål.docx", "A 739-2025")</f>
        <v/>
      </c>
      <c r="W74">
        <f>HYPERLINK("https://klasma.github.io/Logging_2580/klagomålsmail/A 739-2025 FSC-klagomål mail.docx", "A 739-2025")</f>
        <v/>
      </c>
      <c r="X74">
        <f>HYPERLINK("https://klasma.github.io/Logging_2580/tillsyn/A 739-2025 tillsynsbegäran.docx", "A 739-2025")</f>
        <v/>
      </c>
      <c r="Y74">
        <f>HYPERLINK("https://klasma.github.io/Logging_2580/tillsynsmail/A 739-2025 tillsynsbegäran mail.docx", "A 739-2025")</f>
        <v/>
      </c>
    </row>
    <row r="75" ht="15" customHeight="1">
      <c r="A75" t="inlineStr">
        <is>
          <t>A 733-2025</t>
        </is>
      </c>
      <c r="B75" s="1" t="n">
        <v>45664</v>
      </c>
      <c r="C75" s="1" t="n">
        <v>45877</v>
      </c>
      <c r="D75" t="inlineStr">
        <is>
          <t>NORRBOTTENS LÄN</t>
        </is>
      </c>
      <c r="E75" t="inlineStr">
        <is>
          <t>LULEÅ</t>
        </is>
      </c>
      <c r="G75" t="n">
        <v>0.8</v>
      </c>
      <c r="H75" t="n">
        <v>0</v>
      </c>
      <c r="I75" t="n">
        <v>0</v>
      </c>
      <c r="J75" t="n">
        <v>1</v>
      </c>
      <c r="K75" t="n">
        <v>0</v>
      </c>
      <c r="L75" t="n">
        <v>0</v>
      </c>
      <c r="M75" t="n">
        <v>0</v>
      </c>
      <c r="N75" t="n">
        <v>0</v>
      </c>
      <c r="O75" t="n">
        <v>1</v>
      </c>
      <c r="P75" t="n">
        <v>0</v>
      </c>
      <c r="Q75" t="n">
        <v>1</v>
      </c>
      <c r="R75" s="2" t="inlineStr">
        <is>
          <t>Gränsticka</t>
        </is>
      </c>
      <c r="S75">
        <f>HYPERLINK("https://klasma.github.io/Logging_2580/artfynd/A 733-2025 artfynd.xlsx", "A 733-2025")</f>
        <v/>
      </c>
      <c r="T75">
        <f>HYPERLINK("https://klasma.github.io/Logging_2580/kartor/A 733-2025 karta.png", "A 733-2025")</f>
        <v/>
      </c>
      <c r="V75">
        <f>HYPERLINK("https://klasma.github.io/Logging_2580/klagomål/A 733-2025 FSC-klagomål.docx", "A 733-2025")</f>
        <v/>
      </c>
      <c r="W75">
        <f>HYPERLINK("https://klasma.github.io/Logging_2580/klagomålsmail/A 733-2025 FSC-klagomål mail.docx", "A 733-2025")</f>
        <v/>
      </c>
      <c r="X75">
        <f>HYPERLINK("https://klasma.github.io/Logging_2580/tillsyn/A 733-2025 tillsynsbegäran.docx", "A 733-2025")</f>
        <v/>
      </c>
      <c r="Y75">
        <f>HYPERLINK("https://klasma.github.io/Logging_2580/tillsynsmail/A 733-2025 tillsynsbegäran mail.docx", "A 733-2025")</f>
        <v/>
      </c>
    </row>
    <row r="76" ht="15" customHeight="1">
      <c r="A76" t="inlineStr">
        <is>
          <t>A 3578-2025</t>
        </is>
      </c>
      <c r="B76" s="1" t="n">
        <v>45680</v>
      </c>
      <c r="C76" s="1" t="n">
        <v>45877</v>
      </c>
      <c r="D76" t="inlineStr">
        <is>
          <t>NORRBOTTENS LÄN</t>
        </is>
      </c>
      <c r="E76" t="inlineStr">
        <is>
          <t>LULEÅ</t>
        </is>
      </c>
      <c r="G76" t="n">
        <v>3.7</v>
      </c>
      <c r="H76" t="n">
        <v>1</v>
      </c>
      <c r="I76" t="n">
        <v>0</v>
      </c>
      <c r="J76" t="n">
        <v>1</v>
      </c>
      <c r="K76" t="n">
        <v>0</v>
      </c>
      <c r="L76" t="n">
        <v>0</v>
      </c>
      <c r="M76" t="n">
        <v>0</v>
      </c>
      <c r="N76" t="n">
        <v>0</v>
      </c>
      <c r="O76" t="n">
        <v>1</v>
      </c>
      <c r="P76" t="n">
        <v>0</v>
      </c>
      <c r="Q76" t="n">
        <v>1</v>
      </c>
      <c r="R76" s="2" t="inlineStr">
        <is>
          <t>Spillkråka</t>
        </is>
      </c>
      <c r="S76">
        <f>HYPERLINK("https://klasma.github.io/Logging_2580/artfynd/A 3578-2025 artfynd.xlsx", "A 3578-2025")</f>
        <v/>
      </c>
      <c r="T76">
        <f>HYPERLINK("https://klasma.github.io/Logging_2580/kartor/A 3578-2025 karta.png", "A 3578-2025")</f>
        <v/>
      </c>
      <c r="V76">
        <f>HYPERLINK("https://klasma.github.io/Logging_2580/klagomål/A 3578-2025 FSC-klagomål.docx", "A 3578-2025")</f>
        <v/>
      </c>
      <c r="W76">
        <f>HYPERLINK("https://klasma.github.io/Logging_2580/klagomålsmail/A 3578-2025 FSC-klagomål mail.docx", "A 3578-2025")</f>
        <v/>
      </c>
      <c r="X76">
        <f>HYPERLINK("https://klasma.github.io/Logging_2580/tillsyn/A 3578-2025 tillsynsbegäran.docx", "A 3578-2025")</f>
        <v/>
      </c>
      <c r="Y76">
        <f>HYPERLINK("https://klasma.github.io/Logging_2580/tillsynsmail/A 3578-2025 tillsynsbegäran mail.docx", "A 3578-2025")</f>
        <v/>
      </c>
      <c r="Z76">
        <f>HYPERLINK("https://klasma.github.io/Logging_2580/fåglar/A 3578-2025 prioriterade fågelarter.docx", "A 3578-2025")</f>
        <v/>
      </c>
    </row>
    <row r="77" ht="15" customHeight="1">
      <c r="A77" t="inlineStr">
        <is>
          <t>A 4346-2025</t>
        </is>
      </c>
      <c r="B77" s="1" t="n">
        <v>45685</v>
      </c>
      <c r="C77" s="1" t="n">
        <v>45877</v>
      </c>
      <c r="D77" t="inlineStr">
        <is>
          <t>NORRBOTTENS LÄN</t>
        </is>
      </c>
      <c r="E77" t="inlineStr">
        <is>
          <t>LULEÅ</t>
        </is>
      </c>
      <c r="G77" t="n">
        <v>12.3</v>
      </c>
      <c r="H77" t="n">
        <v>0</v>
      </c>
      <c r="I77" t="n">
        <v>0</v>
      </c>
      <c r="J77" t="n">
        <v>1</v>
      </c>
      <c r="K77" t="n">
        <v>0</v>
      </c>
      <c r="L77" t="n">
        <v>0</v>
      </c>
      <c r="M77" t="n">
        <v>0</v>
      </c>
      <c r="N77" t="n">
        <v>0</v>
      </c>
      <c r="O77" t="n">
        <v>1</v>
      </c>
      <c r="P77" t="n">
        <v>0</v>
      </c>
      <c r="Q77" t="n">
        <v>1</v>
      </c>
      <c r="R77" s="2" t="inlineStr">
        <is>
          <t>Garnlav</t>
        </is>
      </c>
      <c r="S77">
        <f>HYPERLINK("https://klasma.github.io/Logging_2580/artfynd/A 4346-2025 artfynd.xlsx", "A 4346-2025")</f>
        <v/>
      </c>
      <c r="T77">
        <f>HYPERLINK("https://klasma.github.io/Logging_2580/kartor/A 4346-2025 karta.png", "A 4346-2025")</f>
        <v/>
      </c>
      <c r="V77">
        <f>HYPERLINK("https://klasma.github.io/Logging_2580/klagomål/A 4346-2025 FSC-klagomål.docx", "A 4346-2025")</f>
        <v/>
      </c>
      <c r="W77">
        <f>HYPERLINK("https://klasma.github.io/Logging_2580/klagomålsmail/A 4346-2025 FSC-klagomål mail.docx", "A 4346-2025")</f>
        <v/>
      </c>
      <c r="X77">
        <f>HYPERLINK("https://klasma.github.io/Logging_2580/tillsyn/A 4346-2025 tillsynsbegäran.docx", "A 4346-2025")</f>
        <v/>
      </c>
      <c r="Y77">
        <f>HYPERLINK("https://klasma.github.io/Logging_2580/tillsynsmail/A 4346-2025 tillsynsbegäran mail.docx", "A 4346-2025")</f>
        <v/>
      </c>
    </row>
    <row r="78" ht="15" customHeight="1">
      <c r="A78" t="inlineStr">
        <is>
          <t>A 6923-2025</t>
        </is>
      </c>
      <c r="B78" s="1" t="n">
        <v>45701</v>
      </c>
      <c r="C78" s="1" t="n">
        <v>45877</v>
      </c>
      <c r="D78" t="inlineStr">
        <is>
          <t>NORRBOTTENS LÄN</t>
        </is>
      </c>
      <c r="E78" t="inlineStr">
        <is>
          <t>LULEÅ</t>
        </is>
      </c>
      <c r="F78" t="inlineStr">
        <is>
          <t>SCA</t>
        </is>
      </c>
      <c r="G78" t="n">
        <v>5.2</v>
      </c>
      <c r="H78" t="n">
        <v>0</v>
      </c>
      <c r="I78" t="n">
        <v>0</v>
      </c>
      <c r="J78" t="n">
        <v>1</v>
      </c>
      <c r="K78" t="n">
        <v>0</v>
      </c>
      <c r="L78" t="n">
        <v>0</v>
      </c>
      <c r="M78" t="n">
        <v>0</v>
      </c>
      <c r="N78" t="n">
        <v>0</v>
      </c>
      <c r="O78" t="n">
        <v>1</v>
      </c>
      <c r="P78" t="n">
        <v>0</v>
      </c>
      <c r="Q78" t="n">
        <v>1</v>
      </c>
      <c r="R78" s="2" t="inlineStr">
        <is>
          <t>Tallticka</t>
        </is>
      </c>
      <c r="S78">
        <f>HYPERLINK("https://klasma.github.io/Logging_2580/artfynd/A 6923-2025 artfynd.xlsx", "A 6923-2025")</f>
        <v/>
      </c>
      <c r="T78">
        <f>HYPERLINK("https://klasma.github.io/Logging_2580/kartor/A 6923-2025 karta.png", "A 6923-2025")</f>
        <v/>
      </c>
      <c r="V78">
        <f>HYPERLINK("https://klasma.github.io/Logging_2580/klagomål/A 6923-2025 FSC-klagomål.docx", "A 6923-2025")</f>
        <v/>
      </c>
      <c r="W78">
        <f>HYPERLINK("https://klasma.github.io/Logging_2580/klagomålsmail/A 6923-2025 FSC-klagomål mail.docx", "A 6923-2025")</f>
        <v/>
      </c>
      <c r="X78">
        <f>HYPERLINK("https://klasma.github.io/Logging_2580/tillsyn/A 6923-2025 tillsynsbegäran.docx", "A 6923-2025")</f>
        <v/>
      </c>
      <c r="Y78">
        <f>HYPERLINK("https://klasma.github.io/Logging_2580/tillsynsmail/A 6923-2025 tillsynsbegäran mail.docx", "A 6923-2025")</f>
        <v/>
      </c>
    </row>
    <row r="79" ht="15" customHeight="1">
      <c r="A79" t="inlineStr">
        <is>
          <t>A 29381-2025</t>
        </is>
      </c>
      <c r="B79" s="1" t="n">
        <v>45824</v>
      </c>
      <c r="C79" s="1" t="n">
        <v>45877</v>
      </c>
      <c r="D79" t="inlineStr">
        <is>
          <t>NORRBOTTENS LÄN</t>
        </is>
      </c>
      <c r="E79" t="inlineStr">
        <is>
          <t>LULEÅ</t>
        </is>
      </c>
      <c r="G79" t="n">
        <v>1.5</v>
      </c>
      <c r="H79" t="n">
        <v>1</v>
      </c>
      <c r="I79" t="n">
        <v>0</v>
      </c>
      <c r="J79" t="n">
        <v>1</v>
      </c>
      <c r="K79" t="n">
        <v>0</v>
      </c>
      <c r="L79" t="n">
        <v>0</v>
      </c>
      <c r="M79" t="n">
        <v>0</v>
      </c>
      <c r="N79" t="n">
        <v>0</v>
      </c>
      <c r="O79" t="n">
        <v>1</v>
      </c>
      <c r="P79" t="n">
        <v>0</v>
      </c>
      <c r="Q79" t="n">
        <v>1</v>
      </c>
      <c r="R79" s="2" t="inlineStr">
        <is>
          <t>Havsörn</t>
        </is>
      </c>
      <c r="S79">
        <f>HYPERLINK("https://klasma.github.io/Logging_252580/artfynd/A 29381-2025 artfynd.xlsx", "A 29381-2025")</f>
        <v/>
      </c>
      <c r="T79">
        <f>HYPERLINK("https://klasma.github.io/Logging_252580/kartor/A 29381-2025 karta.png", "A 29381-2025")</f>
        <v/>
      </c>
      <c r="V79">
        <f>HYPERLINK("https://klasma.github.io/Logging_252580/klagomål/A 29381-2025 FSC-klagomål.docx", "A 29381-2025")</f>
        <v/>
      </c>
      <c r="W79">
        <f>HYPERLINK("https://klasma.github.io/Logging_252580/klagomålsmail/A 29381-2025 FSC-klagomål mail.docx", "A 29381-2025")</f>
        <v/>
      </c>
      <c r="X79">
        <f>HYPERLINK("https://klasma.github.io/Logging_252580/tillsyn/A 29381-2025 tillsynsbegäran.docx", "A 29381-2025")</f>
        <v/>
      </c>
      <c r="Y79">
        <f>HYPERLINK("https://klasma.github.io/Logging_252580/tillsynsmail/A 29381-2025 tillsynsbegäran mail.docx", "A 29381-2025")</f>
        <v/>
      </c>
      <c r="Z79">
        <f>HYPERLINK("https://klasma.github.io/Logging_252580/fåglar/A 29381-2025 prioriterade fågelarter.docx", "A 29381-2025")</f>
        <v/>
      </c>
    </row>
    <row r="80" ht="15" customHeight="1">
      <c r="A80" t="inlineStr">
        <is>
          <t>A 31900-2025</t>
        </is>
      </c>
      <c r="B80" s="1" t="n">
        <v>45834</v>
      </c>
      <c r="C80" s="1" t="n">
        <v>45877</v>
      </c>
      <c r="D80" t="inlineStr">
        <is>
          <t>NORRBOTTENS LÄN</t>
        </is>
      </c>
      <c r="E80" t="inlineStr">
        <is>
          <t>LULEÅ</t>
        </is>
      </c>
      <c r="G80" t="n">
        <v>1.9</v>
      </c>
      <c r="H80" t="n">
        <v>0</v>
      </c>
      <c r="I80" t="n">
        <v>1</v>
      </c>
      <c r="J80" t="n">
        <v>0</v>
      </c>
      <c r="K80" t="n">
        <v>0</v>
      </c>
      <c r="L80" t="n">
        <v>0</v>
      </c>
      <c r="M80" t="n">
        <v>0</v>
      </c>
      <c r="N80" t="n">
        <v>0</v>
      </c>
      <c r="O80" t="n">
        <v>0</v>
      </c>
      <c r="P80" t="n">
        <v>0</v>
      </c>
      <c r="Q80" t="n">
        <v>1</v>
      </c>
      <c r="R80" s="2" t="inlineStr">
        <is>
          <t>Strutbräken</t>
        </is>
      </c>
      <c r="S80">
        <f>HYPERLINK("https://klasma.github.io/Logging_252580/artfynd/A 31900-2025 artfynd.xlsx", "A 31900-2025")</f>
        <v/>
      </c>
      <c r="T80">
        <f>HYPERLINK("https://klasma.github.io/Logging_252580/kartor/A 31900-2025 karta.png", "A 31900-2025")</f>
        <v/>
      </c>
      <c r="V80">
        <f>HYPERLINK("https://klasma.github.io/Logging_252580/klagomål/A 31900-2025 FSC-klagomål.docx", "A 31900-2025")</f>
        <v/>
      </c>
      <c r="W80">
        <f>HYPERLINK("https://klasma.github.io/Logging_252580/klagomålsmail/A 31900-2025 FSC-klagomål mail.docx", "A 31900-2025")</f>
        <v/>
      </c>
      <c r="X80">
        <f>HYPERLINK("https://klasma.github.io/Logging_252580/tillsyn/A 31900-2025 tillsynsbegäran.docx", "A 31900-2025")</f>
        <v/>
      </c>
      <c r="Y80">
        <f>HYPERLINK("https://klasma.github.io/Logging_252580/tillsynsmail/A 31900-2025 tillsynsbegäran mail.docx", "A 31900-2025")</f>
        <v/>
      </c>
    </row>
    <row r="81" ht="15" customHeight="1">
      <c r="A81" t="inlineStr">
        <is>
          <t>A 32148-2025</t>
        </is>
      </c>
      <c r="B81" s="1" t="n">
        <v>45835</v>
      </c>
      <c r="C81" s="1" t="n">
        <v>45877</v>
      </c>
      <c r="D81" t="inlineStr">
        <is>
          <t>NORRBOTTENS LÄN</t>
        </is>
      </c>
      <c r="E81" t="inlineStr">
        <is>
          <t>LULEÅ</t>
        </is>
      </c>
      <c r="F81" t="inlineStr">
        <is>
          <t>Sveaskog</t>
        </is>
      </c>
      <c r="G81" t="n">
        <v>2.2</v>
      </c>
      <c r="H81" t="n">
        <v>0</v>
      </c>
      <c r="I81" t="n">
        <v>0</v>
      </c>
      <c r="J81" t="n">
        <v>1</v>
      </c>
      <c r="K81" t="n">
        <v>0</v>
      </c>
      <c r="L81" t="n">
        <v>0</v>
      </c>
      <c r="M81" t="n">
        <v>0</v>
      </c>
      <c r="N81" t="n">
        <v>0</v>
      </c>
      <c r="O81" t="n">
        <v>1</v>
      </c>
      <c r="P81" t="n">
        <v>0</v>
      </c>
      <c r="Q81" t="n">
        <v>1</v>
      </c>
      <c r="R81" s="2" t="inlineStr">
        <is>
          <t>Tallticka</t>
        </is>
      </c>
      <c r="S81">
        <f>HYPERLINK("https://klasma.github.io/Logging_252580/artfynd/A 32148-2025 artfynd.xlsx", "A 32148-2025")</f>
        <v/>
      </c>
      <c r="T81">
        <f>HYPERLINK("https://klasma.github.io/Logging_252580/kartor/A 32148-2025 karta.png", "A 32148-2025")</f>
        <v/>
      </c>
      <c r="V81">
        <f>HYPERLINK("https://klasma.github.io/Logging_252580/klagomål/A 32148-2025 FSC-klagomål.docx", "A 32148-2025")</f>
        <v/>
      </c>
      <c r="W81">
        <f>HYPERLINK("https://klasma.github.io/Logging_252580/klagomålsmail/A 32148-2025 FSC-klagomål mail.docx", "A 32148-2025")</f>
        <v/>
      </c>
      <c r="X81">
        <f>HYPERLINK("https://klasma.github.io/Logging_252580/tillsyn/A 32148-2025 tillsynsbegäran.docx", "A 32148-2025")</f>
        <v/>
      </c>
      <c r="Y81">
        <f>HYPERLINK("https://klasma.github.io/Logging_252580/tillsynsmail/A 32148-2025 tillsynsbegäran mail.docx", "A 32148-2025")</f>
        <v/>
      </c>
    </row>
    <row r="82" ht="15" customHeight="1">
      <c r="A82" t="inlineStr">
        <is>
          <t>A 33514-2025</t>
        </is>
      </c>
      <c r="B82" s="1" t="n">
        <v>45841</v>
      </c>
      <c r="C82" s="1" t="n">
        <v>45877</v>
      </c>
      <c r="D82" t="inlineStr">
        <is>
          <t>NORRBOTTENS LÄN</t>
        </is>
      </c>
      <c r="E82" t="inlineStr">
        <is>
          <t>LULEÅ</t>
        </is>
      </c>
      <c r="G82" t="n">
        <v>10</v>
      </c>
      <c r="H82" t="n">
        <v>1</v>
      </c>
      <c r="I82" t="n">
        <v>0</v>
      </c>
      <c r="J82" t="n">
        <v>0</v>
      </c>
      <c r="K82" t="n">
        <v>0</v>
      </c>
      <c r="L82" t="n">
        <v>0</v>
      </c>
      <c r="M82" t="n">
        <v>0</v>
      </c>
      <c r="N82" t="n">
        <v>0</v>
      </c>
      <c r="O82" t="n">
        <v>0</v>
      </c>
      <c r="P82" t="n">
        <v>0</v>
      </c>
      <c r="Q82" t="n">
        <v>1</v>
      </c>
      <c r="R82" s="2" t="inlineStr">
        <is>
          <t>Huggorm</t>
        </is>
      </c>
      <c r="S82">
        <f>HYPERLINK("https://klasma.github.io/Logging_252580/artfynd/A 33514-2025 artfynd.xlsx", "A 33514-2025")</f>
        <v/>
      </c>
      <c r="T82">
        <f>HYPERLINK("https://klasma.github.io/Logging_252580/kartor/A 33514-2025 karta.png", "A 33514-2025")</f>
        <v/>
      </c>
      <c r="V82">
        <f>HYPERLINK("https://klasma.github.io/Logging_252580/klagomål/A 33514-2025 FSC-klagomål.docx", "A 33514-2025")</f>
        <v/>
      </c>
      <c r="W82">
        <f>HYPERLINK("https://klasma.github.io/Logging_252580/klagomålsmail/A 33514-2025 FSC-klagomål mail.docx", "A 33514-2025")</f>
        <v/>
      </c>
      <c r="X82">
        <f>HYPERLINK("https://klasma.github.io/Logging_252580/tillsyn/A 33514-2025 tillsynsbegäran.docx", "A 33514-2025")</f>
        <v/>
      </c>
      <c r="Y82">
        <f>HYPERLINK("https://klasma.github.io/Logging_252580/tillsynsmail/A 33514-2025 tillsynsbegäran mail.docx", "A 33514-2025")</f>
        <v/>
      </c>
    </row>
    <row r="83" ht="15" customHeight="1">
      <c r="A83" t="inlineStr">
        <is>
          <t>A 17849-2019</t>
        </is>
      </c>
      <c r="B83" s="1" t="n">
        <v>43556</v>
      </c>
      <c r="C83" s="1" t="n">
        <v>45877</v>
      </c>
      <c r="D83" t="inlineStr">
        <is>
          <t>NORRBOTTENS LÄN</t>
        </is>
      </c>
      <c r="E83" t="inlineStr">
        <is>
          <t>LULEÅ</t>
        </is>
      </c>
      <c r="G83" t="n">
        <v>0.4</v>
      </c>
      <c r="H83" t="n">
        <v>0</v>
      </c>
      <c r="I83" t="n">
        <v>0</v>
      </c>
      <c r="J83" t="n">
        <v>0</v>
      </c>
      <c r="K83" t="n">
        <v>0</v>
      </c>
      <c r="L83" t="n">
        <v>0</v>
      </c>
      <c r="M83" t="n">
        <v>0</v>
      </c>
      <c r="N83" t="n">
        <v>0</v>
      </c>
      <c r="O83" t="n">
        <v>0</v>
      </c>
      <c r="P83" t="n">
        <v>0</v>
      </c>
      <c r="Q83" t="n">
        <v>0</v>
      </c>
      <c r="R83" s="2" t="inlineStr"/>
    </row>
    <row r="84" ht="15" customHeight="1">
      <c r="A84" t="inlineStr">
        <is>
          <t>A 17850-2019</t>
        </is>
      </c>
      <c r="B84" s="1" t="n">
        <v>43556</v>
      </c>
      <c r="C84" s="1" t="n">
        <v>45877</v>
      </c>
      <c r="D84" t="inlineStr">
        <is>
          <t>NORRBOTTENS LÄN</t>
        </is>
      </c>
      <c r="E84" t="inlineStr">
        <is>
          <t>LULEÅ</t>
        </is>
      </c>
      <c r="G84" t="n">
        <v>4.2</v>
      </c>
      <c r="H84" t="n">
        <v>0</v>
      </c>
      <c r="I84" t="n">
        <v>0</v>
      </c>
      <c r="J84" t="n">
        <v>0</v>
      </c>
      <c r="K84" t="n">
        <v>0</v>
      </c>
      <c r="L84" t="n">
        <v>0</v>
      </c>
      <c r="M84" t="n">
        <v>0</v>
      </c>
      <c r="N84" t="n">
        <v>0</v>
      </c>
      <c r="O84" t="n">
        <v>0</v>
      </c>
      <c r="P84" t="n">
        <v>0</v>
      </c>
      <c r="Q84" t="n">
        <v>0</v>
      </c>
      <c r="R84" s="2" t="inlineStr"/>
    </row>
    <row r="85" ht="15" customHeight="1">
      <c r="A85" t="inlineStr">
        <is>
          <t>A 17848-2019</t>
        </is>
      </c>
      <c r="B85" s="1" t="n">
        <v>43556</v>
      </c>
      <c r="C85" s="1" t="n">
        <v>45877</v>
      </c>
      <c r="D85" t="inlineStr">
        <is>
          <t>NORRBOTTENS LÄN</t>
        </is>
      </c>
      <c r="E85" t="inlineStr">
        <is>
          <t>LULEÅ</t>
        </is>
      </c>
      <c r="G85" t="n">
        <v>2.5</v>
      </c>
      <c r="H85" t="n">
        <v>0</v>
      </c>
      <c r="I85" t="n">
        <v>0</v>
      </c>
      <c r="J85" t="n">
        <v>0</v>
      </c>
      <c r="K85" t="n">
        <v>0</v>
      </c>
      <c r="L85" t="n">
        <v>0</v>
      </c>
      <c r="M85" t="n">
        <v>0</v>
      </c>
      <c r="N85" t="n">
        <v>0</v>
      </c>
      <c r="O85" t="n">
        <v>0</v>
      </c>
      <c r="P85" t="n">
        <v>0</v>
      </c>
      <c r="Q85" t="n">
        <v>0</v>
      </c>
      <c r="R85" s="2" t="inlineStr"/>
    </row>
    <row r="86" ht="15" customHeight="1">
      <c r="A86" t="inlineStr">
        <is>
          <t>A 17810-2019</t>
        </is>
      </c>
      <c r="B86" s="1" t="n">
        <v>43556</v>
      </c>
      <c r="C86" s="1" t="n">
        <v>45877</v>
      </c>
      <c r="D86" t="inlineStr">
        <is>
          <t>NORRBOTTENS LÄN</t>
        </is>
      </c>
      <c r="E86" t="inlineStr">
        <is>
          <t>LULEÅ</t>
        </is>
      </c>
      <c r="G86" t="n">
        <v>6.4</v>
      </c>
      <c r="H86" t="n">
        <v>0</v>
      </c>
      <c r="I86" t="n">
        <v>0</v>
      </c>
      <c r="J86" t="n">
        <v>0</v>
      </c>
      <c r="K86" t="n">
        <v>0</v>
      </c>
      <c r="L86" t="n">
        <v>0</v>
      </c>
      <c r="M86" t="n">
        <v>0</v>
      </c>
      <c r="N86" t="n">
        <v>0</v>
      </c>
      <c r="O86" t="n">
        <v>0</v>
      </c>
      <c r="P86" t="n">
        <v>0</v>
      </c>
      <c r="Q86" t="n">
        <v>0</v>
      </c>
      <c r="R86" s="2" t="inlineStr"/>
    </row>
    <row r="87" ht="15" customHeight="1">
      <c r="A87" t="inlineStr">
        <is>
          <t>A 19262-2019</t>
        </is>
      </c>
      <c r="B87" s="1" t="n">
        <v>43564</v>
      </c>
      <c r="C87" s="1" t="n">
        <v>45877</v>
      </c>
      <c r="D87" t="inlineStr">
        <is>
          <t>NORRBOTTENS LÄN</t>
        </is>
      </c>
      <c r="E87" t="inlineStr">
        <is>
          <t>LULEÅ</t>
        </is>
      </c>
      <c r="G87" t="n">
        <v>1.7</v>
      </c>
      <c r="H87" t="n">
        <v>0</v>
      </c>
      <c r="I87" t="n">
        <v>0</v>
      </c>
      <c r="J87" t="n">
        <v>0</v>
      </c>
      <c r="K87" t="n">
        <v>0</v>
      </c>
      <c r="L87" t="n">
        <v>0</v>
      </c>
      <c r="M87" t="n">
        <v>0</v>
      </c>
      <c r="N87" t="n">
        <v>0</v>
      </c>
      <c r="O87" t="n">
        <v>0</v>
      </c>
      <c r="P87" t="n">
        <v>0</v>
      </c>
      <c r="Q87" t="n">
        <v>0</v>
      </c>
      <c r="R87" s="2" t="inlineStr"/>
    </row>
    <row r="88" ht="15" customHeight="1">
      <c r="A88" t="inlineStr">
        <is>
          <t>A 21079-2019</t>
        </is>
      </c>
      <c r="B88" s="1" t="n">
        <v>43578</v>
      </c>
      <c r="C88" s="1" t="n">
        <v>45877</v>
      </c>
      <c r="D88" t="inlineStr">
        <is>
          <t>NORRBOTTENS LÄN</t>
        </is>
      </c>
      <c r="E88" t="inlineStr">
        <is>
          <t>LULEÅ</t>
        </is>
      </c>
      <c r="G88" t="n">
        <v>0.5</v>
      </c>
      <c r="H88" t="n">
        <v>0</v>
      </c>
      <c r="I88" t="n">
        <v>0</v>
      </c>
      <c r="J88" t="n">
        <v>0</v>
      </c>
      <c r="K88" t="n">
        <v>0</v>
      </c>
      <c r="L88" t="n">
        <v>0</v>
      </c>
      <c r="M88" t="n">
        <v>0</v>
      </c>
      <c r="N88" t="n">
        <v>0</v>
      </c>
      <c r="O88" t="n">
        <v>0</v>
      </c>
      <c r="P88" t="n">
        <v>0</v>
      </c>
      <c r="Q88" t="n">
        <v>0</v>
      </c>
      <c r="R88" s="2" t="inlineStr"/>
    </row>
    <row r="89" ht="15" customHeight="1">
      <c r="A89" t="inlineStr">
        <is>
          <t>A 21547-2019</t>
        </is>
      </c>
      <c r="B89" s="1" t="n">
        <v>43580</v>
      </c>
      <c r="C89" s="1" t="n">
        <v>45877</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21548-2019</t>
        </is>
      </c>
      <c r="B90" s="1" t="n">
        <v>43580</v>
      </c>
      <c r="C90" s="1" t="n">
        <v>45877</v>
      </c>
      <c r="D90" t="inlineStr">
        <is>
          <t>NORRBOTTENS LÄN</t>
        </is>
      </c>
      <c r="E90" t="inlineStr">
        <is>
          <t>LULEÅ</t>
        </is>
      </c>
      <c r="G90" t="n">
        <v>2.9</v>
      </c>
      <c r="H90" t="n">
        <v>0</v>
      </c>
      <c r="I90" t="n">
        <v>0</v>
      </c>
      <c r="J90" t="n">
        <v>0</v>
      </c>
      <c r="K90" t="n">
        <v>0</v>
      </c>
      <c r="L90" t="n">
        <v>0</v>
      </c>
      <c r="M90" t="n">
        <v>0</v>
      </c>
      <c r="N90" t="n">
        <v>0</v>
      </c>
      <c r="O90" t="n">
        <v>0</v>
      </c>
      <c r="P90" t="n">
        <v>0</v>
      </c>
      <c r="Q90" t="n">
        <v>0</v>
      </c>
      <c r="R90" s="2" t="inlineStr"/>
    </row>
    <row r="91" ht="15" customHeight="1">
      <c r="A91" t="inlineStr">
        <is>
          <t>A 21546-2019</t>
        </is>
      </c>
      <c r="B91" s="1" t="n">
        <v>43580</v>
      </c>
      <c r="C91" s="1" t="n">
        <v>45877</v>
      </c>
      <c r="D91" t="inlineStr">
        <is>
          <t>NORRBOTTENS LÄN</t>
        </is>
      </c>
      <c r="E91" t="inlineStr">
        <is>
          <t>LULEÅ</t>
        </is>
      </c>
      <c r="G91" t="n">
        <v>5.1</v>
      </c>
      <c r="H91" t="n">
        <v>0</v>
      </c>
      <c r="I91" t="n">
        <v>0</v>
      </c>
      <c r="J91" t="n">
        <v>0</v>
      </c>
      <c r="K91" t="n">
        <v>0</v>
      </c>
      <c r="L91" t="n">
        <v>0</v>
      </c>
      <c r="M91" t="n">
        <v>0</v>
      </c>
      <c r="N91" t="n">
        <v>0</v>
      </c>
      <c r="O91" t="n">
        <v>0</v>
      </c>
      <c r="P91" t="n">
        <v>0</v>
      </c>
      <c r="Q91" t="n">
        <v>0</v>
      </c>
      <c r="R91" s="2" t="inlineStr"/>
    </row>
    <row r="92" ht="15" customHeight="1">
      <c r="A92" t="inlineStr">
        <is>
          <t>A 21550-2019</t>
        </is>
      </c>
      <c r="B92" s="1" t="n">
        <v>43580</v>
      </c>
      <c r="C92" s="1" t="n">
        <v>45877</v>
      </c>
      <c r="D92" t="inlineStr">
        <is>
          <t>NORRBOTTENS LÄN</t>
        </is>
      </c>
      <c r="E92" t="inlineStr">
        <is>
          <t>LULEÅ</t>
        </is>
      </c>
      <c r="G92" t="n">
        <v>3.3</v>
      </c>
      <c r="H92" t="n">
        <v>0</v>
      </c>
      <c r="I92" t="n">
        <v>0</v>
      </c>
      <c r="J92" t="n">
        <v>0</v>
      </c>
      <c r="K92" t="n">
        <v>0</v>
      </c>
      <c r="L92" t="n">
        <v>0</v>
      </c>
      <c r="M92" t="n">
        <v>0</v>
      </c>
      <c r="N92" t="n">
        <v>0</v>
      </c>
      <c r="O92" t="n">
        <v>0</v>
      </c>
      <c r="P92" t="n">
        <v>0</v>
      </c>
      <c r="Q92" t="n">
        <v>0</v>
      </c>
      <c r="R92" s="2" t="inlineStr"/>
    </row>
    <row r="93" ht="15" customHeight="1">
      <c r="A93" t="inlineStr">
        <is>
          <t>A 21916-2019</t>
        </is>
      </c>
      <c r="B93" s="1" t="n">
        <v>43584</v>
      </c>
      <c r="C93" s="1" t="n">
        <v>45877</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22098-2019</t>
        </is>
      </c>
      <c r="B94" s="1" t="n">
        <v>43584</v>
      </c>
      <c r="C94" s="1" t="n">
        <v>45877</v>
      </c>
      <c r="D94" t="inlineStr">
        <is>
          <t>NORRBOTTENS LÄN</t>
        </is>
      </c>
      <c r="E94" t="inlineStr">
        <is>
          <t>LULEÅ</t>
        </is>
      </c>
      <c r="G94" t="n">
        <v>2.2</v>
      </c>
      <c r="H94" t="n">
        <v>0</v>
      </c>
      <c r="I94" t="n">
        <v>0</v>
      </c>
      <c r="J94" t="n">
        <v>0</v>
      </c>
      <c r="K94" t="n">
        <v>0</v>
      </c>
      <c r="L94" t="n">
        <v>0</v>
      </c>
      <c r="M94" t="n">
        <v>0</v>
      </c>
      <c r="N94" t="n">
        <v>0</v>
      </c>
      <c r="O94" t="n">
        <v>0</v>
      </c>
      <c r="P94" t="n">
        <v>0</v>
      </c>
      <c r="Q94" t="n">
        <v>0</v>
      </c>
      <c r="R94" s="2" t="inlineStr"/>
    </row>
    <row r="95" ht="15" customHeight="1">
      <c r="A95" t="inlineStr">
        <is>
          <t>A 24885-2019</t>
        </is>
      </c>
      <c r="B95" s="1" t="n">
        <v>43599</v>
      </c>
      <c r="C95" s="1" t="n">
        <v>45877</v>
      </c>
      <c r="D95" t="inlineStr">
        <is>
          <t>NORRBOTTENS LÄN</t>
        </is>
      </c>
      <c r="E95" t="inlineStr">
        <is>
          <t>LULEÅ</t>
        </is>
      </c>
      <c r="G95" t="n">
        <v>1.2</v>
      </c>
      <c r="H95" t="n">
        <v>0</v>
      </c>
      <c r="I95" t="n">
        <v>0</v>
      </c>
      <c r="J95" t="n">
        <v>0</v>
      </c>
      <c r="K95" t="n">
        <v>0</v>
      </c>
      <c r="L95" t="n">
        <v>0</v>
      </c>
      <c r="M95" t="n">
        <v>0</v>
      </c>
      <c r="N95" t="n">
        <v>0</v>
      </c>
      <c r="O95" t="n">
        <v>0</v>
      </c>
      <c r="P95" t="n">
        <v>0</v>
      </c>
      <c r="Q95" t="n">
        <v>0</v>
      </c>
      <c r="R95" s="2" t="inlineStr"/>
    </row>
    <row r="96" ht="15" customHeight="1">
      <c r="A96" t="inlineStr">
        <is>
          <t>A 25208-2019</t>
        </is>
      </c>
      <c r="B96" s="1" t="n">
        <v>43605</v>
      </c>
      <c r="C96" s="1" t="n">
        <v>45877</v>
      </c>
      <c r="D96" t="inlineStr">
        <is>
          <t>NORRBOTTENS LÄN</t>
        </is>
      </c>
      <c r="E96" t="inlineStr">
        <is>
          <t>LULEÅ</t>
        </is>
      </c>
      <c r="G96" t="n">
        <v>25.8</v>
      </c>
      <c r="H96" t="n">
        <v>0</v>
      </c>
      <c r="I96" t="n">
        <v>0</v>
      </c>
      <c r="J96" t="n">
        <v>0</v>
      </c>
      <c r="K96" t="n">
        <v>0</v>
      </c>
      <c r="L96" t="n">
        <v>0</v>
      </c>
      <c r="M96" t="n">
        <v>0</v>
      </c>
      <c r="N96" t="n">
        <v>0</v>
      </c>
      <c r="O96" t="n">
        <v>0</v>
      </c>
      <c r="P96" t="n">
        <v>0</v>
      </c>
      <c r="Q96" t="n">
        <v>0</v>
      </c>
      <c r="R96" s="2" t="inlineStr"/>
    </row>
    <row r="97" ht="15" customHeight="1">
      <c r="A97" t="inlineStr">
        <is>
          <t>A 25212-2019</t>
        </is>
      </c>
      <c r="B97" s="1" t="n">
        <v>43605</v>
      </c>
      <c r="C97" s="1" t="n">
        <v>45877</v>
      </c>
      <c r="D97" t="inlineStr">
        <is>
          <t>NORRBOTTENS LÄN</t>
        </is>
      </c>
      <c r="E97" t="inlineStr">
        <is>
          <t>LULEÅ</t>
        </is>
      </c>
      <c r="G97" t="n">
        <v>10.4</v>
      </c>
      <c r="H97" t="n">
        <v>0</v>
      </c>
      <c r="I97" t="n">
        <v>0</v>
      </c>
      <c r="J97" t="n">
        <v>0</v>
      </c>
      <c r="K97" t="n">
        <v>0</v>
      </c>
      <c r="L97" t="n">
        <v>0</v>
      </c>
      <c r="M97" t="n">
        <v>0</v>
      </c>
      <c r="N97" t="n">
        <v>0</v>
      </c>
      <c r="O97" t="n">
        <v>0</v>
      </c>
      <c r="P97" t="n">
        <v>0</v>
      </c>
      <c r="Q97" t="n">
        <v>0</v>
      </c>
      <c r="R97" s="2" t="inlineStr"/>
    </row>
    <row r="98" ht="15" customHeight="1">
      <c r="A98" t="inlineStr">
        <is>
          <t>A 29037-2019</t>
        </is>
      </c>
      <c r="B98" s="1" t="n">
        <v>43620</v>
      </c>
      <c r="C98" s="1" t="n">
        <v>45877</v>
      </c>
      <c r="D98" t="inlineStr">
        <is>
          <t>NORRBOTTENS LÄN</t>
        </is>
      </c>
      <c r="E98" t="inlineStr">
        <is>
          <t>LULEÅ</t>
        </is>
      </c>
      <c r="G98" t="n">
        <v>3.7</v>
      </c>
      <c r="H98" t="n">
        <v>0</v>
      </c>
      <c r="I98" t="n">
        <v>0</v>
      </c>
      <c r="J98" t="n">
        <v>0</v>
      </c>
      <c r="K98" t="n">
        <v>0</v>
      </c>
      <c r="L98" t="n">
        <v>0</v>
      </c>
      <c r="M98" t="n">
        <v>0</v>
      </c>
      <c r="N98" t="n">
        <v>0</v>
      </c>
      <c r="O98" t="n">
        <v>0</v>
      </c>
      <c r="P98" t="n">
        <v>0</v>
      </c>
      <c r="Q98" t="n">
        <v>0</v>
      </c>
      <c r="R98" s="2" t="inlineStr"/>
    </row>
    <row r="99" ht="15" customHeight="1">
      <c r="A99" t="inlineStr">
        <is>
          <t>A 28286-2019</t>
        </is>
      </c>
      <c r="B99" s="1" t="n">
        <v>43623</v>
      </c>
      <c r="C99" s="1" t="n">
        <v>45877</v>
      </c>
      <c r="D99" t="inlineStr">
        <is>
          <t>NORRBOTTENS LÄN</t>
        </is>
      </c>
      <c r="E99" t="inlineStr">
        <is>
          <t>LULEÅ</t>
        </is>
      </c>
      <c r="F99" t="inlineStr">
        <is>
          <t>Kyrkan</t>
        </is>
      </c>
      <c r="G99" t="n">
        <v>1.9</v>
      </c>
      <c r="H99" t="n">
        <v>0</v>
      </c>
      <c r="I99" t="n">
        <v>0</v>
      </c>
      <c r="J99" t="n">
        <v>0</v>
      </c>
      <c r="K99" t="n">
        <v>0</v>
      </c>
      <c r="L99" t="n">
        <v>0</v>
      </c>
      <c r="M99" t="n">
        <v>0</v>
      </c>
      <c r="N99" t="n">
        <v>0</v>
      </c>
      <c r="O99" t="n">
        <v>0</v>
      </c>
      <c r="P99" t="n">
        <v>0</v>
      </c>
      <c r="Q99" t="n">
        <v>0</v>
      </c>
      <c r="R99" s="2" t="inlineStr"/>
    </row>
    <row r="100" ht="15" customHeight="1">
      <c r="A100" t="inlineStr">
        <is>
          <t>A 28292-2019</t>
        </is>
      </c>
      <c r="B100" s="1" t="n">
        <v>43623</v>
      </c>
      <c r="C100" s="1" t="n">
        <v>45877</v>
      </c>
      <c r="D100" t="inlineStr">
        <is>
          <t>NORRBOTTENS LÄN</t>
        </is>
      </c>
      <c r="E100" t="inlineStr">
        <is>
          <t>LULEÅ</t>
        </is>
      </c>
      <c r="F100" t="inlineStr">
        <is>
          <t>Kyrkan</t>
        </is>
      </c>
      <c r="G100" t="n">
        <v>2.9</v>
      </c>
      <c r="H100" t="n">
        <v>0</v>
      </c>
      <c r="I100" t="n">
        <v>0</v>
      </c>
      <c r="J100" t="n">
        <v>0</v>
      </c>
      <c r="K100" t="n">
        <v>0</v>
      </c>
      <c r="L100" t="n">
        <v>0</v>
      </c>
      <c r="M100" t="n">
        <v>0</v>
      </c>
      <c r="N100" t="n">
        <v>0</v>
      </c>
      <c r="O100" t="n">
        <v>0</v>
      </c>
      <c r="P100" t="n">
        <v>0</v>
      </c>
      <c r="Q100" t="n">
        <v>0</v>
      </c>
      <c r="R100" s="2" t="inlineStr"/>
    </row>
    <row r="101" ht="15" customHeight="1">
      <c r="A101" t="inlineStr">
        <is>
          <t>A 30202-2019</t>
        </is>
      </c>
      <c r="B101" s="1" t="n">
        <v>43634</v>
      </c>
      <c r="C101" s="1" t="n">
        <v>45877</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30543-2019</t>
        </is>
      </c>
      <c r="B102" s="1" t="n">
        <v>43635</v>
      </c>
      <c r="C102" s="1" t="n">
        <v>45877</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33452-2019</t>
        </is>
      </c>
      <c r="B103" s="1" t="n">
        <v>43650</v>
      </c>
      <c r="C103" s="1" t="n">
        <v>45877</v>
      </c>
      <c r="D103" t="inlineStr">
        <is>
          <t>NORRBOTTENS LÄN</t>
        </is>
      </c>
      <c r="E103" t="inlineStr">
        <is>
          <t>LULEÅ</t>
        </is>
      </c>
      <c r="G103" t="n">
        <v>2.5</v>
      </c>
      <c r="H103" t="n">
        <v>0</v>
      </c>
      <c r="I103" t="n">
        <v>0</v>
      </c>
      <c r="J103" t="n">
        <v>0</v>
      </c>
      <c r="K103" t="n">
        <v>0</v>
      </c>
      <c r="L103" t="n">
        <v>0</v>
      </c>
      <c r="M103" t="n">
        <v>0</v>
      </c>
      <c r="N103" t="n">
        <v>0</v>
      </c>
      <c r="O103" t="n">
        <v>0</v>
      </c>
      <c r="P103" t="n">
        <v>0</v>
      </c>
      <c r="Q103" t="n">
        <v>0</v>
      </c>
      <c r="R103" s="2" t="inlineStr"/>
    </row>
    <row r="104" ht="15" customHeight="1">
      <c r="A104" t="inlineStr">
        <is>
          <t>A 38704-2019</t>
        </is>
      </c>
      <c r="B104" s="1" t="n">
        <v>43684</v>
      </c>
      <c r="C104" s="1" t="n">
        <v>45877</v>
      </c>
      <c r="D104" t="inlineStr">
        <is>
          <t>NORRBOTTENS LÄN</t>
        </is>
      </c>
      <c r="E104" t="inlineStr">
        <is>
          <t>LULEÅ</t>
        </is>
      </c>
      <c r="G104" t="n">
        <v>2.8</v>
      </c>
      <c r="H104" t="n">
        <v>0</v>
      </c>
      <c r="I104" t="n">
        <v>0</v>
      </c>
      <c r="J104" t="n">
        <v>0</v>
      </c>
      <c r="K104" t="n">
        <v>0</v>
      </c>
      <c r="L104" t="n">
        <v>0</v>
      </c>
      <c r="M104" t="n">
        <v>0</v>
      </c>
      <c r="N104" t="n">
        <v>0</v>
      </c>
      <c r="O104" t="n">
        <v>0</v>
      </c>
      <c r="P104" t="n">
        <v>0</v>
      </c>
      <c r="Q104" t="n">
        <v>0</v>
      </c>
      <c r="R104" s="2" t="inlineStr"/>
    </row>
    <row r="105" ht="15" customHeight="1">
      <c r="A105" t="inlineStr">
        <is>
          <t>A 41091-2019</t>
        </is>
      </c>
      <c r="B105" s="1" t="n">
        <v>43693</v>
      </c>
      <c r="C105" s="1" t="n">
        <v>45877</v>
      </c>
      <c r="D105" t="inlineStr">
        <is>
          <t>NORRBOTTENS LÄN</t>
        </is>
      </c>
      <c r="E105" t="inlineStr">
        <is>
          <t>LULEÅ</t>
        </is>
      </c>
      <c r="G105" t="n">
        <v>4.3</v>
      </c>
      <c r="H105" t="n">
        <v>0</v>
      </c>
      <c r="I105" t="n">
        <v>0</v>
      </c>
      <c r="J105" t="n">
        <v>0</v>
      </c>
      <c r="K105" t="n">
        <v>0</v>
      </c>
      <c r="L105" t="n">
        <v>0</v>
      </c>
      <c r="M105" t="n">
        <v>0</v>
      </c>
      <c r="N105" t="n">
        <v>0</v>
      </c>
      <c r="O105" t="n">
        <v>0</v>
      </c>
      <c r="P105" t="n">
        <v>0</v>
      </c>
      <c r="Q105" t="n">
        <v>0</v>
      </c>
      <c r="R105" s="2" t="inlineStr"/>
    </row>
    <row r="106" ht="15" customHeight="1">
      <c r="A106" t="inlineStr">
        <is>
          <t>A 42782-2019</t>
        </is>
      </c>
      <c r="B106" s="1" t="n">
        <v>43704</v>
      </c>
      <c r="C106" s="1" t="n">
        <v>45877</v>
      </c>
      <c r="D106" t="inlineStr">
        <is>
          <t>NORRBOTTENS LÄN</t>
        </is>
      </c>
      <c r="E106" t="inlineStr">
        <is>
          <t>LULEÅ</t>
        </is>
      </c>
      <c r="F106" t="inlineStr">
        <is>
          <t>SCA</t>
        </is>
      </c>
      <c r="G106" t="n">
        <v>4.7</v>
      </c>
      <c r="H106" t="n">
        <v>0</v>
      </c>
      <c r="I106" t="n">
        <v>0</v>
      </c>
      <c r="J106" t="n">
        <v>0</v>
      </c>
      <c r="K106" t="n">
        <v>0</v>
      </c>
      <c r="L106" t="n">
        <v>0</v>
      </c>
      <c r="M106" t="n">
        <v>0</v>
      </c>
      <c r="N106" t="n">
        <v>0</v>
      </c>
      <c r="O106" t="n">
        <v>0</v>
      </c>
      <c r="P106" t="n">
        <v>0</v>
      </c>
      <c r="Q106" t="n">
        <v>0</v>
      </c>
      <c r="R106" s="2" t="inlineStr"/>
    </row>
    <row r="107" ht="15" customHeight="1">
      <c r="A107" t="inlineStr">
        <is>
          <t>A 42780-2019</t>
        </is>
      </c>
      <c r="B107" s="1" t="n">
        <v>43704</v>
      </c>
      <c r="C107" s="1" t="n">
        <v>45877</v>
      </c>
      <c r="D107" t="inlineStr">
        <is>
          <t>NORRBOTTENS LÄN</t>
        </is>
      </c>
      <c r="E107" t="inlineStr">
        <is>
          <t>LULEÅ</t>
        </is>
      </c>
      <c r="F107" t="inlineStr">
        <is>
          <t>SCA</t>
        </is>
      </c>
      <c r="G107" t="n">
        <v>3.1</v>
      </c>
      <c r="H107" t="n">
        <v>0</v>
      </c>
      <c r="I107" t="n">
        <v>0</v>
      </c>
      <c r="J107" t="n">
        <v>0</v>
      </c>
      <c r="K107" t="n">
        <v>0</v>
      </c>
      <c r="L107" t="n">
        <v>0</v>
      </c>
      <c r="M107" t="n">
        <v>0</v>
      </c>
      <c r="N107" t="n">
        <v>0</v>
      </c>
      <c r="O107" t="n">
        <v>0</v>
      </c>
      <c r="P107" t="n">
        <v>0</v>
      </c>
      <c r="Q107" t="n">
        <v>0</v>
      </c>
      <c r="R107" s="2" t="inlineStr"/>
    </row>
    <row r="108" ht="15" customHeight="1">
      <c r="A108" t="inlineStr">
        <is>
          <t>A 44365-2019</t>
        </is>
      </c>
      <c r="B108" s="1" t="n">
        <v>43711</v>
      </c>
      <c r="C108" s="1" t="n">
        <v>45877</v>
      </c>
      <c r="D108" t="inlineStr">
        <is>
          <t>NORRBOTTENS LÄN</t>
        </is>
      </c>
      <c r="E108" t="inlineStr">
        <is>
          <t>LULEÅ</t>
        </is>
      </c>
      <c r="G108" t="n">
        <v>4</v>
      </c>
      <c r="H108" t="n">
        <v>0</v>
      </c>
      <c r="I108" t="n">
        <v>0</v>
      </c>
      <c r="J108" t="n">
        <v>0</v>
      </c>
      <c r="K108" t="n">
        <v>0</v>
      </c>
      <c r="L108" t="n">
        <v>0</v>
      </c>
      <c r="M108" t="n">
        <v>0</v>
      </c>
      <c r="N108" t="n">
        <v>0</v>
      </c>
      <c r="O108" t="n">
        <v>0</v>
      </c>
      <c r="P108" t="n">
        <v>0</v>
      </c>
      <c r="Q108" t="n">
        <v>0</v>
      </c>
      <c r="R108" s="2" t="inlineStr"/>
    </row>
    <row r="109" ht="15" customHeight="1">
      <c r="A109" t="inlineStr">
        <is>
          <t>A 45252-2019</t>
        </is>
      </c>
      <c r="B109" s="1" t="n">
        <v>43713</v>
      </c>
      <c r="C109" s="1" t="n">
        <v>45877</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45482-2019</t>
        </is>
      </c>
      <c r="B110" s="1" t="n">
        <v>43713</v>
      </c>
      <c r="C110" s="1" t="n">
        <v>45877</v>
      </c>
      <c r="D110" t="inlineStr">
        <is>
          <t>NORRBOTTENS LÄN</t>
        </is>
      </c>
      <c r="E110" t="inlineStr">
        <is>
          <t>LULEÅ</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46780-2019</t>
        </is>
      </c>
      <c r="B111" s="1" t="n">
        <v>43718</v>
      </c>
      <c r="C111" s="1" t="n">
        <v>45877</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47405-2019</t>
        </is>
      </c>
      <c r="B112" s="1" t="n">
        <v>43722</v>
      </c>
      <c r="C112" s="1" t="n">
        <v>45877</v>
      </c>
      <c r="D112" t="inlineStr">
        <is>
          <t>NORRBOTTENS LÄN</t>
        </is>
      </c>
      <c r="E112" t="inlineStr">
        <is>
          <t>LULEÅ</t>
        </is>
      </c>
      <c r="G112" t="n">
        <v>0.6</v>
      </c>
      <c r="H112" t="n">
        <v>0</v>
      </c>
      <c r="I112" t="n">
        <v>0</v>
      </c>
      <c r="J112" t="n">
        <v>0</v>
      </c>
      <c r="K112" t="n">
        <v>0</v>
      </c>
      <c r="L112" t="n">
        <v>0</v>
      </c>
      <c r="M112" t="n">
        <v>0</v>
      </c>
      <c r="N112" t="n">
        <v>0</v>
      </c>
      <c r="O112" t="n">
        <v>0</v>
      </c>
      <c r="P112" t="n">
        <v>0</v>
      </c>
      <c r="Q112" t="n">
        <v>0</v>
      </c>
      <c r="R112" s="2" t="inlineStr"/>
    </row>
    <row r="113" ht="15" customHeight="1">
      <c r="A113" t="inlineStr">
        <is>
          <t>A 49751-2019</t>
        </is>
      </c>
      <c r="B113" s="1" t="n">
        <v>43733</v>
      </c>
      <c r="C113" s="1" t="n">
        <v>45877</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49886-2019</t>
        </is>
      </c>
      <c r="B114" s="1" t="n">
        <v>43733</v>
      </c>
      <c r="C114" s="1" t="n">
        <v>45877</v>
      </c>
      <c r="D114" t="inlineStr">
        <is>
          <t>NORRBOTTENS LÄN</t>
        </is>
      </c>
      <c r="E114" t="inlineStr">
        <is>
          <t>LULEÅ</t>
        </is>
      </c>
      <c r="G114" t="n">
        <v>2.7</v>
      </c>
      <c r="H114" t="n">
        <v>0</v>
      </c>
      <c r="I114" t="n">
        <v>0</v>
      </c>
      <c r="J114" t="n">
        <v>0</v>
      </c>
      <c r="K114" t="n">
        <v>0</v>
      </c>
      <c r="L114" t="n">
        <v>0</v>
      </c>
      <c r="M114" t="n">
        <v>0</v>
      </c>
      <c r="N114" t="n">
        <v>0</v>
      </c>
      <c r="O114" t="n">
        <v>0</v>
      </c>
      <c r="P114" t="n">
        <v>0</v>
      </c>
      <c r="Q114" t="n">
        <v>0</v>
      </c>
      <c r="R114" s="2" t="inlineStr"/>
    </row>
    <row r="115" ht="15" customHeight="1">
      <c r="A115" t="inlineStr">
        <is>
          <t>A 49916-2019</t>
        </is>
      </c>
      <c r="B115" s="1" t="n">
        <v>43733</v>
      </c>
      <c r="C115" s="1" t="n">
        <v>45877</v>
      </c>
      <c r="D115" t="inlineStr">
        <is>
          <t>NORRBOTTENS LÄN</t>
        </is>
      </c>
      <c r="E115" t="inlineStr">
        <is>
          <t>LULEÅ</t>
        </is>
      </c>
      <c r="G115" t="n">
        <v>0.8</v>
      </c>
      <c r="H115" t="n">
        <v>0</v>
      </c>
      <c r="I115" t="n">
        <v>0</v>
      </c>
      <c r="J115" t="n">
        <v>0</v>
      </c>
      <c r="K115" t="n">
        <v>0</v>
      </c>
      <c r="L115" t="n">
        <v>0</v>
      </c>
      <c r="M115" t="n">
        <v>0</v>
      </c>
      <c r="N115" t="n">
        <v>0</v>
      </c>
      <c r="O115" t="n">
        <v>0</v>
      </c>
      <c r="P115" t="n">
        <v>0</v>
      </c>
      <c r="Q115" t="n">
        <v>0</v>
      </c>
      <c r="R115" s="2" t="inlineStr"/>
    </row>
    <row r="116" ht="15" customHeight="1">
      <c r="A116" t="inlineStr">
        <is>
          <t>A 51694-2019</t>
        </is>
      </c>
      <c r="B116" s="1" t="n">
        <v>43740</v>
      </c>
      <c r="C116" s="1" t="n">
        <v>45877</v>
      </c>
      <c r="D116" t="inlineStr">
        <is>
          <t>NORRBOTTENS LÄN</t>
        </is>
      </c>
      <c r="E116" t="inlineStr">
        <is>
          <t>LULEÅ</t>
        </is>
      </c>
      <c r="F116" t="inlineStr">
        <is>
          <t>SCA</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52917-2019</t>
        </is>
      </c>
      <c r="B117" s="1" t="n">
        <v>43746</v>
      </c>
      <c r="C117" s="1" t="n">
        <v>45877</v>
      </c>
      <c r="D117" t="inlineStr">
        <is>
          <t>NORRBOTTENS LÄN</t>
        </is>
      </c>
      <c r="E117" t="inlineStr">
        <is>
          <t>LULEÅ</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53365-2019</t>
        </is>
      </c>
      <c r="B118" s="1" t="n">
        <v>43748</v>
      </c>
      <c r="C118" s="1" t="n">
        <v>45877</v>
      </c>
      <c r="D118" t="inlineStr">
        <is>
          <t>NORRBOTTENS LÄN</t>
        </is>
      </c>
      <c r="E118" t="inlineStr">
        <is>
          <t>LULEÅ</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54203-2019</t>
        </is>
      </c>
      <c r="B119" s="1" t="n">
        <v>43753</v>
      </c>
      <c r="C119" s="1" t="n">
        <v>45877</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57724-2019</t>
        </is>
      </c>
      <c r="B120" s="1" t="n">
        <v>43761</v>
      </c>
      <c r="C120" s="1" t="n">
        <v>45877</v>
      </c>
      <c r="D120" t="inlineStr">
        <is>
          <t>NORRBOTTENS LÄN</t>
        </is>
      </c>
      <c r="E120" t="inlineStr">
        <is>
          <t>LULEÅ</t>
        </is>
      </c>
      <c r="G120" t="n">
        <v>14.4</v>
      </c>
      <c r="H120" t="n">
        <v>0</v>
      </c>
      <c r="I120" t="n">
        <v>0</v>
      </c>
      <c r="J120" t="n">
        <v>0</v>
      </c>
      <c r="K120" t="n">
        <v>0</v>
      </c>
      <c r="L120" t="n">
        <v>0</v>
      </c>
      <c r="M120" t="n">
        <v>0</v>
      </c>
      <c r="N120" t="n">
        <v>0</v>
      </c>
      <c r="O120" t="n">
        <v>0</v>
      </c>
      <c r="P120" t="n">
        <v>0</v>
      </c>
      <c r="Q120" t="n">
        <v>0</v>
      </c>
      <c r="R120" s="2" t="inlineStr"/>
    </row>
    <row r="121" ht="15" customHeight="1">
      <c r="A121" t="inlineStr">
        <is>
          <t>A 56811-2019</t>
        </is>
      </c>
      <c r="B121" s="1" t="n">
        <v>43763</v>
      </c>
      <c r="C121" s="1" t="n">
        <v>45877</v>
      </c>
      <c r="D121" t="inlineStr">
        <is>
          <t>NORRBOTTENS LÄN</t>
        </is>
      </c>
      <c r="E121" t="inlineStr">
        <is>
          <t>LULEÅ</t>
        </is>
      </c>
      <c r="F121" t="inlineStr">
        <is>
          <t>SCA</t>
        </is>
      </c>
      <c r="G121" t="n">
        <v>6.4</v>
      </c>
      <c r="H121" t="n">
        <v>0</v>
      </c>
      <c r="I121" t="n">
        <v>0</v>
      </c>
      <c r="J121" t="n">
        <v>0</v>
      </c>
      <c r="K121" t="n">
        <v>0</v>
      </c>
      <c r="L121" t="n">
        <v>0</v>
      </c>
      <c r="M121" t="n">
        <v>0</v>
      </c>
      <c r="N121" t="n">
        <v>0</v>
      </c>
      <c r="O121" t="n">
        <v>0</v>
      </c>
      <c r="P121" t="n">
        <v>0</v>
      </c>
      <c r="Q121" t="n">
        <v>0</v>
      </c>
      <c r="R121" s="2" t="inlineStr"/>
    </row>
    <row r="122" ht="15" customHeight="1">
      <c r="A122" t="inlineStr">
        <is>
          <t>A 56805-2019</t>
        </is>
      </c>
      <c r="B122" s="1" t="n">
        <v>43763</v>
      </c>
      <c r="C122" s="1" t="n">
        <v>45877</v>
      </c>
      <c r="D122" t="inlineStr">
        <is>
          <t>NORRBOTTENS LÄN</t>
        </is>
      </c>
      <c r="E122" t="inlineStr">
        <is>
          <t>LULEÅ</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56814-2019</t>
        </is>
      </c>
      <c r="B123" s="1" t="n">
        <v>43763</v>
      </c>
      <c r="C123" s="1" t="n">
        <v>45877</v>
      </c>
      <c r="D123" t="inlineStr">
        <is>
          <t>NORRBOTTENS LÄN</t>
        </is>
      </c>
      <c r="E123" t="inlineStr">
        <is>
          <t>LULEÅ</t>
        </is>
      </c>
      <c r="F123" t="inlineStr">
        <is>
          <t>SCA</t>
        </is>
      </c>
      <c r="G123" t="n">
        <v>17.4</v>
      </c>
      <c r="H123" t="n">
        <v>0</v>
      </c>
      <c r="I123" t="n">
        <v>0</v>
      </c>
      <c r="J123" t="n">
        <v>0</v>
      </c>
      <c r="K123" t="n">
        <v>0</v>
      </c>
      <c r="L123" t="n">
        <v>0</v>
      </c>
      <c r="M123" t="n">
        <v>0</v>
      </c>
      <c r="N123" t="n">
        <v>0</v>
      </c>
      <c r="O123" t="n">
        <v>0</v>
      </c>
      <c r="P123" t="n">
        <v>0</v>
      </c>
      <c r="Q123" t="n">
        <v>0</v>
      </c>
      <c r="R123" s="2" t="inlineStr"/>
    </row>
    <row r="124" ht="15" customHeight="1">
      <c r="A124" t="inlineStr">
        <is>
          <t>A 56815-2019</t>
        </is>
      </c>
      <c r="B124" s="1" t="n">
        <v>43763</v>
      </c>
      <c r="C124" s="1" t="n">
        <v>45877</v>
      </c>
      <c r="D124" t="inlineStr">
        <is>
          <t>NORRBOTTENS LÄN</t>
        </is>
      </c>
      <c r="E124" t="inlineStr">
        <is>
          <t>LULEÅ</t>
        </is>
      </c>
      <c r="F124" t="inlineStr">
        <is>
          <t>SCA</t>
        </is>
      </c>
      <c r="G124" t="n">
        <v>5.2</v>
      </c>
      <c r="H124" t="n">
        <v>0</v>
      </c>
      <c r="I124" t="n">
        <v>0</v>
      </c>
      <c r="J124" t="n">
        <v>0</v>
      </c>
      <c r="K124" t="n">
        <v>0</v>
      </c>
      <c r="L124" t="n">
        <v>0</v>
      </c>
      <c r="M124" t="n">
        <v>0</v>
      </c>
      <c r="N124" t="n">
        <v>0</v>
      </c>
      <c r="O124" t="n">
        <v>0</v>
      </c>
      <c r="P124" t="n">
        <v>0</v>
      </c>
      <c r="Q124" t="n">
        <v>0</v>
      </c>
      <c r="R124" s="2" t="inlineStr"/>
    </row>
    <row r="125" ht="15" customHeight="1">
      <c r="A125" t="inlineStr">
        <is>
          <t>A 56812-2019</t>
        </is>
      </c>
      <c r="B125" s="1" t="n">
        <v>43763</v>
      </c>
      <c r="C125" s="1" t="n">
        <v>45877</v>
      </c>
      <c r="D125" t="inlineStr">
        <is>
          <t>NORRBOTTENS LÄN</t>
        </is>
      </c>
      <c r="E125" t="inlineStr">
        <is>
          <t>LULEÅ</t>
        </is>
      </c>
      <c r="F125" t="inlineStr">
        <is>
          <t>SCA</t>
        </is>
      </c>
      <c r="G125" t="n">
        <v>7.3</v>
      </c>
      <c r="H125" t="n">
        <v>0</v>
      </c>
      <c r="I125" t="n">
        <v>0</v>
      </c>
      <c r="J125" t="n">
        <v>0</v>
      </c>
      <c r="K125" t="n">
        <v>0</v>
      </c>
      <c r="L125" t="n">
        <v>0</v>
      </c>
      <c r="M125" t="n">
        <v>0</v>
      </c>
      <c r="N125" t="n">
        <v>0</v>
      </c>
      <c r="O125" t="n">
        <v>0</v>
      </c>
      <c r="P125" t="n">
        <v>0</v>
      </c>
      <c r="Q125" t="n">
        <v>0</v>
      </c>
      <c r="R125" s="2" t="inlineStr"/>
    </row>
    <row r="126" ht="15" customHeight="1">
      <c r="A126" t="inlineStr">
        <is>
          <t>A 56816-2019</t>
        </is>
      </c>
      <c r="B126" s="1" t="n">
        <v>43763</v>
      </c>
      <c r="C126" s="1" t="n">
        <v>45877</v>
      </c>
      <c r="D126" t="inlineStr">
        <is>
          <t>NORRBOTTENS LÄN</t>
        </is>
      </c>
      <c r="E126" t="inlineStr">
        <is>
          <t>LULEÅ</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56813-2019</t>
        </is>
      </c>
      <c r="B127" s="1" t="n">
        <v>43763</v>
      </c>
      <c r="C127" s="1" t="n">
        <v>45877</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56849-2019</t>
        </is>
      </c>
      <c r="B128" s="1" t="n">
        <v>43765</v>
      </c>
      <c r="C128" s="1" t="n">
        <v>45877</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58934-2019</t>
        </is>
      </c>
      <c r="B129" s="1" t="n">
        <v>43769</v>
      </c>
      <c r="C129" s="1" t="n">
        <v>45877</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60133-2019</t>
        </is>
      </c>
      <c r="B130" s="1" t="n">
        <v>43778</v>
      </c>
      <c r="C130" s="1" t="n">
        <v>45877</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60501-2019</t>
        </is>
      </c>
      <c r="B131" s="1" t="n">
        <v>43780</v>
      </c>
      <c r="C131" s="1" t="n">
        <v>45877</v>
      </c>
      <c r="D131" t="inlineStr">
        <is>
          <t>NORRBOTTENS LÄN</t>
        </is>
      </c>
      <c r="E131" t="inlineStr">
        <is>
          <t>LULEÅ</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60895-2019</t>
        </is>
      </c>
      <c r="B132" s="1" t="n">
        <v>43781</v>
      </c>
      <c r="C132" s="1" t="n">
        <v>45877</v>
      </c>
      <c r="D132" t="inlineStr">
        <is>
          <t>NORRBOTTENS LÄN</t>
        </is>
      </c>
      <c r="E132" t="inlineStr">
        <is>
          <t>LULEÅ</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62169-2019</t>
        </is>
      </c>
      <c r="B133" s="1" t="n">
        <v>43787</v>
      </c>
      <c r="C133" s="1" t="n">
        <v>45877</v>
      </c>
      <c r="D133" t="inlineStr">
        <is>
          <t>NORRBOTTENS LÄN</t>
        </is>
      </c>
      <c r="E133" t="inlineStr">
        <is>
          <t>LULEÅ</t>
        </is>
      </c>
      <c r="F133" t="inlineStr">
        <is>
          <t>SCA</t>
        </is>
      </c>
      <c r="G133" t="n">
        <v>17</v>
      </c>
      <c r="H133" t="n">
        <v>0</v>
      </c>
      <c r="I133" t="n">
        <v>0</v>
      </c>
      <c r="J133" t="n">
        <v>0</v>
      </c>
      <c r="K133" t="n">
        <v>0</v>
      </c>
      <c r="L133" t="n">
        <v>0</v>
      </c>
      <c r="M133" t="n">
        <v>0</v>
      </c>
      <c r="N133" t="n">
        <v>0</v>
      </c>
      <c r="O133" t="n">
        <v>0</v>
      </c>
      <c r="P133" t="n">
        <v>0</v>
      </c>
      <c r="Q133" t="n">
        <v>0</v>
      </c>
      <c r="R133" s="2" t="inlineStr"/>
    </row>
    <row r="134" ht="15" customHeight="1">
      <c r="A134" t="inlineStr">
        <is>
          <t>A 63635-2019</t>
        </is>
      </c>
      <c r="B134" s="1" t="n">
        <v>43788</v>
      </c>
      <c r="C134" s="1" t="n">
        <v>45877</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62725-2019</t>
        </is>
      </c>
      <c r="B135" s="1" t="n">
        <v>43789</v>
      </c>
      <c r="C135" s="1" t="n">
        <v>45877</v>
      </c>
      <c r="D135" t="inlineStr">
        <is>
          <t>NORRBOTTENS LÄN</t>
        </is>
      </c>
      <c r="E135" t="inlineStr">
        <is>
          <t>LULEÅ</t>
        </is>
      </c>
      <c r="F135" t="inlineStr">
        <is>
          <t>SCA</t>
        </is>
      </c>
      <c r="G135" t="n">
        <v>1.3</v>
      </c>
      <c r="H135" t="n">
        <v>0</v>
      </c>
      <c r="I135" t="n">
        <v>0</v>
      </c>
      <c r="J135" t="n">
        <v>0</v>
      </c>
      <c r="K135" t="n">
        <v>0</v>
      </c>
      <c r="L135" t="n">
        <v>0</v>
      </c>
      <c r="M135" t="n">
        <v>0</v>
      </c>
      <c r="N135" t="n">
        <v>0</v>
      </c>
      <c r="O135" t="n">
        <v>0</v>
      </c>
      <c r="P135" t="n">
        <v>0</v>
      </c>
      <c r="Q135" t="n">
        <v>0</v>
      </c>
      <c r="R135" s="2" t="inlineStr"/>
    </row>
    <row r="136" ht="15" customHeight="1">
      <c r="A136" t="inlineStr">
        <is>
          <t>A 62724-2019</t>
        </is>
      </c>
      <c r="B136" s="1" t="n">
        <v>43789</v>
      </c>
      <c r="C136" s="1" t="n">
        <v>45877</v>
      </c>
      <c r="D136" t="inlineStr">
        <is>
          <t>NORRBOTTENS LÄN</t>
        </is>
      </c>
      <c r="E136" t="inlineStr">
        <is>
          <t>LULEÅ</t>
        </is>
      </c>
      <c r="F136" t="inlineStr">
        <is>
          <t>SCA</t>
        </is>
      </c>
      <c r="G136" t="n">
        <v>0.3</v>
      </c>
      <c r="H136" t="n">
        <v>0</v>
      </c>
      <c r="I136" t="n">
        <v>0</v>
      </c>
      <c r="J136" t="n">
        <v>0</v>
      </c>
      <c r="K136" t="n">
        <v>0</v>
      </c>
      <c r="L136" t="n">
        <v>0</v>
      </c>
      <c r="M136" t="n">
        <v>0</v>
      </c>
      <c r="N136" t="n">
        <v>0</v>
      </c>
      <c r="O136" t="n">
        <v>0</v>
      </c>
      <c r="P136" t="n">
        <v>0</v>
      </c>
      <c r="Q136" t="n">
        <v>0</v>
      </c>
      <c r="R136" s="2" t="inlineStr"/>
    </row>
    <row r="137" ht="15" customHeight="1">
      <c r="A137" t="inlineStr">
        <is>
          <t>A 62723-2019</t>
        </is>
      </c>
      <c r="B137" s="1" t="n">
        <v>43789</v>
      </c>
      <c r="C137" s="1" t="n">
        <v>45877</v>
      </c>
      <c r="D137" t="inlineStr">
        <is>
          <t>NORRBOTTENS LÄN</t>
        </is>
      </c>
      <c r="E137" t="inlineStr">
        <is>
          <t>LULEÅ</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63282-2019</t>
        </is>
      </c>
      <c r="B138" s="1" t="n">
        <v>43791</v>
      </c>
      <c r="C138" s="1" t="n">
        <v>45877</v>
      </c>
      <c r="D138" t="inlineStr">
        <is>
          <t>NORRBOTTENS LÄN</t>
        </is>
      </c>
      <c r="E138" t="inlineStr">
        <is>
          <t>LULEÅ</t>
        </is>
      </c>
      <c r="G138" t="n">
        <v>3.9</v>
      </c>
      <c r="H138" t="n">
        <v>0</v>
      </c>
      <c r="I138" t="n">
        <v>0</v>
      </c>
      <c r="J138" t="n">
        <v>0</v>
      </c>
      <c r="K138" t="n">
        <v>0</v>
      </c>
      <c r="L138" t="n">
        <v>0</v>
      </c>
      <c r="M138" t="n">
        <v>0</v>
      </c>
      <c r="N138" t="n">
        <v>0</v>
      </c>
      <c r="O138" t="n">
        <v>0</v>
      </c>
      <c r="P138" t="n">
        <v>0</v>
      </c>
      <c r="Q138" t="n">
        <v>0</v>
      </c>
      <c r="R138" s="2" t="inlineStr"/>
    </row>
    <row r="139" ht="15" customHeight="1">
      <c r="A139" t="inlineStr">
        <is>
          <t>A 64163-2019</t>
        </is>
      </c>
      <c r="B139" s="1" t="n">
        <v>43791</v>
      </c>
      <c r="C139" s="1" t="n">
        <v>45877</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64524-2019</t>
        </is>
      </c>
      <c r="B140" s="1" t="n">
        <v>43794</v>
      </c>
      <c r="C140" s="1" t="n">
        <v>45877</v>
      </c>
      <c r="D140" t="inlineStr">
        <is>
          <t>NORRBOTTENS LÄN</t>
        </is>
      </c>
      <c r="E140" t="inlineStr">
        <is>
          <t>LULEÅ</t>
        </is>
      </c>
      <c r="G140" t="n">
        <v>2.2</v>
      </c>
      <c r="H140" t="n">
        <v>0</v>
      </c>
      <c r="I140" t="n">
        <v>0</v>
      </c>
      <c r="J140" t="n">
        <v>0</v>
      </c>
      <c r="K140" t="n">
        <v>0</v>
      </c>
      <c r="L140" t="n">
        <v>0</v>
      </c>
      <c r="M140" t="n">
        <v>0</v>
      </c>
      <c r="N140" t="n">
        <v>0</v>
      </c>
      <c r="O140" t="n">
        <v>0</v>
      </c>
      <c r="P140" t="n">
        <v>0</v>
      </c>
      <c r="Q140" t="n">
        <v>0</v>
      </c>
      <c r="R140" s="2" t="inlineStr"/>
    </row>
    <row r="141" ht="15" customHeight="1">
      <c r="A141" t="inlineStr">
        <is>
          <t>A 64320-2019</t>
        </is>
      </c>
      <c r="B141" s="1" t="n">
        <v>43797</v>
      </c>
      <c r="C141" s="1" t="n">
        <v>45877</v>
      </c>
      <c r="D141" t="inlineStr">
        <is>
          <t>NORRBOTTENS LÄN</t>
        </is>
      </c>
      <c r="E141" t="inlineStr">
        <is>
          <t>LULEÅ</t>
        </is>
      </c>
      <c r="F141" t="inlineStr">
        <is>
          <t>Övriga Aktiebolag</t>
        </is>
      </c>
      <c r="G141" t="n">
        <v>9.9</v>
      </c>
      <c r="H141" t="n">
        <v>0</v>
      </c>
      <c r="I141" t="n">
        <v>0</v>
      </c>
      <c r="J141" t="n">
        <v>0</v>
      </c>
      <c r="K141" t="n">
        <v>0</v>
      </c>
      <c r="L141" t="n">
        <v>0</v>
      </c>
      <c r="M141" t="n">
        <v>0</v>
      </c>
      <c r="N141" t="n">
        <v>0</v>
      </c>
      <c r="O141" t="n">
        <v>0</v>
      </c>
      <c r="P141" t="n">
        <v>0</v>
      </c>
      <c r="Q141" t="n">
        <v>0</v>
      </c>
      <c r="R141" s="2" t="inlineStr"/>
    </row>
    <row r="142" ht="15" customHeight="1">
      <c r="A142" t="inlineStr">
        <is>
          <t>A 64577-2019</t>
        </is>
      </c>
      <c r="B142" s="1" t="n">
        <v>43798</v>
      </c>
      <c r="C142" s="1" t="n">
        <v>45877</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65811-2019</t>
        </is>
      </c>
      <c r="B143" s="1" t="n">
        <v>43805</v>
      </c>
      <c r="C143" s="1" t="n">
        <v>45877</v>
      </c>
      <c r="D143" t="inlineStr">
        <is>
          <t>NORRBOTTENS LÄN</t>
        </is>
      </c>
      <c r="E143" t="inlineStr">
        <is>
          <t>LULEÅ</t>
        </is>
      </c>
      <c r="G143" t="n">
        <v>4.1</v>
      </c>
      <c r="H143" t="n">
        <v>0</v>
      </c>
      <c r="I143" t="n">
        <v>0</v>
      </c>
      <c r="J143" t="n">
        <v>0</v>
      </c>
      <c r="K143" t="n">
        <v>0</v>
      </c>
      <c r="L143" t="n">
        <v>0</v>
      </c>
      <c r="M143" t="n">
        <v>0</v>
      </c>
      <c r="N143" t="n">
        <v>0</v>
      </c>
      <c r="O143" t="n">
        <v>0</v>
      </c>
      <c r="P143" t="n">
        <v>0</v>
      </c>
      <c r="Q143" t="n">
        <v>0</v>
      </c>
      <c r="R143" s="2" t="inlineStr"/>
    </row>
    <row r="144" ht="15" customHeight="1">
      <c r="A144" t="inlineStr">
        <is>
          <t>A 68207-2019</t>
        </is>
      </c>
      <c r="B144" s="1" t="n">
        <v>43817</v>
      </c>
      <c r="C144" s="1" t="n">
        <v>45877</v>
      </c>
      <c r="D144" t="inlineStr">
        <is>
          <t>NORRBOTTENS LÄN</t>
        </is>
      </c>
      <c r="E144" t="inlineStr">
        <is>
          <t>LULEÅ</t>
        </is>
      </c>
      <c r="F144" t="inlineStr">
        <is>
          <t>Övriga Aktiebolag</t>
        </is>
      </c>
      <c r="G144" t="n">
        <v>6.8</v>
      </c>
      <c r="H144" t="n">
        <v>0</v>
      </c>
      <c r="I144" t="n">
        <v>0</v>
      </c>
      <c r="J144" t="n">
        <v>0</v>
      </c>
      <c r="K144" t="n">
        <v>0</v>
      </c>
      <c r="L144" t="n">
        <v>0</v>
      </c>
      <c r="M144" t="n">
        <v>0</v>
      </c>
      <c r="N144" t="n">
        <v>0</v>
      </c>
      <c r="O144" t="n">
        <v>0</v>
      </c>
      <c r="P144" t="n">
        <v>0</v>
      </c>
      <c r="Q144" t="n">
        <v>0</v>
      </c>
      <c r="R144" s="2" t="inlineStr"/>
    </row>
    <row r="145" ht="15" customHeight="1">
      <c r="A145" t="inlineStr">
        <is>
          <t>A 68209-2019</t>
        </is>
      </c>
      <c r="B145" s="1" t="n">
        <v>43817</v>
      </c>
      <c r="C145" s="1" t="n">
        <v>45877</v>
      </c>
      <c r="D145" t="inlineStr">
        <is>
          <t>NORRBOTTENS LÄN</t>
        </is>
      </c>
      <c r="E145" t="inlineStr">
        <is>
          <t>LULEÅ</t>
        </is>
      </c>
      <c r="F145" t="inlineStr">
        <is>
          <t>Övriga Aktiebolag</t>
        </is>
      </c>
      <c r="G145" t="n">
        <v>10.1</v>
      </c>
      <c r="H145" t="n">
        <v>0</v>
      </c>
      <c r="I145" t="n">
        <v>0</v>
      </c>
      <c r="J145" t="n">
        <v>0</v>
      </c>
      <c r="K145" t="n">
        <v>0</v>
      </c>
      <c r="L145" t="n">
        <v>0</v>
      </c>
      <c r="M145" t="n">
        <v>0</v>
      </c>
      <c r="N145" t="n">
        <v>0</v>
      </c>
      <c r="O145" t="n">
        <v>0</v>
      </c>
      <c r="P145" t="n">
        <v>0</v>
      </c>
      <c r="Q145" t="n">
        <v>0</v>
      </c>
      <c r="R145" s="2" t="inlineStr"/>
    </row>
    <row r="146" ht="15" customHeight="1">
      <c r="A146" t="inlineStr">
        <is>
          <t>A 68660-2019</t>
        </is>
      </c>
      <c r="B146" s="1" t="n">
        <v>43819</v>
      </c>
      <c r="C146" s="1" t="n">
        <v>45877</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1518-2020</t>
        </is>
      </c>
      <c r="B147" s="1" t="n">
        <v>43826</v>
      </c>
      <c r="C147" s="1" t="n">
        <v>45877</v>
      </c>
      <c r="D147" t="inlineStr">
        <is>
          <t>NORRBOTTENS LÄN</t>
        </is>
      </c>
      <c r="E147" t="inlineStr">
        <is>
          <t>LULEÅ</t>
        </is>
      </c>
      <c r="G147" t="n">
        <v>7.3</v>
      </c>
      <c r="H147" t="n">
        <v>0</v>
      </c>
      <c r="I147" t="n">
        <v>0</v>
      </c>
      <c r="J147" t="n">
        <v>0</v>
      </c>
      <c r="K147" t="n">
        <v>0</v>
      </c>
      <c r="L147" t="n">
        <v>0</v>
      </c>
      <c r="M147" t="n">
        <v>0</v>
      </c>
      <c r="N147" t="n">
        <v>0</v>
      </c>
      <c r="O147" t="n">
        <v>0</v>
      </c>
      <c r="P147" t="n">
        <v>0</v>
      </c>
      <c r="Q147" t="n">
        <v>0</v>
      </c>
      <c r="R147" s="2" t="inlineStr"/>
    </row>
    <row r="148" ht="15" customHeight="1">
      <c r="A148" t="inlineStr">
        <is>
          <t>A 1772-2020</t>
        </is>
      </c>
      <c r="B148" s="1" t="n">
        <v>43832</v>
      </c>
      <c r="C148" s="1" t="n">
        <v>45877</v>
      </c>
      <c r="D148" t="inlineStr">
        <is>
          <t>NORRBOTTENS LÄN</t>
        </is>
      </c>
      <c r="E148" t="inlineStr">
        <is>
          <t>LULEÅ</t>
        </is>
      </c>
      <c r="G148" t="n">
        <v>16.4</v>
      </c>
      <c r="H148" t="n">
        <v>0</v>
      </c>
      <c r="I148" t="n">
        <v>0</v>
      </c>
      <c r="J148" t="n">
        <v>0</v>
      </c>
      <c r="K148" t="n">
        <v>0</v>
      </c>
      <c r="L148" t="n">
        <v>0</v>
      </c>
      <c r="M148" t="n">
        <v>0</v>
      </c>
      <c r="N148" t="n">
        <v>0</v>
      </c>
      <c r="O148" t="n">
        <v>0</v>
      </c>
      <c r="P148" t="n">
        <v>0</v>
      </c>
      <c r="Q148" t="n">
        <v>0</v>
      </c>
      <c r="R148" s="2" t="inlineStr"/>
    </row>
    <row r="149" ht="15" customHeight="1">
      <c r="A149" t="inlineStr">
        <is>
          <t>A 1759-2020</t>
        </is>
      </c>
      <c r="B149" s="1" t="n">
        <v>43833</v>
      </c>
      <c r="C149" s="1" t="n">
        <v>45877</v>
      </c>
      <c r="D149" t="inlineStr">
        <is>
          <t>NORRBOTTENS LÄN</t>
        </is>
      </c>
      <c r="E149" t="inlineStr">
        <is>
          <t>LULEÅ</t>
        </is>
      </c>
      <c r="G149" t="n">
        <v>1.3</v>
      </c>
      <c r="H149" t="n">
        <v>0</v>
      </c>
      <c r="I149" t="n">
        <v>0</v>
      </c>
      <c r="J149" t="n">
        <v>0</v>
      </c>
      <c r="K149" t="n">
        <v>0</v>
      </c>
      <c r="L149" t="n">
        <v>0</v>
      </c>
      <c r="M149" t="n">
        <v>0</v>
      </c>
      <c r="N149" t="n">
        <v>0</v>
      </c>
      <c r="O149" t="n">
        <v>0</v>
      </c>
      <c r="P149" t="n">
        <v>0</v>
      </c>
      <c r="Q149" t="n">
        <v>0</v>
      </c>
      <c r="R149" s="2" t="inlineStr"/>
    </row>
    <row r="150" ht="15" customHeight="1">
      <c r="A150" t="inlineStr">
        <is>
          <t>A 1769-2020</t>
        </is>
      </c>
      <c r="B150" s="1" t="n">
        <v>43833</v>
      </c>
      <c r="C150" s="1" t="n">
        <v>45877</v>
      </c>
      <c r="D150" t="inlineStr">
        <is>
          <t>NORRBOTTENS LÄN</t>
        </is>
      </c>
      <c r="E150" t="inlineStr">
        <is>
          <t>LULEÅ</t>
        </is>
      </c>
      <c r="G150" t="n">
        <v>5.5</v>
      </c>
      <c r="H150" t="n">
        <v>0</v>
      </c>
      <c r="I150" t="n">
        <v>0</v>
      </c>
      <c r="J150" t="n">
        <v>0</v>
      </c>
      <c r="K150" t="n">
        <v>0</v>
      </c>
      <c r="L150" t="n">
        <v>0</v>
      </c>
      <c r="M150" t="n">
        <v>0</v>
      </c>
      <c r="N150" t="n">
        <v>0</v>
      </c>
      <c r="O150" t="n">
        <v>0</v>
      </c>
      <c r="P150" t="n">
        <v>0</v>
      </c>
      <c r="Q150" t="n">
        <v>0</v>
      </c>
      <c r="R150" s="2" t="inlineStr"/>
    </row>
    <row r="151" ht="15" customHeight="1">
      <c r="A151" t="inlineStr">
        <is>
          <t>A 725-2020</t>
        </is>
      </c>
      <c r="B151" s="1" t="n">
        <v>43838</v>
      </c>
      <c r="C151" s="1" t="n">
        <v>45877</v>
      </c>
      <c r="D151" t="inlineStr">
        <is>
          <t>NORRBOTTENS LÄN</t>
        </is>
      </c>
      <c r="E151" t="inlineStr">
        <is>
          <t>LULEÅ</t>
        </is>
      </c>
      <c r="G151" t="n">
        <v>7.9</v>
      </c>
      <c r="H151" t="n">
        <v>0</v>
      </c>
      <c r="I151" t="n">
        <v>0</v>
      </c>
      <c r="J151" t="n">
        <v>0</v>
      </c>
      <c r="K151" t="n">
        <v>0</v>
      </c>
      <c r="L151" t="n">
        <v>0</v>
      </c>
      <c r="M151" t="n">
        <v>0</v>
      </c>
      <c r="N151" t="n">
        <v>0</v>
      </c>
      <c r="O151" t="n">
        <v>0</v>
      </c>
      <c r="P151" t="n">
        <v>0</v>
      </c>
      <c r="Q151" t="n">
        <v>0</v>
      </c>
      <c r="R151" s="2" t="inlineStr"/>
    </row>
    <row r="152" ht="15" customHeight="1">
      <c r="A152" t="inlineStr">
        <is>
          <t>A 1932-2020</t>
        </is>
      </c>
      <c r="B152" s="1" t="n">
        <v>43838</v>
      </c>
      <c r="C152" s="1" t="n">
        <v>45877</v>
      </c>
      <c r="D152" t="inlineStr">
        <is>
          <t>NORRBOTTENS LÄN</t>
        </is>
      </c>
      <c r="E152" t="inlineStr">
        <is>
          <t>LULEÅ</t>
        </is>
      </c>
      <c r="G152" t="n">
        <v>1.2</v>
      </c>
      <c r="H152" t="n">
        <v>0</v>
      </c>
      <c r="I152" t="n">
        <v>0</v>
      </c>
      <c r="J152" t="n">
        <v>0</v>
      </c>
      <c r="K152" t="n">
        <v>0</v>
      </c>
      <c r="L152" t="n">
        <v>0</v>
      </c>
      <c r="M152" t="n">
        <v>0</v>
      </c>
      <c r="N152" t="n">
        <v>0</v>
      </c>
      <c r="O152" t="n">
        <v>0</v>
      </c>
      <c r="P152" t="n">
        <v>0</v>
      </c>
      <c r="Q152" t="n">
        <v>0</v>
      </c>
      <c r="R152" s="2" t="inlineStr"/>
    </row>
    <row r="153" ht="15" customHeight="1">
      <c r="A153" t="inlineStr">
        <is>
          <t>A 796-2020</t>
        </is>
      </c>
      <c r="B153" s="1" t="n">
        <v>43838</v>
      </c>
      <c r="C153" s="1" t="n">
        <v>45877</v>
      </c>
      <c r="D153" t="inlineStr">
        <is>
          <t>NORRBOTTENS LÄN</t>
        </is>
      </c>
      <c r="E153" t="inlineStr">
        <is>
          <t>LULEÅ</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1266-2020</t>
        </is>
      </c>
      <c r="B154" s="1" t="n">
        <v>43840</v>
      </c>
      <c r="C154" s="1" t="n">
        <v>45877</v>
      </c>
      <c r="D154" t="inlineStr">
        <is>
          <t>NORRBOTTENS LÄN</t>
        </is>
      </c>
      <c r="E154" t="inlineStr">
        <is>
          <t>LULEÅ</t>
        </is>
      </c>
      <c r="G154" t="n">
        <v>14.8</v>
      </c>
      <c r="H154" t="n">
        <v>0</v>
      </c>
      <c r="I154" t="n">
        <v>0</v>
      </c>
      <c r="J154" t="n">
        <v>0</v>
      </c>
      <c r="K154" t="n">
        <v>0</v>
      </c>
      <c r="L154" t="n">
        <v>0</v>
      </c>
      <c r="M154" t="n">
        <v>0</v>
      </c>
      <c r="N154" t="n">
        <v>0</v>
      </c>
      <c r="O154" t="n">
        <v>0</v>
      </c>
      <c r="P154" t="n">
        <v>0</v>
      </c>
      <c r="Q154" t="n">
        <v>0</v>
      </c>
      <c r="R154" s="2" t="inlineStr"/>
    </row>
    <row r="155" ht="15" customHeight="1">
      <c r="A155" t="inlineStr">
        <is>
          <t>A 2578-2020</t>
        </is>
      </c>
      <c r="B155" s="1" t="n">
        <v>43843</v>
      </c>
      <c r="C155" s="1" t="n">
        <v>45877</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1435-2020</t>
        </is>
      </c>
      <c r="B156" s="1" t="n">
        <v>43843</v>
      </c>
      <c r="C156" s="1" t="n">
        <v>45877</v>
      </c>
      <c r="D156" t="inlineStr">
        <is>
          <t>NORRBOTTENS LÄN</t>
        </is>
      </c>
      <c r="E156" t="inlineStr">
        <is>
          <t>LULEÅ</t>
        </is>
      </c>
      <c r="G156" t="n">
        <v>12.5</v>
      </c>
      <c r="H156" t="n">
        <v>0</v>
      </c>
      <c r="I156" t="n">
        <v>0</v>
      </c>
      <c r="J156" t="n">
        <v>0</v>
      </c>
      <c r="K156" t="n">
        <v>0</v>
      </c>
      <c r="L156" t="n">
        <v>0</v>
      </c>
      <c r="M156" t="n">
        <v>0</v>
      </c>
      <c r="N156" t="n">
        <v>0</v>
      </c>
      <c r="O156" t="n">
        <v>0</v>
      </c>
      <c r="P156" t="n">
        <v>0</v>
      </c>
      <c r="Q156" t="n">
        <v>0</v>
      </c>
      <c r="R156" s="2" t="inlineStr"/>
    </row>
    <row r="157" ht="15" customHeight="1">
      <c r="A157" t="inlineStr">
        <is>
          <t>A 2378-2020</t>
        </is>
      </c>
      <c r="B157" s="1" t="n">
        <v>43846</v>
      </c>
      <c r="C157" s="1" t="n">
        <v>45877</v>
      </c>
      <c r="D157" t="inlineStr">
        <is>
          <t>NORRBOTTENS LÄN</t>
        </is>
      </c>
      <c r="E157" t="inlineStr">
        <is>
          <t>LULEÅ</t>
        </is>
      </c>
      <c r="F157" t="inlineStr">
        <is>
          <t>SCA</t>
        </is>
      </c>
      <c r="G157" t="n">
        <v>5.2</v>
      </c>
      <c r="H157" t="n">
        <v>0</v>
      </c>
      <c r="I157" t="n">
        <v>0</v>
      </c>
      <c r="J157" t="n">
        <v>0</v>
      </c>
      <c r="K157" t="n">
        <v>0</v>
      </c>
      <c r="L157" t="n">
        <v>0</v>
      </c>
      <c r="M157" t="n">
        <v>0</v>
      </c>
      <c r="N157" t="n">
        <v>0</v>
      </c>
      <c r="O157" t="n">
        <v>0</v>
      </c>
      <c r="P157" t="n">
        <v>0</v>
      </c>
      <c r="Q157" t="n">
        <v>0</v>
      </c>
      <c r="R157" s="2" t="inlineStr"/>
    </row>
    <row r="158" ht="15" customHeight="1">
      <c r="A158" t="inlineStr">
        <is>
          <t>A 2558-2020</t>
        </is>
      </c>
      <c r="B158" s="1" t="n">
        <v>43847</v>
      </c>
      <c r="C158" s="1" t="n">
        <v>45877</v>
      </c>
      <c r="D158" t="inlineStr">
        <is>
          <t>NORRBOTTENS LÄN</t>
        </is>
      </c>
      <c r="E158" t="inlineStr">
        <is>
          <t>LULEÅ</t>
        </is>
      </c>
      <c r="F158" t="inlineStr">
        <is>
          <t>Kyrkan</t>
        </is>
      </c>
      <c r="G158" t="n">
        <v>2.1</v>
      </c>
      <c r="H158" t="n">
        <v>0</v>
      </c>
      <c r="I158" t="n">
        <v>0</v>
      </c>
      <c r="J158" t="n">
        <v>0</v>
      </c>
      <c r="K158" t="n">
        <v>0</v>
      </c>
      <c r="L158" t="n">
        <v>0</v>
      </c>
      <c r="M158" t="n">
        <v>0</v>
      </c>
      <c r="N158" t="n">
        <v>0</v>
      </c>
      <c r="O158" t="n">
        <v>0</v>
      </c>
      <c r="P158" t="n">
        <v>0</v>
      </c>
      <c r="Q158" t="n">
        <v>0</v>
      </c>
      <c r="R158" s="2" t="inlineStr"/>
    </row>
    <row r="159" ht="15" customHeight="1">
      <c r="A159" t="inlineStr">
        <is>
          <t>A 3303-2020</t>
        </is>
      </c>
      <c r="B159" s="1" t="n">
        <v>43852</v>
      </c>
      <c r="C159" s="1" t="n">
        <v>45877</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3707-2020</t>
        </is>
      </c>
      <c r="B160" s="1" t="n">
        <v>43853</v>
      </c>
      <c r="C160" s="1" t="n">
        <v>45877</v>
      </c>
      <c r="D160" t="inlineStr">
        <is>
          <t>NORRBOTTENS LÄN</t>
        </is>
      </c>
      <c r="E160" t="inlineStr">
        <is>
          <t>LULEÅ</t>
        </is>
      </c>
      <c r="G160" t="n">
        <v>4</v>
      </c>
      <c r="H160" t="n">
        <v>0</v>
      </c>
      <c r="I160" t="n">
        <v>0</v>
      </c>
      <c r="J160" t="n">
        <v>0</v>
      </c>
      <c r="K160" t="n">
        <v>0</v>
      </c>
      <c r="L160" t="n">
        <v>0</v>
      </c>
      <c r="M160" t="n">
        <v>0</v>
      </c>
      <c r="N160" t="n">
        <v>0</v>
      </c>
      <c r="O160" t="n">
        <v>0</v>
      </c>
      <c r="P160" t="n">
        <v>0</v>
      </c>
      <c r="Q160" t="n">
        <v>0</v>
      </c>
      <c r="R160" s="2" t="inlineStr"/>
    </row>
    <row r="161" ht="15" customHeight="1">
      <c r="A161" t="inlineStr">
        <is>
          <t>A 5322-2020</t>
        </is>
      </c>
      <c r="B161" s="1" t="n">
        <v>43860</v>
      </c>
      <c r="C161" s="1" t="n">
        <v>45877</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5419-2020</t>
        </is>
      </c>
      <c r="B162" s="1" t="n">
        <v>43860</v>
      </c>
      <c r="C162" s="1" t="n">
        <v>45877</v>
      </c>
      <c r="D162" t="inlineStr">
        <is>
          <t>NORRBOTTENS LÄN</t>
        </is>
      </c>
      <c r="E162" t="inlineStr">
        <is>
          <t>LULEÅ</t>
        </is>
      </c>
      <c r="G162" t="n">
        <v>8</v>
      </c>
      <c r="H162" t="n">
        <v>0</v>
      </c>
      <c r="I162" t="n">
        <v>0</v>
      </c>
      <c r="J162" t="n">
        <v>0</v>
      </c>
      <c r="K162" t="n">
        <v>0</v>
      </c>
      <c r="L162" t="n">
        <v>0</v>
      </c>
      <c r="M162" t="n">
        <v>0</v>
      </c>
      <c r="N162" t="n">
        <v>0</v>
      </c>
      <c r="O162" t="n">
        <v>0</v>
      </c>
      <c r="P162" t="n">
        <v>0</v>
      </c>
      <c r="Q162" t="n">
        <v>0</v>
      </c>
      <c r="R162" s="2" t="inlineStr"/>
    </row>
    <row r="163" ht="15" customHeight="1">
      <c r="A163" t="inlineStr">
        <is>
          <t>A 6644-2020</t>
        </is>
      </c>
      <c r="B163" s="1" t="n">
        <v>43867</v>
      </c>
      <c r="C163" s="1" t="n">
        <v>45877</v>
      </c>
      <c r="D163" t="inlineStr">
        <is>
          <t>NORRBOTTENS LÄN</t>
        </is>
      </c>
      <c r="E163" t="inlineStr">
        <is>
          <t>LULEÅ</t>
        </is>
      </c>
      <c r="G163" t="n">
        <v>3.5</v>
      </c>
      <c r="H163" t="n">
        <v>0</v>
      </c>
      <c r="I163" t="n">
        <v>0</v>
      </c>
      <c r="J163" t="n">
        <v>0</v>
      </c>
      <c r="K163" t="n">
        <v>0</v>
      </c>
      <c r="L163" t="n">
        <v>0</v>
      </c>
      <c r="M163" t="n">
        <v>0</v>
      </c>
      <c r="N163" t="n">
        <v>0</v>
      </c>
      <c r="O163" t="n">
        <v>0</v>
      </c>
      <c r="P163" t="n">
        <v>0</v>
      </c>
      <c r="Q163" t="n">
        <v>0</v>
      </c>
      <c r="R163" s="2" t="inlineStr"/>
    </row>
    <row r="164" ht="15" customHeight="1">
      <c r="A164" t="inlineStr">
        <is>
          <t>A 6641-2020</t>
        </is>
      </c>
      <c r="B164" s="1" t="n">
        <v>43867</v>
      </c>
      <c r="C164" s="1" t="n">
        <v>45877</v>
      </c>
      <c r="D164" t="inlineStr">
        <is>
          <t>NORRBOTTENS LÄN</t>
        </is>
      </c>
      <c r="E164" t="inlineStr">
        <is>
          <t>LULEÅ</t>
        </is>
      </c>
      <c r="G164" t="n">
        <v>13.5</v>
      </c>
      <c r="H164" t="n">
        <v>0</v>
      </c>
      <c r="I164" t="n">
        <v>0</v>
      </c>
      <c r="J164" t="n">
        <v>0</v>
      </c>
      <c r="K164" t="n">
        <v>0</v>
      </c>
      <c r="L164" t="n">
        <v>0</v>
      </c>
      <c r="M164" t="n">
        <v>0</v>
      </c>
      <c r="N164" t="n">
        <v>0</v>
      </c>
      <c r="O164" t="n">
        <v>0</v>
      </c>
      <c r="P164" t="n">
        <v>0</v>
      </c>
      <c r="Q164" t="n">
        <v>0</v>
      </c>
      <c r="R164" s="2" t="inlineStr"/>
    </row>
    <row r="165" ht="15" customHeight="1">
      <c r="A165" t="inlineStr">
        <is>
          <t>A 6878-2020</t>
        </is>
      </c>
      <c r="B165" s="1" t="n">
        <v>43867</v>
      </c>
      <c r="C165" s="1" t="n">
        <v>45877</v>
      </c>
      <c r="D165" t="inlineStr">
        <is>
          <t>NORRBOTTENS LÄN</t>
        </is>
      </c>
      <c r="E165" t="inlineStr">
        <is>
          <t>LULEÅ</t>
        </is>
      </c>
      <c r="G165" t="n">
        <v>1.1</v>
      </c>
      <c r="H165" t="n">
        <v>0</v>
      </c>
      <c r="I165" t="n">
        <v>0</v>
      </c>
      <c r="J165" t="n">
        <v>0</v>
      </c>
      <c r="K165" t="n">
        <v>0</v>
      </c>
      <c r="L165" t="n">
        <v>0</v>
      </c>
      <c r="M165" t="n">
        <v>0</v>
      </c>
      <c r="N165" t="n">
        <v>0</v>
      </c>
      <c r="O165" t="n">
        <v>0</v>
      </c>
      <c r="P165" t="n">
        <v>0</v>
      </c>
      <c r="Q165" t="n">
        <v>0</v>
      </c>
      <c r="R165" s="2" t="inlineStr"/>
    </row>
    <row r="166" ht="15" customHeight="1">
      <c r="A166" t="inlineStr">
        <is>
          <t>A 7299-2020</t>
        </is>
      </c>
      <c r="B166" s="1" t="n">
        <v>43868</v>
      </c>
      <c r="C166" s="1" t="n">
        <v>45877</v>
      </c>
      <c r="D166" t="inlineStr">
        <is>
          <t>NORRBOTTENS LÄN</t>
        </is>
      </c>
      <c r="E166" t="inlineStr">
        <is>
          <t>LULEÅ</t>
        </is>
      </c>
      <c r="G166" t="n">
        <v>6.2</v>
      </c>
      <c r="H166" t="n">
        <v>0</v>
      </c>
      <c r="I166" t="n">
        <v>0</v>
      </c>
      <c r="J166" t="n">
        <v>0</v>
      </c>
      <c r="K166" t="n">
        <v>0</v>
      </c>
      <c r="L166" t="n">
        <v>0</v>
      </c>
      <c r="M166" t="n">
        <v>0</v>
      </c>
      <c r="N166" t="n">
        <v>0</v>
      </c>
      <c r="O166" t="n">
        <v>0</v>
      </c>
      <c r="P166" t="n">
        <v>0</v>
      </c>
      <c r="Q166" t="n">
        <v>0</v>
      </c>
      <c r="R166" s="2" t="inlineStr"/>
    </row>
    <row r="167" ht="15" customHeight="1">
      <c r="A167" t="inlineStr">
        <is>
          <t>A 7137-2020</t>
        </is>
      </c>
      <c r="B167" s="1" t="n">
        <v>43869</v>
      </c>
      <c r="C167" s="1" t="n">
        <v>45877</v>
      </c>
      <c r="D167" t="inlineStr">
        <is>
          <t>NORRBOTTENS LÄN</t>
        </is>
      </c>
      <c r="E167" t="inlineStr">
        <is>
          <t>LULEÅ</t>
        </is>
      </c>
      <c r="G167" t="n">
        <v>6.6</v>
      </c>
      <c r="H167" t="n">
        <v>0</v>
      </c>
      <c r="I167" t="n">
        <v>0</v>
      </c>
      <c r="J167" t="n">
        <v>0</v>
      </c>
      <c r="K167" t="n">
        <v>0</v>
      </c>
      <c r="L167" t="n">
        <v>0</v>
      </c>
      <c r="M167" t="n">
        <v>0</v>
      </c>
      <c r="N167" t="n">
        <v>0</v>
      </c>
      <c r="O167" t="n">
        <v>0</v>
      </c>
      <c r="P167" t="n">
        <v>0</v>
      </c>
      <c r="Q167" t="n">
        <v>0</v>
      </c>
      <c r="R167" s="2" t="inlineStr"/>
    </row>
    <row r="168" ht="15" customHeight="1">
      <c r="A168" t="inlineStr">
        <is>
          <t>A 7559-2020</t>
        </is>
      </c>
      <c r="B168" s="1" t="n">
        <v>43871</v>
      </c>
      <c r="C168" s="1" t="n">
        <v>45877</v>
      </c>
      <c r="D168" t="inlineStr">
        <is>
          <t>NORRBOTTENS LÄN</t>
        </is>
      </c>
      <c r="E168" t="inlineStr">
        <is>
          <t>LULEÅ</t>
        </is>
      </c>
      <c r="G168" t="n">
        <v>2.9</v>
      </c>
      <c r="H168" t="n">
        <v>0</v>
      </c>
      <c r="I168" t="n">
        <v>0</v>
      </c>
      <c r="J168" t="n">
        <v>0</v>
      </c>
      <c r="K168" t="n">
        <v>0</v>
      </c>
      <c r="L168" t="n">
        <v>0</v>
      </c>
      <c r="M168" t="n">
        <v>0</v>
      </c>
      <c r="N168" t="n">
        <v>0</v>
      </c>
      <c r="O168" t="n">
        <v>0</v>
      </c>
      <c r="P168" t="n">
        <v>0</v>
      </c>
      <c r="Q168" t="n">
        <v>0</v>
      </c>
      <c r="R168" s="2" t="inlineStr"/>
    </row>
    <row r="169" ht="15" customHeight="1">
      <c r="A169" t="inlineStr">
        <is>
          <t>A 8617-2020</t>
        </is>
      </c>
      <c r="B169" s="1" t="n">
        <v>43875</v>
      </c>
      <c r="C169" s="1" t="n">
        <v>45877</v>
      </c>
      <c r="D169" t="inlineStr">
        <is>
          <t>NORRBOTTENS LÄN</t>
        </is>
      </c>
      <c r="E169" t="inlineStr">
        <is>
          <t>LULEÅ</t>
        </is>
      </c>
      <c r="G169" t="n">
        <v>21.8</v>
      </c>
      <c r="H169" t="n">
        <v>0</v>
      </c>
      <c r="I169" t="n">
        <v>0</v>
      </c>
      <c r="J169" t="n">
        <v>0</v>
      </c>
      <c r="K169" t="n">
        <v>0</v>
      </c>
      <c r="L169" t="n">
        <v>0</v>
      </c>
      <c r="M169" t="n">
        <v>0</v>
      </c>
      <c r="N169" t="n">
        <v>0</v>
      </c>
      <c r="O169" t="n">
        <v>0</v>
      </c>
      <c r="P169" t="n">
        <v>0</v>
      </c>
      <c r="Q169" t="n">
        <v>0</v>
      </c>
      <c r="R169" s="2" t="inlineStr"/>
    </row>
    <row r="170" ht="15" customHeight="1">
      <c r="A170" t="inlineStr">
        <is>
          <t>A 10644-2020</t>
        </is>
      </c>
      <c r="B170" s="1" t="n">
        <v>43887</v>
      </c>
      <c r="C170" s="1" t="n">
        <v>45877</v>
      </c>
      <c r="D170" t="inlineStr">
        <is>
          <t>NORRBOTTENS LÄN</t>
        </is>
      </c>
      <c r="E170" t="inlineStr">
        <is>
          <t>LULEÅ</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12326-2020</t>
        </is>
      </c>
      <c r="B171" s="1" t="n">
        <v>43895</v>
      </c>
      <c r="C171" s="1" t="n">
        <v>45877</v>
      </c>
      <c r="D171" t="inlineStr">
        <is>
          <t>NORRBOTTENS LÄN</t>
        </is>
      </c>
      <c r="E171" t="inlineStr">
        <is>
          <t>LULEÅ</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12325-2020</t>
        </is>
      </c>
      <c r="B172" s="1" t="n">
        <v>43895</v>
      </c>
      <c r="C172" s="1" t="n">
        <v>45877</v>
      </c>
      <c r="D172" t="inlineStr">
        <is>
          <t>NORRBOTTENS LÄN</t>
        </is>
      </c>
      <c r="E172" t="inlineStr">
        <is>
          <t>LULEÅ</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15304-2020</t>
        </is>
      </c>
      <c r="B173" s="1" t="n">
        <v>43913</v>
      </c>
      <c r="C173" s="1" t="n">
        <v>45877</v>
      </c>
      <c r="D173" t="inlineStr">
        <is>
          <t>NORRBOTTENS LÄN</t>
        </is>
      </c>
      <c r="E173" t="inlineStr">
        <is>
          <t>LULEÅ</t>
        </is>
      </c>
      <c r="F173" t="inlineStr">
        <is>
          <t>Kommuner</t>
        </is>
      </c>
      <c r="G173" t="n">
        <v>1.7</v>
      </c>
      <c r="H173" t="n">
        <v>0</v>
      </c>
      <c r="I173" t="n">
        <v>0</v>
      </c>
      <c r="J173" t="n">
        <v>0</v>
      </c>
      <c r="K173" t="n">
        <v>0</v>
      </c>
      <c r="L173" t="n">
        <v>0</v>
      </c>
      <c r="M173" t="n">
        <v>0</v>
      </c>
      <c r="N173" t="n">
        <v>0</v>
      </c>
      <c r="O173" t="n">
        <v>0</v>
      </c>
      <c r="P173" t="n">
        <v>0</v>
      </c>
      <c r="Q173" t="n">
        <v>0</v>
      </c>
      <c r="R173" s="2" t="inlineStr"/>
    </row>
    <row r="174" ht="15" customHeight="1">
      <c r="A174" t="inlineStr">
        <is>
          <t>A 16779-2020</t>
        </is>
      </c>
      <c r="B174" s="1" t="n">
        <v>43920</v>
      </c>
      <c r="C174" s="1" t="n">
        <v>45877</v>
      </c>
      <c r="D174" t="inlineStr">
        <is>
          <t>NORRBOTTENS LÄN</t>
        </is>
      </c>
      <c r="E174" t="inlineStr">
        <is>
          <t>LULEÅ</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17308-2020</t>
        </is>
      </c>
      <c r="B175" s="1" t="n">
        <v>43922</v>
      </c>
      <c r="C175" s="1" t="n">
        <v>45877</v>
      </c>
      <c r="D175" t="inlineStr">
        <is>
          <t>NORRBOTTENS LÄN</t>
        </is>
      </c>
      <c r="E175" t="inlineStr">
        <is>
          <t>LULEÅ</t>
        </is>
      </c>
      <c r="G175" t="n">
        <v>3.3</v>
      </c>
      <c r="H175" t="n">
        <v>0</v>
      </c>
      <c r="I175" t="n">
        <v>0</v>
      </c>
      <c r="J175" t="n">
        <v>0</v>
      </c>
      <c r="K175" t="n">
        <v>0</v>
      </c>
      <c r="L175" t="n">
        <v>0</v>
      </c>
      <c r="M175" t="n">
        <v>0</v>
      </c>
      <c r="N175" t="n">
        <v>0</v>
      </c>
      <c r="O175" t="n">
        <v>0</v>
      </c>
      <c r="P175" t="n">
        <v>0</v>
      </c>
      <c r="Q175" t="n">
        <v>0</v>
      </c>
      <c r="R175" s="2" t="inlineStr"/>
    </row>
    <row r="176" ht="15" customHeight="1">
      <c r="A176" t="inlineStr">
        <is>
          <t>A 18143-2020</t>
        </is>
      </c>
      <c r="B176" s="1" t="n">
        <v>43924</v>
      </c>
      <c r="C176" s="1" t="n">
        <v>45877</v>
      </c>
      <c r="D176" t="inlineStr">
        <is>
          <t>NORRBOTTENS LÄN</t>
        </is>
      </c>
      <c r="E176" t="inlineStr">
        <is>
          <t>LULEÅ</t>
        </is>
      </c>
      <c r="G176" t="n">
        <v>1.6</v>
      </c>
      <c r="H176" t="n">
        <v>0</v>
      </c>
      <c r="I176" t="n">
        <v>0</v>
      </c>
      <c r="J176" t="n">
        <v>0</v>
      </c>
      <c r="K176" t="n">
        <v>0</v>
      </c>
      <c r="L176" t="n">
        <v>0</v>
      </c>
      <c r="M176" t="n">
        <v>0</v>
      </c>
      <c r="N176" t="n">
        <v>0</v>
      </c>
      <c r="O176" t="n">
        <v>0</v>
      </c>
      <c r="P176" t="n">
        <v>0</v>
      </c>
      <c r="Q176" t="n">
        <v>0</v>
      </c>
      <c r="R176" s="2" t="inlineStr"/>
    </row>
    <row r="177" ht="15" customHeight="1">
      <c r="A177" t="inlineStr">
        <is>
          <t>A 18549-2020</t>
        </is>
      </c>
      <c r="B177" s="1" t="n">
        <v>43927</v>
      </c>
      <c r="C177" s="1" t="n">
        <v>45877</v>
      </c>
      <c r="D177" t="inlineStr">
        <is>
          <t>NORRBOTTENS LÄN</t>
        </is>
      </c>
      <c r="E177" t="inlineStr">
        <is>
          <t>LULEÅ</t>
        </is>
      </c>
      <c r="G177" t="n">
        <v>2.1</v>
      </c>
      <c r="H177" t="n">
        <v>0</v>
      </c>
      <c r="I177" t="n">
        <v>0</v>
      </c>
      <c r="J177" t="n">
        <v>0</v>
      </c>
      <c r="K177" t="n">
        <v>0</v>
      </c>
      <c r="L177" t="n">
        <v>0</v>
      </c>
      <c r="M177" t="n">
        <v>0</v>
      </c>
      <c r="N177" t="n">
        <v>0</v>
      </c>
      <c r="O177" t="n">
        <v>0</v>
      </c>
      <c r="P177" t="n">
        <v>0</v>
      </c>
      <c r="Q177" t="n">
        <v>0</v>
      </c>
      <c r="R177" s="2" t="inlineStr"/>
    </row>
    <row r="178" ht="15" customHeight="1">
      <c r="A178" t="inlineStr">
        <is>
          <t>A 18554-2020</t>
        </is>
      </c>
      <c r="B178" s="1" t="n">
        <v>43927</v>
      </c>
      <c r="C178" s="1" t="n">
        <v>45877</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18299-2020</t>
        </is>
      </c>
      <c r="B179" s="1" t="n">
        <v>43927</v>
      </c>
      <c r="C179" s="1" t="n">
        <v>45877</v>
      </c>
      <c r="D179" t="inlineStr">
        <is>
          <t>NORRBOTTENS LÄN</t>
        </is>
      </c>
      <c r="E179" t="inlineStr">
        <is>
          <t>LULEÅ</t>
        </is>
      </c>
      <c r="G179" t="n">
        <v>2</v>
      </c>
      <c r="H179" t="n">
        <v>0</v>
      </c>
      <c r="I179" t="n">
        <v>0</v>
      </c>
      <c r="J179" t="n">
        <v>0</v>
      </c>
      <c r="K179" t="n">
        <v>0</v>
      </c>
      <c r="L179" t="n">
        <v>0</v>
      </c>
      <c r="M179" t="n">
        <v>0</v>
      </c>
      <c r="N179" t="n">
        <v>0</v>
      </c>
      <c r="O179" t="n">
        <v>0</v>
      </c>
      <c r="P179" t="n">
        <v>0</v>
      </c>
      <c r="Q179" t="n">
        <v>0</v>
      </c>
      <c r="R179" s="2" t="inlineStr"/>
    </row>
    <row r="180" ht="15" customHeight="1">
      <c r="A180" t="inlineStr">
        <is>
          <t>A 18276-2020</t>
        </is>
      </c>
      <c r="B180" s="1" t="n">
        <v>43927</v>
      </c>
      <c r="C180" s="1" t="n">
        <v>45877</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18303-2020</t>
        </is>
      </c>
      <c r="B181" s="1" t="n">
        <v>43927</v>
      </c>
      <c r="C181" s="1" t="n">
        <v>45877</v>
      </c>
      <c r="D181" t="inlineStr">
        <is>
          <t>NORRBOTTENS LÄN</t>
        </is>
      </c>
      <c r="E181" t="inlineStr">
        <is>
          <t>LULEÅ</t>
        </is>
      </c>
      <c r="G181" t="n">
        <v>6.5</v>
      </c>
      <c r="H181" t="n">
        <v>0</v>
      </c>
      <c r="I181" t="n">
        <v>0</v>
      </c>
      <c r="J181" t="n">
        <v>0</v>
      </c>
      <c r="K181" t="n">
        <v>0</v>
      </c>
      <c r="L181" t="n">
        <v>0</v>
      </c>
      <c r="M181" t="n">
        <v>0</v>
      </c>
      <c r="N181" t="n">
        <v>0</v>
      </c>
      <c r="O181" t="n">
        <v>0</v>
      </c>
      <c r="P181" t="n">
        <v>0</v>
      </c>
      <c r="Q181" t="n">
        <v>0</v>
      </c>
      <c r="R181" s="2" t="inlineStr"/>
    </row>
    <row r="182" ht="15" customHeight="1">
      <c r="A182" t="inlineStr">
        <is>
          <t>A 18278-2020</t>
        </is>
      </c>
      <c r="B182" s="1" t="n">
        <v>43927</v>
      </c>
      <c r="C182" s="1" t="n">
        <v>45877</v>
      </c>
      <c r="D182" t="inlineStr">
        <is>
          <t>NORRBOTTENS LÄN</t>
        </is>
      </c>
      <c r="E182" t="inlineStr">
        <is>
          <t>LULEÅ</t>
        </is>
      </c>
      <c r="G182" t="n">
        <v>10.5</v>
      </c>
      <c r="H182" t="n">
        <v>0</v>
      </c>
      <c r="I182" t="n">
        <v>0</v>
      </c>
      <c r="J182" t="n">
        <v>0</v>
      </c>
      <c r="K182" t="n">
        <v>0</v>
      </c>
      <c r="L182" t="n">
        <v>0</v>
      </c>
      <c r="M182" t="n">
        <v>0</v>
      </c>
      <c r="N182" t="n">
        <v>0</v>
      </c>
      <c r="O182" t="n">
        <v>0</v>
      </c>
      <c r="P182" t="n">
        <v>0</v>
      </c>
      <c r="Q182" t="n">
        <v>0</v>
      </c>
      <c r="R182" s="2" t="inlineStr"/>
    </row>
    <row r="183" ht="15" customHeight="1">
      <c r="A183" t="inlineStr">
        <is>
          <t>A 22710-2020</t>
        </is>
      </c>
      <c r="B183" s="1" t="n">
        <v>43962</v>
      </c>
      <c r="C183" s="1" t="n">
        <v>45877</v>
      </c>
      <c r="D183" t="inlineStr">
        <is>
          <t>NORRBOTTENS LÄN</t>
        </is>
      </c>
      <c r="E183" t="inlineStr">
        <is>
          <t>LULEÅ</t>
        </is>
      </c>
      <c r="G183" t="n">
        <v>0.9</v>
      </c>
      <c r="H183" t="n">
        <v>0</v>
      </c>
      <c r="I183" t="n">
        <v>0</v>
      </c>
      <c r="J183" t="n">
        <v>0</v>
      </c>
      <c r="K183" t="n">
        <v>0</v>
      </c>
      <c r="L183" t="n">
        <v>0</v>
      </c>
      <c r="M183" t="n">
        <v>0</v>
      </c>
      <c r="N183" t="n">
        <v>0</v>
      </c>
      <c r="O183" t="n">
        <v>0</v>
      </c>
      <c r="P183" t="n">
        <v>0</v>
      </c>
      <c r="Q183" t="n">
        <v>0</v>
      </c>
      <c r="R183" s="2" t="inlineStr"/>
    </row>
    <row r="184" ht="15" customHeight="1">
      <c r="A184" t="inlineStr">
        <is>
          <t>A 26062-2020</t>
        </is>
      </c>
      <c r="B184" s="1" t="n">
        <v>43985</v>
      </c>
      <c r="C184" s="1" t="n">
        <v>45877</v>
      </c>
      <c r="D184" t="inlineStr">
        <is>
          <t>NORRBOTTENS LÄN</t>
        </is>
      </c>
      <c r="E184" t="inlineStr">
        <is>
          <t>LULEÅ</t>
        </is>
      </c>
      <c r="G184" t="n">
        <v>2.2</v>
      </c>
      <c r="H184" t="n">
        <v>0</v>
      </c>
      <c r="I184" t="n">
        <v>0</v>
      </c>
      <c r="J184" t="n">
        <v>0</v>
      </c>
      <c r="K184" t="n">
        <v>0</v>
      </c>
      <c r="L184" t="n">
        <v>0</v>
      </c>
      <c r="M184" t="n">
        <v>0</v>
      </c>
      <c r="N184" t="n">
        <v>0</v>
      </c>
      <c r="O184" t="n">
        <v>0</v>
      </c>
      <c r="P184" t="n">
        <v>0</v>
      </c>
      <c r="Q184" t="n">
        <v>0</v>
      </c>
      <c r="R184" s="2" t="inlineStr"/>
    </row>
    <row r="185" ht="15" customHeight="1">
      <c r="A185" t="inlineStr">
        <is>
          <t>A 27417-2020</t>
        </is>
      </c>
      <c r="B185" s="1" t="n">
        <v>43992</v>
      </c>
      <c r="C185" s="1" t="n">
        <v>45877</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30049-2020</t>
        </is>
      </c>
      <c r="B186" s="1" t="n">
        <v>44006</v>
      </c>
      <c r="C186" s="1" t="n">
        <v>45877</v>
      </c>
      <c r="D186" t="inlineStr">
        <is>
          <t>NORRBOTTENS LÄN</t>
        </is>
      </c>
      <c r="E186" t="inlineStr">
        <is>
          <t>LULEÅ</t>
        </is>
      </c>
      <c r="G186" t="n">
        <v>3</v>
      </c>
      <c r="H186" t="n">
        <v>0</v>
      </c>
      <c r="I186" t="n">
        <v>0</v>
      </c>
      <c r="J186" t="n">
        <v>0</v>
      </c>
      <c r="K186" t="n">
        <v>0</v>
      </c>
      <c r="L186" t="n">
        <v>0</v>
      </c>
      <c r="M186" t="n">
        <v>0</v>
      </c>
      <c r="N186" t="n">
        <v>0</v>
      </c>
      <c r="O186" t="n">
        <v>0</v>
      </c>
      <c r="P186" t="n">
        <v>0</v>
      </c>
      <c r="Q186" t="n">
        <v>0</v>
      </c>
      <c r="R186" s="2" t="inlineStr"/>
    </row>
    <row r="187" ht="15" customHeight="1">
      <c r="A187" t="inlineStr">
        <is>
          <t>A 30336-2020</t>
        </is>
      </c>
      <c r="B187" s="1" t="n">
        <v>44007</v>
      </c>
      <c r="C187" s="1" t="n">
        <v>45877</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30341-2020</t>
        </is>
      </c>
      <c r="B188" s="1" t="n">
        <v>44007</v>
      </c>
      <c r="C188" s="1" t="n">
        <v>45877</v>
      </c>
      <c r="D188" t="inlineStr">
        <is>
          <t>NORRBOTTENS LÄN</t>
        </is>
      </c>
      <c r="E188" t="inlineStr">
        <is>
          <t>LULEÅ</t>
        </is>
      </c>
      <c r="G188" t="n">
        <v>0.3</v>
      </c>
      <c r="H188" t="n">
        <v>0</v>
      </c>
      <c r="I188" t="n">
        <v>0</v>
      </c>
      <c r="J188" t="n">
        <v>0</v>
      </c>
      <c r="K188" t="n">
        <v>0</v>
      </c>
      <c r="L188" t="n">
        <v>0</v>
      </c>
      <c r="M188" t="n">
        <v>0</v>
      </c>
      <c r="N188" t="n">
        <v>0</v>
      </c>
      <c r="O188" t="n">
        <v>0</v>
      </c>
      <c r="P188" t="n">
        <v>0</v>
      </c>
      <c r="Q188" t="n">
        <v>0</v>
      </c>
      <c r="R188" s="2" t="inlineStr"/>
    </row>
    <row r="189" ht="15" customHeight="1">
      <c r="A189" t="inlineStr">
        <is>
          <t>A 31972-2020</t>
        </is>
      </c>
      <c r="B189" s="1" t="n">
        <v>44014</v>
      </c>
      <c r="C189" s="1" t="n">
        <v>45877</v>
      </c>
      <c r="D189" t="inlineStr">
        <is>
          <t>NORRBOTTENS LÄN</t>
        </is>
      </c>
      <c r="E189" t="inlineStr">
        <is>
          <t>LULEÅ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32761-2020</t>
        </is>
      </c>
      <c r="B190" s="1" t="n">
        <v>44020</v>
      </c>
      <c r="C190" s="1" t="n">
        <v>45877</v>
      </c>
      <c r="D190" t="inlineStr">
        <is>
          <t>NORRBOTTENS LÄN</t>
        </is>
      </c>
      <c r="E190" t="inlineStr">
        <is>
          <t>LULEÅ</t>
        </is>
      </c>
      <c r="G190" t="n">
        <v>1</v>
      </c>
      <c r="H190" t="n">
        <v>0</v>
      </c>
      <c r="I190" t="n">
        <v>0</v>
      </c>
      <c r="J190" t="n">
        <v>0</v>
      </c>
      <c r="K190" t="n">
        <v>0</v>
      </c>
      <c r="L190" t="n">
        <v>0</v>
      </c>
      <c r="M190" t="n">
        <v>0</v>
      </c>
      <c r="N190" t="n">
        <v>0</v>
      </c>
      <c r="O190" t="n">
        <v>0</v>
      </c>
      <c r="P190" t="n">
        <v>0</v>
      </c>
      <c r="Q190" t="n">
        <v>0</v>
      </c>
      <c r="R190" s="2" t="inlineStr"/>
    </row>
    <row r="191" ht="15" customHeight="1">
      <c r="A191" t="inlineStr">
        <is>
          <t>A 34256-2020</t>
        </is>
      </c>
      <c r="B191" s="1" t="n">
        <v>44029</v>
      </c>
      <c r="C191" s="1" t="n">
        <v>45877</v>
      </c>
      <c r="D191" t="inlineStr">
        <is>
          <t>NORRBOTTENS LÄN</t>
        </is>
      </c>
      <c r="E191" t="inlineStr">
        <is>
          <t>LULEÅ</t>
        </is>
      </c>
      <c r="F191" t="inlineStr">
        <is>
          <t>SCA</t>
        </is>
      </c>
      <c r="G191" t="n">
        <v>10.4</v>
      </c>
      <c r="H191" t="n">
        <v>0</v>
      </c>
      <c r="I191" t="n">
        <v>0</v>
      </c>
      <c r="J191" t="n">
        <v>0</v>
      </c>
      <c r="K191" t="n">
        <v>0</v>
      </c>
      <c r="L191" t="n">
        <v>0</v>
      </c>
      <c r="M191" t="n">
        <v>0</v>
      </c>
      <c r="N191" t="n">
        <v>0</v>
      </c>
      <c r="O191" t="n">
        <v>0</v>
      </c>
      <c r="P191" t="n">
        <v>0</v>
      </c>
      <c r="Q191" t="n">
        <v>0</v>
      </c>
      <c r="R191" s="2" t="inlineStr"/>
    </row>
    <row r="192" ht="15" customHeight="1">
      <c r="A192" t="inlineStr">
        <is>
          <t>A 34257-2020</t>
        </is>
      </c>
      <c r="B192" s="1" t="n">
        <v>44030</v>
      </c>
      <c r="C192" s="1" t="n">
        <v>45877</v>
      </c>
      <c r="D192" t="inlineStr">
        <is>
          <t>NORRBOTTENS LÄN</t>
        </is>
      </c>
      <c r="E192" t="inlineStr">
        <is>
          <t>LULEÅ</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36549-2020</t>
        </is>
      </c>
      <c r="B193" s="1" t="n">
        <v>44050</v>
      </c>
      <c r="C193" s="1" t="n">
        <v>45877</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36929-2020</t>
        </is>
      </c>
      <c r="B194" s="1" t="n">
        <v>44053</v>
      </c>
      <c r="C194" s="1" t="n">
        <v>45877</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39169-2020</t>
        </is>
      </c>
      <c r="B195" s="1" t="n">
        <v>44063</v>
      </c>
      <c r="C195" s="1" t="n">
        <v>45877</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41072-2020</t>
        </is>
      </c>
      <c r="B196" s="1" t="n">
        <v>44069</v>
      </c>
      <c r="C196" s="1" t="n">
        <v>45877</v>
      </c>
      <c r="D196" t="inlineStr">
        <is>
          <t>NORRBOTTENS LÄN</t>
        </is>
      </c>
      <c r="E196" t="inlineStr">
        <is>
          <t>LULEÅ</t>
        </is>
      </c>
      <c r="G196" t="n">
        <v>21.3</v>
      </c>
      <c r="H196" t="n">
        <v>0</v>
      </c>
      <c r="I196" t="n">
        <v>0</v>
      </c>
      <c r="J196" t="n">
        <v>0</v>
      </c>
      <c r="K196" t="n">
        <v>0</v>
      </c>
      <c r="L196" t="n">
        <v>0</v>
      </c>
      <c r="M196" t="n">
        <v>0</v>
      </c>
      <c r="N196" t="n">
        <v>0</v>
      </c>
      <c r="O196" t="n">
        <v>0</v>
      </c>
      <c r="P196" t="n">
        <v>0</v>
      </c>
      <c r="Q196" t="n">
        <v>0</v>
      </c>
      <c r="R196" s="2" t="inlineStr"/>
    </row>
    <row r="197" ht="15" customHeight="1">
      <c r="A197" t="inlineStr">
        <is>
          <t>A 40896-2020</t>
        </is>
      </c>
      <c r="B197" s="1" t="n">
        <v>44070</v>
      </c>
      <c r="C197" s="1" t="n">
        <v>45877</v>
      </c>
      <c r="D197" t="inlineStr">
        <is>
          <t>NORRBOTTENS LÄN</t>
        </is>
      </c>
      <c r="E197" t="inlineStr">
        <is>
          <t>LULEÅ</t>
        </is>
      </c>
      <c r="G197" t="n">
        <v>1.3</v>
      </c>
      <c r="H197" t="n">
        <v>0</v>
      </c>
      <c r="I197" t="n">
        <v>0</v>
      </c>
      <c r="J197" t="n">
        <v>0</v>
      </c>
      <c r="K197" t="n">
        <v>0</v>
      </c>
      <c r="L197" t="n">
        <v>0</v>
      </c>
      <c r="M197" t="n">
        <v>0</v>
      </c>
      <c r="N197" t="n">
        <v>0</v>
      </c>
      <c r="O197" t="n">
        <v>0</v>
      </c>
      <c r="P197" t="n">
        <v>0</v>
      </c>
      <c r="Q197" t="n">
        <v>0</v>
      </c>
      <c r="R197" s="2" t="inlineStr"/>
    </row>
    <row r="198" ht="15" customHeight="1">
      <c r="A198" t="inlineStr">
        <is>
          <t>A 41864-2020</t>
        </is>
      </c>
      <c r="B198" s="1" t="n">
        <v>44074</v>
      </c>
      <c r="C198" s="1" t="n">
        <v>45877</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41990-2020</t>
        </is>
      </c>
      <c r="B199" s="1" t="n">
        <v>44075</v>
      </c>
      <c r="C199" s="1" t="n">
        <v>45877</v>
      </c>
      <c r="D199" t="inlineStr">
        <is>
          <t>NORRBOTTENS LÄN</t>
        </is>
      </c>
      <c r="E199" t="inlineStr">
        <is>
          <t>LULEÅ</t>
        </is>
      </c>
      <c r="G199" t="n">
        <v>2.5</v>
      </c>
      <c r="H199" t="n">
        <v>0</v>
      </c>
      <c r="I199" t="n">
        <v>0</v>
      </c>
      <c r="J199" t="n">
        <v>0</v>
      </c>
      <c r="K199" t="n">
        <v>0</v>
      </c>
      <c r="L199" t="n">
        <v>0</v>
      </c>
      <c r="M199" t="n">
        <v>0</v>
      </c>
      <c r="N199" t="n">
        <v>0</v>
      </c>
      <c r="O199" t="n">
        <v>0</v>
      </c>
      <c r="P199" t="n">
        <v>0</v>
      </c>
      <c r="Q199" t="n">
        <v>0</v>
      </c>
      <c r="R199" s="2" t="inlineStr"/>
    </row>
    <row r="200" ht="15" customHeight="1">
      <c r="A200" t="inlineStr">
        <is>
          <t>A 42177-2020</t>
        </is>
      </c>
      <c r="B200" s="1" t="n">
        <v>44075</v>
      </c>
      <c r="C200" s="1" t="n">
        <v>45877</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42176-2020</t>
        </is>
      </c>
      <c r="B201" s="1" t="n">
        <v>44075</v>
      </c>
      <c r="C201" s="1" t="n">
        <v>45877</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43556-2020</t>
        </is>
      </c>
      <c r="B202" s="1" t="n">
        <v>44077</v>
      </c>
      <c r="C202" s="1" t="n">
        <v>45877</v>
      </c>
      <c r="D202" t="inlineStr">
        <is>
          <t>NORRBOTTENS LÄN</t>
        </is>
      </c>
      <c r="E202" t="inlineStr">
        <is>
          <t>LULEÅ</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42939-2020</t>
        </is>
      </c>
      <c r="B203" s="1" t="n">
        <v>44078</v>
      </c>
      <c r="C203" s="1" t="n">
        <v>45877</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46395-2020</t>
        </is>
      </c>
      <c r="B204" s="1" t="n">
        <v>44094</v>
      </c>
      <c r="C204" s="1" t="n">
        <v>45877</v>
      </c>
      <c r="D204" t="inlineStr">
        <is>
          <t>NORRBOTTENS LÄN</t>
        </is>
      </c>
      <c r="E204" t="inlineStr">
        <is>
          <t>LULEÅ</t>
        </is>
      </c>
      <c r="G204" t="n">
        <v>2.8</v>
      </c>
      <c r="H204" t="n">
        <v>0</v>
      </c>
      <c r="I204" t="n">
        <v>0</v>
      </c>
      <c r="J204" t="n">
        <v>0</v>
      </c>
      <c r="K204" t="n">
        <v>0</v>
      </c>
      <c r="L204" t="n">
        <v>0</v>
      </c>
      <c r="M204" t="n">
        <v>0</v>
      </c>
      <c r="N204" t="n">
        <v>0</v>
      </c>
      <c r="O204" t="n">
        <v>0</v>
      </c>
      <c r="P204" t="n">
        <v>0</v>
      </c>
      <c r="Q204" t="n">
        <v>0</v>
      </c>
      <c r="R204" s="2" t="inlineStr"/>
    </row>
    <row r="205" ht="15" customHeight="1">
      <c r="A205" t="inlineStr">
        <is>
          <t>A 47063-2020</t>
        </is>
      </c>
      <c r="B205" s="1" t="n">
        <v>44096</v>
      </c>
      <c r="C205" s="1" t="n">
        <v>45877</v>
      </c>
      <c r="D205" t="inlineStr">
        <is>
          <t>NORRBOTTENS LÄN</t>
        </is>
      </c>
      <c r="E205" t="inlineStr">
        <is>
          <t>LULEÅ</t>
        </is>
      </c>
      <c r="G205" t="n">
        <v>1.2</v>
      </c>
      <c r="H205" t="n">
        <v>0</v>
      </c>
      <c r="I205" t="n">
        <v>0</v>
      </c>
      <c r="J205" t="n">
        <v>0</v>
      </c>
      <c r="K205" t="n">
        <v>0</v>
      </c>
      <c r="L205" t="n">
        <v>0</v>
      </c>
      <c r="M205" t="n">
        <v>0</v>
      </c>
      <c r="N205" t="n">
        <v>0</v>
      </c>
      <c r="O205" t="n">
        <v>0</v>
      </c>
      <c r="P205" t="n">
        <v>0</v>
      </c>
      <c r="Q205" t="n">
        <v>0</v>
      </c>
      <c r="R205" s="2" t="inlineStr"/>
    </row>
    <row r="206" ht="15" customHeight="1">
      <c r="A206" t="inlineStr">
        <is>
          <t>A 50622-2020</t>
        </is>
      </c>
      <c r="B206" s="1" t="n">
        <v>44110</v>
      </c>
      <c r="C206" s="1" t="n">
        <v>45877</v>
      </c>
      <c r="D206" t="inlineStr">
        <is>
          <t>NORRBOTTENS LÄN</t>
        </is>
      </c>
      <c r="E206" t="inlineStr">
        <is>
          <t>LULEÅ</t>
        </is>
      </c>
      <c r="F206" t="inlineStr">
        <is>
          <t>SCA</t>
        </is>
      </c>
      <c r="G206" t="n">
        <v>4.7</v>
      </c>
      <c r="H206" t="n">
        <v>0</v>
      </c>
      <c r="I206" t="n">
        <v>0</v>
      </c>
      <c r="J206" t="n">
        <v>0</v>
      </c>
      <c r="K206" t="n">
        <v>0</v>
      </c>
      <c r="L206" t="n">
        <v>0</v>
      </c>
      <c r="M206" t="n">
        <v>0</v>
      </c>
      <c r="N206" t="n">
        <v>0</v>
      </c>
      <c r="O206" t="n">
        <v>0</v>
      </c>
      <c r="P206" t="n">
        <v>0</v>
      </c>
      <c r="Q206" t="n">
        <v>0</v>
      </c>
      <c r="R206" s="2" t="inlineStr"/>
    </row>
    <row r="207" ht="15" customHeight="1">
      <c r="A207" t="inlineStr">
        <is>
          <t>A 50778-2020</t>
        </is>
      </c>
      <c r="B207" s="1" t="n">
        <v>44111</v>
      </c>
      <c r="C207" s="1" t="n">
        <v>45877</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50705-2020</t>
        </is>
      </c>
      <c r="B208" s="1" t="n">
        <v>44111</v>
      </c>
      <c r="C208" s="1" t="n">
        <v>45877</v>
      </c>
      <c r="D208" t="inlineStr">
        <is>
          <t>NORRBOTTENS LÄN</t>
        </is>
      </c>
      <c r="E208" t="inlineStr">
        <is>
          <t>LULEÅ</t>
        </is>
      </c>
      <c r="G208" t="n">
        <v>1.9</v>
      </c>
      <c r="H208" t="n">
        <v>0</v>
      </c>
      <c r="I208" t="n">
        <v>0</v>
      </c>
      <c r="J208" t="n">
        <v>0</v>
      </c>
      <c r="K208" t="n">
        <v>0</v>
      </c>
      <c r="L208" t="n">
        <v>0</v>
      </c>
      <c r="M208" t="n">
        <v>0</v>
      </c>
      <c r="N208" t="n">
        <v>0</v>
      </c>
      <c r="O208" t="n">
        <v>0</v>
      </c>
      <c r="P208" t="n">
        <v>0</v>
      </c>
      <c r="Q208" t="n">
        <v>0</v>
      </c>
      <c r="R208" s="2" t="inlineStr"/>
    </row>
    <row r="209" ht="15" customHeight="1">
      <c r="A209" t="inlineStr">
        <is>
          <t>A 51128-2020</t>
        </is>
      </c>
      <c r="B209" s="1" t="n">
        <v>44112</v>
      </c>
      <c r="C209" s="1" t="n">
        <v>45877</v>
      </c>
      <c r="D209" t="inlineStr">
        <is>
          <t>NORRBOTTENS LÄN</t>
        </is>
      </c>
      <c r="E209" t="inlineStr">
        <is>
          <t>LULEÅ</t>
        </is>
      </c>
      <c r="F209" t="inlineStr">
        <is>
          <t>Sveaskog</t>
        </is>
      </c>
      <c r="G209" t="n">
        <v>0.5</v>
      </c>
      <c r="H209" t="n">
        <v>0</v>
      </c>
      <c r="I209" t="n">
        <v>0</v>
      </c>
      <c r="J209" t="n">
        <v>0</v>
      </c>
      <c r="K209" t="n">
        <v>0</v>
      </c>
      <c r="L209" t="n">
        <v>0</v>
      </c>
      <c r="M209" t="n">
        <v>0</v>
      </c>
      <c r="N209" t="n">
        <v>0</v>
      </c>
      <c r="O209" t="n">
        <v>0</v>
      </c>
      <c r="P209" t="n">
        <v>0</v>
      </c>
      <c r="Q209" t="n">
        <v>0</v>
      </c>
      <c r="R209" s="2" t="inlineStr"/>
    </row>
    <row r="210" ht="15" customHeight="1">
      <c r="A210" t="inlineStr">
        <is>
          <t>A 51117-2020</t>
        </is>
      </c>
      <c r="B210" s="1" t="n">
        <v>44112</v>
      </c>
      <c r="C210" s="1" t="n">
        <v>45877</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51210-2020</t>
        </is>
      </c>
      <c r="B211" s="1" t="n">
        <v>44112</v>
      </c>
      <c r="C211" s="1" t="n">
        <v>45877</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53118-2020</t>
        </is>
      </c>
      <c r="B212" s="1" t="n">
        <v>44120</v>
      </c>
      <c r="C212" s="1" t="n">
        <v>45877</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53105-2020</t>
        </is>
      </c>
      <c r="B213" s="1" t="n">
        <v>44120</v>
      </c>
      <c r="C213" s="1" t="n">
        <v>45877</v>
      </c>
      <c r="D213" t="inlineStr">
        <is>
          <t>NORRBOTTENS LÄN</t>
        </is>
      </c>
      <c r="E213" t="inlineStr">
        <is>
          <t>LULEÅ</t>
        </is>
      </c>
      <c r="G213" t="n">
        <v>0.5</v>
      </c>
      <c r="H213" t="n">
        <v>0</v>
      </c>
      <c r="I213" t="n">
        <v>0</v>
      </c>
      <c r="J213" t="n">
        <v>0</v>
      </c>
      <c r="K213" t="n">
        <v>0</v>
      </c>
      <c r="L213" t="n">
        <v>0</v>
      </c>
      <c r="M213" t="n">
        <v>0</v>
      </c>
      <c r="N213" t="n">
        <v>0</v>
      </c>
      <c r="O213" t="n">
        <v>0</v>
      </c>
      <c r="P213" t="n">
        <v>0</v>
      </c>
      <c r="Q213" t="n">
        <v>0</v>
      </c>
      <c r="R213" s="2" t="inlineStr"/>
    </row>
    <row r="214" ht="15" customHeight="1">
      <c r="A214" t="inlineStr">
        <is>
          <t>A 54538-2020</t>
        </is>
      </c>
      <c r="B214" s="1" t="n">
        <v>44126</v>
      </c>
      <c r="C214" s="1" t="n">
        <v>45877</v>
      </c>
      <c r="D214" t="inlineStr">
        <is>
          <t>NORRBOTTENS LÄN</t>
        </is>
      </c>
      <c r="E214" t="inlineStr">
        <is>
          <t>LULEÅ</t>
        </is>
      </c>
      <c r="G214" t="n">
        <v>10.5</v>
      </c>
      <c r="H214" t="n">
        <v>0</v>
      </c>
      <c r="I214" t="n">
        <v>0</v>
      </c>
      <c r="J214" t="n">
        <v>0</v>
      </c>
      <c r="K214" t="n">
        <v>0</v>
      </c>
      <c r="L214" t="n">
        <v>0</v>
      </c>
      <c r="M214" t="n">
        <v>0</v>
      </c>
      <c r="N214" t="n">
        <v>0</v>
      </c>
      <c r="O214" t="n">
        <v>0</v>
      </c>
      <c r="P214" t="n">
        <v>0</v>
      </c>
      <c r="Q214" t="n">
        <v>0</v>
      </c>
      <c r="R214" s="2" t="inlineStr"/>
    </row>
    <row r="215" ht="15" customHeight="1">
      <c r="A215" t="inlineStr">
        <is>
          <t>A 54594-2020</t>
        </is>
      </c>
      <c r="B215" s="1" t="n">
        <v>44126</v>
      </c>
      <c r="C215" s="1" t="n">
        <v>45877</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59747-2020</t>
        </is>
      </c>
      <c r="B216" s="1" t="n">
        <v>44148</v>
      </c>
      <c r="C216" s="1" t="n">
        <v>45877</v>
      </c>
      <c r="D216" t="inlineStr">
        <is>
          <t>NORRBOTTENS LÄN</t>
        </is>
      </c>
      <c r="E216" t="inlineStr">
        <is>
          <t>LULEÅ</t>
        </is>
      </c>
      <c r="G216" t="n">
        <v>7.7</v>
      </c>
      <c r="H216" t="n">
        <v>0</v>
      </c>
      <c r="I216" t="n">
        <v>0</v>
      </c>
      <c r="J216" t="n">
        <v>0</v>
      </c>
      <c r="K216" t="n">
        <v>0</v>
      </c>
      <c r="L216" t="n">
        <v>0</v>
      </c>
      <c r="M216" t="n">
        <v>0</v>
      </c>
      <c r="N216" t="n">
        <v>0</v>
      </c>
      <c r="O216" t="n">
        <v>0</v>
      </c>
      <c r="P216" t="n">
        <v>0</v>
      </c>
      <c r="Q216" t="n">
        <v>0</v>
      </c>
      <c r="R216" s="2" t="inlineStr"/>
    </row>
    <row r="217" ht="15" customHeight="1">
      <c r="A217" t="inlineStr">
        <is>
          <t>A 59858-2020</t>
        </is>
      </c>
      <c r="B217" s="1" t="n">
        <v>44148</v>
      </c>
      <c r="C217" s="1" t="n">
        <v>45877</v>
      </c>
      <c r="D217" t="inlineStr">
        <is>
          <t>NORRBOTTENS LÄN</t>
        </is>
      </c>
      <c r="E217" t="inlineStr">
        <is>
          <t>LULEÅ</t>
        </is>
      </c>
      <c r="G217" t="n">
        <v>0.8</v>
      </c>
      <c r="H217" t="n">
        <v>0</v>
      </c>
      <c r="I217" t="n">
        <v>0</v>
      </c>
      <c r="J217" t="n">
        <v>0</v>
      </c>
      <c r="K217" t="n">
        <v>0</v>
      </c>
      <c r="L217" t="n">
        <v>0</v>
      </c>
      <c r="M217" t="n">
        <v>0</v>
      </c>
      <c r="N217" t="n">
        <v>0</v>
      </c>
      <c r="O217" t="n">
        <v>0</v>
      </c>
      <c r="P217" t="n">
        <v>0</v>
      </c>
      <c r="Q217" t="n">
        <v>0</v>
      </c>
      <c r="R217" s="2" t="inlineStr"/>
    </row>
    <row r="218" ht="15" customHeight="1">
      <c r="A218" t="inlineStr">
        <is>
          <t>A 60642-2020</t>
        </is>
      </c>
      <c r="B218" s="1" t="n">
        <v>44152</v>
      </c>
      <c r="C218" s="1" t="n">
        <v>45877</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61072-2020</t>
        </is>
      </c>
      <c r="B219" s="1" t="n">
        <v>44154</v>
      </c>
      <c r="C219" s="1" t="n">
        <v>45877</v>
      </c>
      <c r="D219" t="inlineStr">
        <is>
          <t>NORRBOTTENS LÄN</t>
        </is>
      </c>
      <c r="E219" t="inlineStr">
        <is>
          <t>LULEÅ</t>
        </is>
      </c>
      <c r="G219" t="n">
        <v>4.1</v>
      </c>
      <c r="H219" t="n">
        <v>0</v>
      </c>
      <c r="I219" t="n">
        <v>0</v>
      </c>
      <c r="J219" t="n">
        <v>0</v>
      </c>
      <c r="K219" t="n">
        <v>0</v>
      </c>
      <c r="L219" t="n">
        <v>0</v>
      </c>
      <c r="M219" t="n">
        <v>0</v>
      </c>
      <c r="N219" t="n">
        <v>0</v>
      </c>
      <c r="O219" t="n">
        <v>0</v>
      </c>
      <c r="P219" t="n">
        <v>0</v>
      </c>
      <c r="Q219" t="n">
        <v>0</v>
      </c>
      <c r="R219" s="2" t="inlineStr"/>
    </row>
    <row r="220" ht="15" customHeight="1">
      <c r="A220" t="inlineStr">
        <is>
          <t>A 61598-2020</t>
        </is>
      </c>
      <c r="B220" s="1" t="n">
        <v>44154</v>
      </c>
      <c r="C220" s="1" t="n">
        <v>45877</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61600-2020</t>
        </is>
      </c>
      <c r="B221" s="1" t="n">
        <v>44154</v>
      </c>
      <c r="C221" s="1" t="n">
        <v>45877</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61490-2020</t>
        </is>
      </c>
      <c r="B222" s="1" t="n">
        <v>44158</v>
      </c>
      <c r="C222" s="1" t="n">
        <v>45877</v>
      </c>
      <c r="D222" t="inlineStr">
        <is>
          <t>NORRBOTTENS LÄN</t>
        </is>
      </c>
      <c r="E222" t="inlineStr">
        <is>
          <t>LULEÅ</t>
        </is>
      </c>
      <c r="G222" t="n">
        <v>0.7</v>
      </c>
      <c r="H222" t="n">
        <v>0</v>
      </c>
      <c r="I222" t="n">
        <v>0</v>
      </c>
      <c r="J222" t="n">
        <v>0</v>
      </c>
      <c r="K222" t="n">
        <v>0</v>
      </c>
      <c r="L222" t="n">
        <v>0</v>
      </c>
      <c r="M222" t="n">
        <v>0</v>
      </c>
      <c r="N222" t="n">
        <v>0</v>
      </c>
      <c r="O222" t="n">
        <v>0</v>
      </c>
      <c r="P222" t="n">
        <v>0</v>
      </c>
      <c r="Q222" t="n">
        <v>0</v>
      </c>
      <c r="R222" s="2" t="inlineStr"/>
    </row>
    <row r="223" ht="15" customHeight="1">
      <c r="A223" t="inlineStr">
        <is>
          <t>A 63024-2020</t>
        </is>
      </c>
      <c r="B223" s="1" t="n">
        <v>44162</v>
      </c>
      <c r="C223" s="1" t="n">
        <v>45877</v>
      </c>
      <c r="D223" t="inlineStr">
        <is>
          <t>NORRBOTTENS LÄN</t>
        </is>
      </c>
      <c r="E223" t="inlineStr">
        <is>
          <t>LULEÅ</t>
        </is>
      </c>
      <c r="F223" t="inlineStr">
        <is>
          <t>Kyrkan</t>
        </is>
      </c>
      <c r="G223" t="n">
        <v>27.4</v>
      </c>
      <c r="H223" t="n">
        <v>0</v>
      </c>
      <c r="I223" t="n">
        <v>0</v>
      </c>
      <c r="J223" t="n">
        <v>0</v>
      </c>
      <c r="K223" t="n">
        <v>0</v>
      </c>
      <c r="L223" t="n">
        <v>0</v>
      </c>
      <c r="M223" t="n">
        <v>0</v>
      </c>
      <c r="N223" t="n">
        <v>0</v>
      </c>
      <c r="O223" t="n">
        <v>0</v>
      </c>
      <c r="P223" t="n">
        <v>0</v>
      </c>
      <c r="Q223" t="n">
        <v>0</v>
      </c>
      <c r="R223" s="2" t="inlineStr"/>
    </row>
    <row r="224" ht="15" customHeight="1">
      <c r="A224" t="inlineStr">
        <is>
          <t>A 63825-2020</t>
        </is>
      </c>
      <c r="B224" s="1" t="n">
        <v>44165</v>
      </c>
      <c r="C224" s="1" t="n">
        <v>45877</v>
      </c>
      <c r="D224" t="inlineStr">
        <is>
          <t>NORRBOTTENS LÄN</t>
        </is>
      </c>
      <c r="E224" t="inlineStr">
        <is>
          <t>LULEÅ</t>
        </is>
      </c>
      <c r="G224" t="n">
        <v>3.8</v>
      </c>
      <c r="H224" t="n">
        <v>0</v>
      </c>
      <c r="I224" t="n">
        <v>0</v>
      </c>
      <c r="J224" t="n">
        <v>0</v>
      </c>
      <c r="K224" t="n">
        <v>0</v>
      </c>
      <c r="L224" t="n">
        <v>0</v>
      </c>
      <c r="M224" t="n">
        <v>0</v>
      </c>
      <c r="N224" t="n">
        <v>0</v>
      </c>
      <c r="O224" t="n">
        <v>0</v>
      </c>
      <c r="P224" t="n">
        <v>0</v>
      </c>
      <c r="Q224" t="n">
        <v>0</v>
      </c>
      <c r="R224" s="2" t="inlineStr"/>
    </row>
    <row r="225" ht="15" customHeight="1">
      <c r="A225" t="inlineStr">
        <is>
          <t>A 63828-2020</t>
        </is>
      </c>
      <c r="B225" s="1" t="n">
        <v>44165</v>
      </c>
      <c r="C225" s="1" t="n">
        <v>45877</v>
      </c>
      <c r="D225" t="inlineStr">
        <is>
          <t>NORRBOTTENS LÄN</t>
        </is>
      </c>
      <c r="E225" t="inlineStr">
        <is>
          <t>LULEÅ</t>
        </is>
      </c>
      <c r="G225" t="n">
        <v>5.3</v>
      </c>
      <c r="H225" t="n">
        <v>0</v>
      </c>
      <c r="I225" t="n">
        <v>0</v>
      </c>
      <c r="J225" t="n">
        <v>0</v>
      </c>
      <c r="K225" t="n">
        <v>0</v>
      </c>
      <c r="L225" t="n">
        <v>0</v>
      </c>
      <c r="M225" t="n">
        <v>0</v>
      </c>
      <c r="N225" t="n">
        <v>0</v>
      </c>
      <c r="O225" t="n">
        <v>0</v>
      </c>
      <c r="P225" t="n">
        <v>0</v>
      </c>
      <c r="Q225" t="n">
        <v>0</v>
      </c>
      <c r="R225" s="2" t="inlineStr"/>
    </row>
    <row r="226" ht="15" customHeight="1">
      <c r="A226" t="inlineStr">
        <is>
          <t>A 63901-2020</t>
        </is>
      </c>
      <c r="B226" s="1" t="n">
        <v>44165</v>
      </c>
      <c r="C226" s="1" t="n">
        <v>45877</v>
      </c>
      <c r="D226" t="inlineStr">
        <is>
          <t>NORRBOTTENS LÄN</t>
        </is>
      </c>
      <c r="E226" t="inlineStr">
        <is>
          <t>LULEÅ</t>
        </is>
      </c>
      <c r="G226" t="n">
        <v>2.8</v>
      </c>
      <c r="H226" t="n">
        <v>0</v>
      </c>
      <c r="I226" t="n">
        <v>0</v>
      </c>
      <c r="J226" t="n">
        <v>0</v>
      </c>
      <c r="K226" t="n">
        <v>0</v>
      </c>
      <c r="L226" t="n">
        <v>0</v>
      </c>
      <c r="M226" t="n">
        <v>0</v>
      </c>
      <c r="N226" t="n">
        <v>0</v>
      </c>
      <c r="O226" t="n">
        <v>0</v>
      </c>
      <c r="P226" t="n">
        <v>0</v>
      </c>
      <c r="Q226" t="n">
        <v>0</v>
      </c>
      <c r="R226" s="2" t="inlineStr"/>
    </row>
    <row r="227" ht="15" customHeight="1">
      <c r="A227" t="inlineStr">
        <is>
          <t>A 64678-2020</t>
        </is>
      </c>
      <c r="B227" s="1" t="n">
        <v>44166</v>
      </c>
      <c r="C227" s="1" t="n">
        <v>45877</v>
      </c>
      <c r="D227" t="inlineStr">
        <is>
          <t>NORRBOTTENS LÄN</t>
        </is>
      </c>
      <c r="E227" t="inlineStr">
        <is>
          <t>LULEÅ</t>
        </is>
      </c>
      <c r="G227" t="n">
        <v>2.9</v>
      </c>
      <c r="H227" t="n">
        <v>0</v>
      </c>
      <c r="I227" t="n">
        <v>0</v>
      </c>
      <c r="J227" t="n">
        <v>0</v>
      </c>
      <c r="K227" t="n">
        <v>0</v>
      </c>
      <c r="L227" t="n">
        <v>0</v>
      </c>
      <c r="M227" t="n">
        <v>0</v>
      </c>
      <c r="N227" t="n">
        <v>0</v>
      </c>
      <c r="O227" t="n">
        <v>0</v>
      </c>
      <c r="P227" t="n">
        <v>0</v>
      </c>
      <c r="Q227" t="n">
        <v>0</v>
      </c>
      <c r="R227" s="2" t="inlineStr"/>
    </row>
    <row r="228" ht="15" customHeight="1">
      <c r="A228" t="inlineStr">
        <is>
          <t>A 64527-2020</t>
        </is>
      </c>
      <c r="B228" s="1" t="n">
        <v>44166</v>
      </c>
      <c r="C228" s="1" t="n">
        <v>45877</v>
      </c>
      <c r="D228" t="inlineStr">
        <is>
          <t>NORRBOTTENS LÄN</t>
        </is>
      </c>
      <c r="E228" t="inlineStr">
        <is>
          <t>LULEÅ</t>
        </is>
      </c>
      <c r="G228" t="n">
        <v>1</v>
      </c>
      <c r="H228" t="n">
        <v>0</v>
      </c>
      <c r="I228" t="n">
        <v>0</v>
      </c>
      <c r="J228" t="n">
        <v>0</v>
      </c>
      <c r="K228" t="n">
        <v>0</v>
      </c>
      <c r="L228" t="n">
        <v>0</v>
      </c>
      <c r="M228" t="n">
        <v>0</v>
      </c>
      <c r="N228" t="n">
        <v>0</v>
      </c>
      <c r="O228" t="n">
        <v>0</v>
      </c>
      <c r="P228" t="n">
        <v>0</v>
      </c>
      <c r="Q228" t="n">
        <v>0</v>
      </c>
      <c r="R228" s="2" t="inlineStr"/>
    </row>
    <row r="229" ht="15" customHeight="1">
      <c r="A229" t="inlineStr">
        <is>
          <t>A 66925-2020</t>
        </is>
      </c>
      <c r="B229" s="1" t="n">
        <v>44176</v>
      </c>
      <c r="C229" s="1" t="n">
        <v>45877</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67938-2020</t>
        </is>
      </c>
      <c r="B230" s="1" t="n">
        <v>44182</v>
      </c>
      <c r="C230" s="1" t="n">
        <v>45877</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68269-2020</t>
        </is>
      </c>
      <c r="B231" s="1" t="n">
        <v>44183</v>
      </c>
      <c r="C231" s="1" t="n">
        <v>45877</v>
      </c>
      <c r="D231" t="inlineStr">
        <is>
          <t>NORRBOTTENS LÄN</t>
        </is>
      </c>
      <c r="E231" t="inlineStr">
        <is>
          <t>LULEÅ</t>
        </is>
      </c>
      <c r="G231" t="n">
        <v>1.8</v>
      </c>
      <c r="H231" t="n">
        <v>0</v>
      </c>
      <c r="I231" t="n">
        <v>0</v>
      </c>
      <c r="J231" t="n">
        <v>0</v>
      </c>
      <c r="K231" t="n">
        <v>0</v>
      </c>
      <c r="L231" t="n">
        <v>0</v>
      </c>
      <c r="M231" t="n">
        <v>0</v>
      </c>
      <c r="N231" t="n">
        <v>0</v>
      </c>
      <c r="O231" t="n">
        <v>0</v>
      </c>
      <c r="P231" t="n">
        <v>0</v>
      </c>
      <c r="Q231" t="n">
        <v>0</v>
      </c>
      <c r="R231" s="2" t="inlineStr"/>
    </row>
    <row r="232" ht="15" customHeight="1">
      <c r="A232" t="inlineStr">
        <is>
          <t>A 68701-2020</t>
        </is>
      </c>
      <c r="B232" s="1" t="n">
        <v>44186</v>
      </c>
      <c r="C232" s="1" t="n">
        <v>45877</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1144-2021</t>
        </is>
      </c>
      <c r="B233" s="1" t="n">
        <v>44207</v>
      </c>
      <c r="C233" s="1" t="n">
        <v>45877</v>
      </c>
      <c r="D233" t="inlineStr">
        <is>
          <t>NORRBOTTENS LÄN</t>
        </is>
      </c>
      <c r="E233" t="inlineStr">
        <is>
          <t>LULEÅ</t>
        </is>
      </c>
      <c r="G233" t="n">
        <v>3.2</v>
      </c>
      <c r="H233" t="n">
        <v>0</v>
      </c>
      <c r="I233" t="n">
        <v>0</v>
      </c>
      <c r="J233" t="n">
        <v>0</v>
      </c>
      <c r="K233" t="n">
        <v>0</v>
      </c>
      <c r="L233" t="n">
        <v>0</v>
      </c>
      <c r="M233" t="n">
        <v>0</v>
      </c>
      <c r="N233" t="n">
        <v>0</v>
      </c>
      <c r="O233" t="n">
        <v>0</v>
      </c>
      <c r="P233" t="n">
        <v>0</v>
      </c>
      <c r="Q233" t="n">
        <v>0</v>
      </c>
      <c r="R233" s="2" t="inlineStr"/>
    </row>
    <row r="234" ht="15" customHeight="1">
      <c r="A234" t="inlineStr">
        <is>
          <t>A 1147-2021</t>
        </is>
      </c>
      <c r="B234" s="1" t="n">
        <v>44207</v>
      </c>
      <c r="C234" s="1" t="n">
        <v>45877</v>
      </c>
      <c r="D234" t="inlineStr">
        <is>
          <t>NORRBOTTENS LÄN</t>
        </is>
      </c>
      <c r="E234" t="inlineStr">
        <is>
          <t>LULEÅ</t>
        </is>
      </c>
      <c r="G234" t="n">
        <v>6.5</v>
      </c>
      <c r="H234" t="n">
        <v>0</v>
      </c>
      <c r="I234" t="n">
        <v>0</v>
      </c>
      <c r="J234" t="n">
        <v>0</v>
      </c>
      <c r="K234" t="n">
        <v>0</v>
      </c>
      <c r="L234" t="n">
        <v>0</v>
      </c>
      <c r="M234" t="n">
        <v>0</v>
      </c>
      <c r="N234" t="n">
        <v>0</v>
      </c>
      <c r="O234" t="n">
        <v>0</v>
      </c>
      <c r="P234" t="n">
        <v>0</v>
      </c>
      <c r="Q234" t="n">
        <v>0</v>
      </c>
      <c r="R234" s="2" t="inlineStr"/>
    </row>
    <row r="235" ht="15" customHeight="1">
      <c r="A235" t="inlineStr">
        <is>
          <t>A 2369-2021</t>
        </is>
      </c>
      <c r="B235" s="1" t="n">
        <v>44211</v>
      </c>
      <c r="C235" s="1" t="n">
        <v>45877</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2385-2021</t>
        </is>
      </c>
      <c r="B236" s="1" t="n">
        <v>44211</v>
      </c>
      <c r="C236" s="1" t="n">
        <v>45877</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2380-2021</t>
        </is>
      </c>
      <c r="B237" s="1" t="n">
        <v>44211</v>
      </c>
      <c r="C237" s="1" t="n">
        <v>45877</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2392-2021</t>
        </is>
      </c>
      <c r="B238" s="1" t="n">
        <v>44211</v>
      </c>
      <c r="C238" s="1" t="n">
        <v>45877</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2403-2021</t>
        </is>
      </c>
      <c r="B239" s="1" t="n">
        <v>44211</v>
      </c>
      <c r="C239" s="1" t="n">
        <v>45877</v>
      </c>
      <c r="D239" t="inlineStr">
        <is>
          <t>NORRBOTTENS LÄN</t>
        </is>
      </c>
      <c r="E239" t="inlineStr">
        <is>
          <t>LULEÅ</t>
        </is>
      </c>
      <c r="G239" t="n">
        <v>0.9</v>
      </c>
      <c r="H239" t="n">
        <v>0</v>
      </c>
      <c r="I239" t="n">
        <v>0</v>
      </c>
      <c r="J239" t="n">
        <v>0</v>
      </c>
      <c r="K239" t="n">
        <v>0</v>
      </c>
      <c r="L239" t="n">
        <v>0</v>
      </c>
      <c r="M239" t="n">
        <v>0</v>
      </c>
      <c r="N239" t="n">
        <v>0</v>
      </c>
      <c r="O239" t="n">
        <v>0</v>
      </c>
      <c r="P239" t="n">
        <v>0</v>
      </c>
      <c r="Q239" t="n">
        <v>0</v>
      </c>
      <c r="R239" s="2" t="inlineStr"/>
    </row>
    <row r="240" ht="15" customHeight="1">
      <c r="A240" t="inlineStr">
        <is>
          <t>A 2397-2021</t>
        </is>
      </c>
      <c r="B240" s="1" t="n">
        <v>44211</v>
      </c>
      <c r="C240" s="1" t="n">
        <v>45877</v>
      </c>
      <c r="D240" t="inlineStr">
        <is>
          <t>NORRBOTTENS LÄN</t>
        </is>
      </c>
      <c r="E240" t="inlineStr">
        <is>
          <t>LULEÅ</t>
        </is>
      </c>
      <c r="G240" t="n">
        <v>2.3</v>
      </c>
      <c r="H240" t="n">
        <v>0</v>
      </c>
      <c r="I240" t="n">
        <v>0</v>
      </c>
      <c r="J240" t="n">
        <v>0</v>
      </c>
      <c r="K240" t="n">
        <v>0</v>
      </c>
      <c r="L240" t="n">
        <v>0</v>
      </c>
      <c r="M240" t="n">
        <v>0</v>
      </c>
      <c r="N240" t="n">
        <v>0</v>
      </c>
      <c r="O240" t="n">
        <v>0</v>
      </c>
      <c r="P240" t="n">
        <v>0</v>
      </c>
      <c r="Q240" t="n">
        <v>0</v>
      </c>
      <c r="R240" s="2" t="inlineStr"/>
    </row>
    <row r="241" ht="15" customHeight="1">
      <c r="A241" t="inlineStr">
        <is>
          <t>A 5559-2021</t>
        </is>
      </c>
      <c r="B241" s="1" t="n">
        <v>44229</v>
      </c>
      <c r="C241" s="1" t="n">
        <v>45877</v>
      </c>
      <c r="D241" t="inlineStr">
        <is>
          <t>NORRBOTTENS LÄN</t>
        </is>
      </c>
      <c r="E241" t="inlineStr">
        <is>
          <t>LULEÅ</t>
        </is>
      </c>
      <c r="G241" t="n">
        <v>1.3</v>
      </c>
      <c r="H241" t="n">
        <v>0</v>
      </c>
      <c r="I241" t="n">
        <v>0</v>
      </c>
      <c r="J241" t="n">
        <v>0</v>
      </c>
      <c r="K241" t="n">
        <v>0</v>
      </c>
      <c r="L241" t="n">
        <v>0</v>
      </c>
      <c r="M241" t="n">
        <v>0</v>
      </c>
      <c r="N241" t="n">
        <v>0</v>
      </c>
      <c r="O241" t="n">
        <v>0</v>
      </c>
      <c r="P241" t="n">
        <v>0</v>
      </c>
      <c r="Q241" t="n">
        <v>0</v>
      </c>
      <c r="R241" s="2" t="inlineStr"/>
    </row>
    <row r="242" ht="15" customHeight="1">
      <c r="A242" t="inlineStr">
        <is>
          <t>A 6018-2021</t>
        </is>
      </c>
      <c r="B242" s="1" t="n">
        <v>44231</v>
      </c>
      <c r="C242" s="1" t="n">
        <v>45877</v>
      </c>
      <c r="D242" t="inlineStr">
        <is>
          <t>NORRBOTTENS LÄN</t>
        </is>
      </c>
      <c r="E242" t="inlineStr">
        <is>
          <t>LULEÅ</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6488-2021</t>
        </is>
      </c>
      <c r="B243" s="1" t="n">
        <v>44235</v>
      </c>
      <c r="C243" s="1" t="n">
        <v>45877</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7421-2021</t>
        </is>
      </c>
      <c r="B244" s="1" t="n">
        <v>44239</v>
      </c>
      <c r="C244" s="1" t="n">
        <v>45877</v>
      </c>
      <c r="D244" t="inlineStr">
        <is>
          <t>NORRBOTTENS LÄN</t>
        </is>
      </c>
      <c r="E244" t="inlineStr">
        <is>
          <t>LULEÅ</t>
        </is>
      </c>
      <c r="G244" t="n">
        <v>0.8</v>
      </c>
      <c r="H244" t="n">
        <v>0</v>
      </c>
      <c r="I244" t="n">
        <v>0</v>
      </c>
      <c r="J244" t="n">
        <v>0</v>
      </c>
      <c r="K244" t="n">
        <v>0</v>
      </c>
      <c r="L244" t="n">
        <v>0</v>
      </c>
      <c r="M244" t="n">
        <v>0</v>
      </c>
      <c r="N244" t="n">
        <v>0</v>
      </c>
      <c r="O244" t="n">
        <v>0</v>
      </c>
      <c r="P244" t="n">
        <v>0</v>
      </c>
      <c r="Q244" t="n">
        <v>0</v>
      </c>
      <c r="R244" s="2" t="inlineStr"/>
    </row>
    <row r="245" ht="15" customHeight="1">
      <c r="A245" t="inlineStr">
        <is>
          <t>A 7417-2021</t>
        </is>
      </c>
      <c r="B245" s="1" t="n">
        <v>44239</v>
      </c>
      <c r="C245" s="1" t="n">
        <v>45877</v>
      </c>
      <c r="D245" t="inlineStr">
        <is>
          <t>NORRBOTTENS LÄN</t>
        </is>
      </c>
      <c r="E245" t="inlineStr">
        <is>
          <t>LULEÅ</t>
        </is>
      </c>
      <c r="G245" t="n">
        <v>2.2</v>
      </c>
      <c r="H245" t="n">
        <v>0</v>
      </c>
      <c r="I245" t="n">
        <v>0</v>
      </c>
      <c r="J245" t="n">
        <v>0</v>
      </c>
      <c r="K245" t="n">
        <v>0</v>
      </c>
      <c r="L245" t="n">
        <v>0</v>
      </c>
      <c r="M245" t="n">
        <v>0</v>
      </c>
      <c r="N245" t="n">
        <v>0</v>
      </c>
      <c r="O245" t="n">
        <v>0</v>
      </c>
      <c r="P245" t="n">
        <v>0</v>
      </c>
      <c r="Q245" t="n">
        <v>0</v>
      </c>
      <c r="R245" s="2" t="inlineStr"/>
    </row>
    <row r="246" ht="15" customHeight="1">
      <c r="A246" t="inlineStr">
        <is>
          <t>A 7429-2021</t>
        </is>
      </c>
      <c r="B246" s="1" t="n">
        <v>44239</v>
      </c>
      <c r="C246" s="1" t="n">
        <v>45877</v>
      </c>
      <c r="D246" t="inlineStr">
        <is>
          <t>NORRBOTTENS LÄN</t>
        </is>
      </c>
      <c r="E246" t="inlineStr">
        <is>
          <t>LULEÅ</t>
        </is>
      </c>
      <c r="G246" t="n">
        <v>3.4</v>
      </c>
      <c r="H246" t="n">
        <v>0</v>
      </c>
      <c r="I246" t="n">
        <v>0</v>
      </c>
      <c r="J246" t="n">
        <v>0</v>
      </c>
      <c r="K246" t="n">
        <v>0</v>
      </c>
      <c r="L246" t="n">
        <v>0</v>
      </c>
      <c r="M246" t="n">
        <v>0</v>
      </c>
      <c r="N246" t="n">
        <v>0</v>
      </c>
      <c r="O246" t="n">
        <v>0</v>
      </c>
      <c r="P246" t="n">
        <v>0</v>
      </c>
      <c r="Q246" t="n">
        <v>0</v>
      </c>
      <c r="R246" s="2" t="inlineStr"/>
    </row>
    <row r="247" ht="15" customHeight="1">
      <c r="A247" t="inlineStr">
        <is>
          <t>A 7468-2021</t>
        </is>
      </c>
      <c r="B247" s="1" t="n">
        <v>44239</v>
      </c>
      <c r="C247" s="1" t="n">
        <v>45877</v>
      </c>
      <c r="D247" t="inlineStr">
        <is>
          <t>NORRBOTTENS LÄN</t>
        </is>
      </c>
      <c r="E247" t="inlineStr">
        <is>
          <t>LULEÅ</t>
        </is>
      </c>
      <c r="G247" t="n">
        <v>4.1</v>
      </c>
      <c r="H247" t="n">
        <v>0</v>
      </c>
      <c r="I247" t="n">
        <v>0</v>
      </c>
      <c r="J247" t="n">
        <v>0</v>
      </c>
      <c r="K247" t="n">
        <v>0</v>
      </c>
      <c r="L247" t="n">
        <v>0</v>
      </c>
      <c r="M247" t="n">
        <v>0</v>
      </c>
      <c r="N247" t="n">
        <v>0</v>
      </c>
      <c r="O247" t="n">
        <v>0</v>
      </c>
      <c r="P247" t="n">
        <v>0</v>
      </c>
      <c r="Q247" t="n">
        <v>0</v>
      </c>
      <c r="R247" s="2" t="inlineStr"/>
    </row>
    <row r="248" ht="15" customHeight="1">
      <c r="A248" t="inlineStr">
        <is>
          <t>A 7726-2021</t>
        </is>
      </c>
      <c r="B248" s="1" t="n">
        <v>44239</v>
      </c>
      <c r="C248" s="1" t="n">
        <v>45877</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8164-2021</t>
        </is>
      </c>
      <c r="B249" s="1" t="n">
        <v>44243</v>
      </c>
      <c r="C249" s="1" t="n">
        <v>45877</v>
      </c>
      <c r="D249" t="inlineStr">
        <is>
          <t>NORRBOTTENS LÄN</t>
        </is>
      </c>
      <c r="E249" t="inlineStr">
        <is>
          <t>LULEÅ</t>
        </is>
      </c>
      <c r="G249" t="n">
        <v>5.4</v>
      </c>
      <c r="H249" t="n">
        <v>0</v>
      </c>
      <c r="I249" t="n">
        <v>0</v>
      </c>
      <c r="J249" t="n">
        <v>0</v>
      </c>
      <c r="K249" t="n">
        <v>0</v>
      </c>
      <c r="L249" t="n">
        <v>0</v>
      </c>
      <c r="M249" t="n">
        <v>0</v>
      </c>
      <c r="N249" t="n">
        <v>0</v>
      </c>
      <c r="O249" t="n">
        <v>0</v>
      </c>
      <c r="P249" t="n">
        <v>0</v>
      </c>
      <c r="Q249" t="n">
        <v>0</v>
      </c>
      <c r="R249" s="2" t="inlineStr"/>
    </row>
    <row r="250" ht="15" customHeight="1">
      <c r="A250" t="inlineStr">
        <is>
          <t>A 7956-2021</t>
        </is>
      </c>
      <c r="B250" s="1" t="n">
        <v>44243</v>
      </c>
      <c r="C250" s="1" t="n">
        <v>45877</v>
      </c>
      <c r="D250" t="inlineStr">
        <is>
          <t>NORRBOTTENS LÄN</t>
        </is>
      </c>
      <c r="E250" t="inlineStr">
        <is>
          <t>LULEÅ</t>
        </is>
      </c>
      <c r="G250" t="n">
        <v>4.3</v>
      </c>
      <c r="H250" t="n">
        <v>0</v>
      </c>
      <c r="I250" t="n">
        <v>0</v>
      </c>
      <c r="J250" t="n">
        <v>0</v>
      </c>
      <c r="K250" t="n">
        <v>0</v>
      </c>
      <c r="L250" t="n">
        <v>0</v>
      </c>
      <c r="M250" t="n">
        <v>0</v>
      </c>
      <c r="N250" t="n">
        <v>0</v>
      </c>
      <c r="O250" t="n">
        <v>0</v>
      </c>
      <c r="P250" t="n">
        <v>0</v>
      </c>
      <c r="Q250" t="n">
        <v>0</v>
      </c>
      <c r="R250" s="2" t="inlineStr"/>
    </row>
    <row r="251" ht="15" customHeight="1">
      <c r="A251" t="inlineStr">
        <is>
          <t>A 8161-2021</t>
        </is>
      </c>
      <c r="B251" s="1" t="n">
        <v>44243</v>
      </c>
      <c r="C251" s="1" t="n">
        <v>45877</v>
      </c>
      <c r="D251" t="inlineStr">
        <is>
          <t>NORRBOTTENS LÄN</t>
        </is>
      </c>
      <c r="E251" t="inlineStr">
        <is>
          <t>LULEÅ</t>
        </is>
      </c>
      <c r="G251" t="n">
        <v>3.2</v>
      </c>
      <c r="H251" t="n">
        <v>0</v>
      </c>
      <c r="I251" t="n">
        <v>0</v>
      </c>
      <c r="J251" t="n">
        <v>0</v>
      </c>
      <c r="K251" t="n">
        <v>0</v>
      </c>
      <c r="L251" t="n">
        <v>0</v>
      </c>
      <c r="M251" t="n">
        <v>0</v>
      </c>
      <c r="N251" t="n">
        <v>0</v>
      </c>
      <c r="O251" t="n">
        <v>0</v>
      </c>
      <c r="P251" t="n">
        <v>0</v>
      </c>
      <c r="Q251" t="n">
        <v>0</v>
      </c>
      <c r="R251" s="2" t="inlineStr"/>
    </row>
    <row r="252" ht="15" customHeight="1">
      <c r="A252" t="inlineStr">
        <is>
          <t>A 8834-2021</t>
        </is>
      </c>
      <c r="B252" s="1" t="n">
        <v>44245</v>
      </c>
      <c r="C252" s="1" t="n">
        <v>45877</v>
      </c>
      <c r="D252" t="inlineStr">
        <is>
          <t>NORRBOTTENS LÄN</t>
        </is>
      </c>
      <c r="E252" t="inlineStr">
        <is>
          <t>LULEÅ</t>
        </is>
      </c>
      <c r="G252" t="n">
        <v>7.7</v>
      </c>
      <c r="H252" t="n">
        <v>0</v>
      </c>
      <c r="I252" t="n">
        <v>0</v>
      </c>
      <c r="J252" t="n">
        <v>0</v>
      </c>
      <c r="K252" t="n">
        <v>0</v>
      </c>
      <c r="L252" t="n">
        <v>0</v>
      </c>
      <c r="M252" t="n">
        <v>0</v>
      </c>
      <c r="N252" t="n">
        <v>0</v>
      </c>
      <c r="O252" t="n">
        <v>0</v>
      </c>
      <c r="P252" t="n">
        <v>0</v>
      </c>
      <c r="Q252" t="n">
        <v>0</v>
      </c>
      <c r="R252" s="2" t="inlineStr"/>
    </row>
    <row r="253" ht="15" customHeight="1">
      <c r="A253" t="inlineStr">
        <is>
          <t>A 10951-2021</t>
        </is>
      </c>
      <c r="B253" s="1" t="n">
        <v>44259</v>
      </c>
      <c r="C253" s="1" t="n">
        <v>45877</v>
      </c>
      <c r="D253" t="inlineStr">
        <is>
          <t>NORRBOTTENS LÄN</t>
        </is>
      </c>
      <c r="E253" t="inlineStr">
        <is>
          <t>LULEÅ</t>
        </is>
      </c>
      <c r="G253" t="n">
        <v>10.7</v>
      </c>
      <c r="H253" t="n">
        <v>0</v>
      </c>
      <c r="I253" t="n">
        <v>0</v>
      </c>
      <c r="J253" t="n">
        <v>0</v>
      </c>
      <c r="K253" t="n">
        <v>0</v>
      </c>
      <c r="L253" t="n">
        <v>0</v>
      </c>
      <c r="M253" t="n">
        <v>0</v>
      </c>
      <c r="N253" t="n">
        <v>0</v>
      </c>
      <c r="O253" t="n">
        <v>0</v>
      </c>
      <c r="P253" t="n">
        <v>0</v>
      </c>
      <c r="Q253" t="n">
        <v>0</v>
      </c>
      <c r="R253" s="2" t="inlineStr"/>
    </row>
    <row r="254" ht="15" customHeight="1">
      <c r="A254" t="inlineStr">
        <is>
          <t>A 11242-2021</t>
        </is>
      </c>
      <c r="B254" s="1" t="n">
        <v>44263</v>
      </c>
      <c r="C254" s="1" t="n">
        <v>45877</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11734-2021</t>
        </is>
      </c>
      <c r="B255" s="1" t="n">
        <v>44264</v>
      </c>
      <c r="C255" s="1" t="n">
        <v>45877</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11848-2021</t>
        </is>
      </c>
      <c r="B256" s="1" t="n">
        <v>44264</v>
      </c>
      <c r="C256" s="1" t="n">
        <v>45877</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11847-2021</t>
        </is>
      </c>
      <c r="B257" s="1" t="n">
        <v>44264</v>
      </c>
      <c r="C257" s="1" t="n">
        <v>45877</v>
      </c>
      <c r="D257" t="inlineStr">
        <is>
          <t>NORRBOTTENS LÄN</t>
        </is>
      </c>
      <c r="E257" t="inlineStr">
        <is>
          <t>LULEÅ</t>
        </is>
      </c>
      <c r="G257" t="n">
        <v>1.7</v>
      </c>
      <c r="H257" t="n">
        <v>0</v>
      </c>
      <c r="I257" t="n">
        <v>0</v>
      </c>
      <c r="J257" t="n">
        <v>0</v>
      </c>
      <c r="K257" t="n">
        <v>0</v>
      </c>
      <c r="L257" t="n">
        <v>0</v>
      </c>
      <c r="M257" t="n">
        <v>0</v>
      </c>
      <c r="N257" t="n">
        <v>0</v>
      </c>
      <c r="O257" t="n">
        <v>0</v>
      </c>
      <c r="P257" t="n">
        <v>0</v>
      </c>
      <c r="Q257" t="n">
        <v>0</v>
      </c>
      <c r="R257" s="2" t="inlineStr"/>
    </row>
    <row r="258" ht="15" customHeight="1">
      <c r="A258" t="inlineStr">
        <is>
          <t>A 13248-2021</t>
        </is>
      </c>
      <c r="B258" s="1" t="n">
        <v>44272</v>
      </c>
      <c r="C258" s="1" t="n">
        <v>45877</v>
      </c>
      <c r="D258" t="inlineStr">
        <is>
          <t>NORRBOTTENS LÄN</t>
        </is>
      </c>
      <c r="E258" t="inlineStr">
        <is>
          <t>LULEÅ</t>
        </is>
      </c>
      <c r="G258" t="n">
        <v>9.9</v>
      </c>
      <c r="H258" t="n">
        <v>0</v>
      </c>
      <c r="I258" t="n">
        <v>0</v>
      </c>
      <c r="J258" t="n">
        <v>0</v>
      </c>
      <c r="K258" t="n">
        <v>0</v>
      </c>
      <c r="L258" t="n">
        <v>0</v>
      </c>
      <c r="M258" t="n">
        <v>0</v>
      </c>
      <c r="N258" t="n">
        <v>0</v>
      </c>
      <c r="O258" t="n">
        <v>0</v>
      </c>
      <c r="P258" t="n">
        <v>0</v>
      </c>
      <c r="Q258" t="n">
        <v>0</v>
      </c>
      <c r="R258" s="2" t="inlineStr"/>
    </row>
    <row r="259" ht="15" customHeight="1">
      <c r="A259" t="inlineStr">
        <is>
          <t>A 14891-2021</t>
        </is>
      </c>
      <c r="B259" s="1" t="n">
        <v>44280</v>
      </c>
      <c r="C259" s="1" t="n">
        <v>45877</v>
      </c>
      <c r="D259" t="inlineStr">
        <is>
          <t>NORRBOTTENS LÄN</t>
        </is>
      </c>
      <c r="E259" t="inlineStr">
        <is>
          <t>LULEÅ</t>
        </is>
      </c>
      <c r="G259" t="n">
        <v>0.3</v>
      </c>
      <c r="H259" t="n">
        <v>0</v>
      </c>
      <c r="I259" t="n">
        <v>0</v>
      </c>
      <c r="J259" t="n">
        <v>0</v>
      </c>
      <c r="K259" t="n">
        <v>0</v>
      </c>
      <c r="L259" t="n">
        <v>0</v>
      </c>
      <c r="M259" t="n">
        <v>0</v>
      </c>
      <c r="N259" t="n">
        <v>0</v>
      </c>
      <c r="O259" t="n">
        <v>0</v>
      </c>
      <c r="P259" t="n">
        <v>0</v>
      </c>
      <c r="Q259" t="n">
        <v>0</v>
      </c>
      <c r="R259" s="2" t="inlineStr"/>
    </row>
    <row r="260" ht="15" customHeight="1">
      <c r="A260" t="inlineStr">
        <is>
          <t>A 14886-2021</t>
        </is>
      </c>
      <c r="B260" s="1" t="n">
        <v>44280</v>
      </c>
      <c r="C260" s="1" t="n">
        <v>45877</v>
      </c>
      <c r="D260" t="inlineStr">
        <is>
          <t>NORRBOTTENS LÄN</t>
        </is>
      </c>
      <c r="E260" t="inlineStr">
        <is>
          <t>LULEÅ</t>
        </is>
      </c>
      <c r="G260" t="n">
        <v>0.6</v>
      </c>
      <c r="H260" t="n">
        <v>0</v>
      </c>
      <c r="I260" t="n">
        <v>0</v>
      </c>
      <c r="J260" t="n">
        <v>0</v>
      </c>
      <c r="K260" t="n">
        <v>0</v>
      </c>
      <c r="L260" t="n">
        <v>0</v>
      </c>
      <c r="M260" t="n">
        <v>0</v>
      </c>
      <c r="N260" t="n">
        <v>0</v>
      </c>
      <c r="O260" t="n">
        <v>0</v>
      </c>
      <c r="P260" t="n">
        <v>0</v>
      </c>
      <c r="Q260" t="n">
        <v>0</v>
      </c>
      <c r="R260" s="2" t="inlineStr"/>
    </row>
    <row r="261" ht="15" customHeight="1">
      <c r="A261" t="inlineStr">
        <is>
          <t>A 20723-2021</t>
        </is>
      </c>
      <c r="B261" s="1" t="n">
        <v>44316</v>
      </c>
      <c r="C261" s="1" t="n">
        <v>45877</v>
      </c>
      <c r="D261" t="inlineStr">
        <is>
          <t>NORRBOTTENS LÄN</t>
        </is>
      </c>
      <c r="E261" t="inlineStr">
        <is>
          <t>LULEÅ</t>
        </is>
      </c>
      <c r="G261" t="n">
        <v>7</v>
      </c>
      <c r="H261" t="n">
        <v>0</v>
      </c>
      <c r="I261" t="n">
        <v>0</v>
      </c>
      <c r="J261" t="n">
        <v>0</v>
      </c>
      <c r="K261" t="n">
        <v>0</v>
      </c>
      <c r="L261" t="n">
        <v>0</v>
      </c>
      <c r="M261" t="n">
        <v>0</v>
      </c>
      <c r="N261" t="n">
        <v>0</v>
      </c>
      <c r="O261" t="n">
        <v>0</v>
      </c>
      <c r="P261" t="n">
        <v>0</v>
      </c>
      <c r="Q261" t="n">
        <v>0</v>
      </c>
      <c r="R261" s="2" t="inlineStr"/>
    </row>
    <row r="262" ht="15" customHeight="1">
      <c r="A262" t="inlineStr">
        <is>
          <t>A 22364-2021</t>
        </is>
      </c>
      <c r="B262" s="1" t="n">
        <v>44322</v>
      </c>
      <c r="C262" s="1" t="n">
        <v>45877</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22656-2021</t>
        </is>
      </c>
      <c r="B263" s="1" t="n">
        <v>44327</v>
      </c>
      <c r="C263" s="1" t="n">
        <v>45877</v>
      </c>
      <c r="D263" t="inlineStr">
        <is>
          <t>NORRBOTTENS LÄN</t>
        </is>
      </c>
      <c r="E263" t="inlineStr">
        <is>
          <t>LULEÅ</t>
        </is>
      </c>
      <c r="G263" t="n">
        <v>7.1</v>
      </c>
      <c r="H263" t="n">
        <v>0</v>
      </c>
      <c r="I263" t="n">
        <v>0</v>
      </c>
      <c r="J263" t="n">
        <v>0</v>
      </c>
      <c r="K263" t="n">
        <v>0</v>
      </c>
      <c r="L263" t="n">
        <v>0</v>
      </c>
      <c r="M263" t="n">
        <v>0</v>
      </c>
      <c r="N263" t="n">
        <v>0</v>
      </c>
      <c r="O263" t="n">
        <v>0</v>
      </c>
      <c r="P263" t="n">
        <v>0</v>
      </c>
      <c r="Q263" t="n">
        <v>0</v>
      </c>
      <c r="R263" s="2" t="inlineStr"/>
    </row>
    <row r="264" ht="15" customHeight="1">
      <c r="A264" t="inlineStr">
        <is>
          <t>A 23471-2021</t>
        </is>
      </c>
      <c r="B264" s="1" t="n">
        <v>44334</v>
      </c>
      <c r="C264" s="1" t="n">
        <v>45877</v>
      </c>
      <c r="D264" t="inlineStr">
        <is>
          <t>NORRBOTTENS LÄN</t>
        </is>
      </c>
      <c r="E264" t="inlineStr">
        <is>
          <t>LULEÅ</t>
        </is>
      </c>
      <c r="G264" t="n">
        <v>2.7</v>
      </c>
      <c r="H264" t="n">
        <v>0</v>
      </c>
      <c r="I264" t="n">
        <v>0</v>
      </c>
      <c r="J264" t="n">
        <v>0</v>
      </c>
      <c r="K264" t="n">
        <v>0</v>
      </c>
      <c r="L264" t="n">
        <v>0</v>
      </c>
      <c r="M264" t="n">
        <v>0</v>
      </c>
      <c r="N264" t="n">
        <v>0</v>
      </c>
      <c r="O264" t="n">
        <v>0</v>
      </c>
      <c r="P264" t="n">
        <v>0</v>
      </c>
      <c r="Q264" t="n">
        <v>0</v>
      </c>
      <c r="R264" s="2" t="inlineStr"/>
    </row>
    <row r="265" ht="15" customHeight="1">
      <c r="A265" t="inlineStr">
        <is>
          <t>A 23632-2021</t>
        </is>
      </c>
      <c r="B265" s="1" t="n">
        <v>44334</v>
      </c>
      <c r="C265" s="1" t="n">
        <v>45877</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24453-2021</t>
        </is>
      </c>
      <c r="B266" s="1" t="n">
        <v>44337</v>
      </c>
      <c r="C266" s="1" t="n">
        <v>45877</v>
      </c>
      <c r="D266" t="inlineStr">
        <is>
          <t>NORRBOTTENS LÄN</t>
        </is>
      </c>
      <c r="E266" t="inlineStr">
        <is>
          <t>LULEÅ</t>
        </is>
      </c>
      <c r="G266" t="n">
        <v>2.3</v>
      </c>
      <c r="H266" t="n">
        <v>0</v>
      </c>
      <c r="I266" t="n">
        <v>0</v>
      </c>
      <c r="J266" t="n">
        <v>0</v>
      </c>
      <c r="K266" t="n">
        <v>0</v>
      </c>
      <c r="L266" t="n">
        <v>0</v>
      </c>
      <c r="M266" t="n">
        <v>0</v>
      </c>
      <c r="N266" t="n">
        <v>0</v>
      </c>
      <c r="O266" t="n">
        <v>0</v>
      </c>
      <c r="P266" t="n">
        <v>0</v>
      </c>
      <c r="Q266" t="n">
        <v>0</v>
      </c>
      <c r="R266" s="2" t="inlineStr"/>
    </row>
    <row r="267" ht="15" customHeight="1">
      <c r="A267" t="inlineStr">
        <is>
          <t>A 25812-2021</t>
        </is>
      </c>
      <c r="B267" s="1" t="n">
        <v>44343</v>
      </c>
      <c r="C267" s="1" t="n">
        <v>45877</v>
      </c>
      <c r="D267" t="inlineStr">
        <is>
          <t>NORRBOTTENS LÄN</t>
        </is>
      </c>
      <c r="E267" t="inlineStr">
        <is>
          <t>LULEÅ</t>
        </is>
      </c>
      <c r="F267" t="inlineStr">
        <is>
          <t>SCA</t>
        </is>
      </c>
      <c r="G267" t="n">
        <v>23.2</v>
      </c>
      <c r="H267" t="n">
        <v>0</v>
      </c>
      <c r="I267" t="n">
        <v>0</v>
      </c>
      <c r="J267" t="n">
        <v>0</v>
      </c>
      <c r="K267" t="n">
        <v>0</v>
      </c>
      <c r="L267" t="n">
        <v>0</v>
      </c>
      <c r="M267" t="n">
        <v>0</v>
      </c>
      <c r="N267" t="n">
        <v>0</v>
      </c>
      <c r="O267" t="n">
        <v>0</v>
      </c>
      <c r="P267" t="n">
        <v>0</v>
      </c>
      <c r="Q267" t="n">
        <v>0</v>
      </c>
      <c r="R267" s="2" t="inlineStr"/>
    </row>
    <row r="268" ht="15" customHeight="1">
      <c r="A268" t="inlineStr">
        <is>
          <t>A 26234-2021</t>
        </is>
      </c>
      <c r="B268" s="1" t="n">
        <v>44347</v>
      </c>
      <c r="C268" s="1" t="n">
        <v>45877</v>
      </c>
      <c r="D268" t="inlineStr">
        <is>
          <t>NORRBOTTENS LÄN</t>
        </is>
      </c>
      <c r="E268" t="inlineStr">
        <is>
          <t>LULEÅ</t>
        </is>
      </c>
      <c r="G268" t="n">
        <v>2.4</v>
      </c>
      <c r="H268" t="n">
        <v>0</v>
      </c>
      <c r="I268" t="n">
        <v>0</v>
      </c>
      <c r="J268" t="n">
        <v>0</v>
      </c>
      <c r="K268" t="n">
        <v>0</v>
      </c>
      <c r="L268" t="n">
        <v>0</v>
      </c>
      <c r="M268" t="n">
        <v>0</v>
      </c>
      <c r="N268" t="n">
        <v>0</v>
      </c>
      <c r="O268" t="n">
        <v>0</v>
      </c>
      <c r="P268" t="n">
        <v>0</v>
      </c>
      <c r="Q268" t="n">
        <v>0</v>
      </c>
      <c r="R268" s="2" t="inlineStr"/>
    </row>
    <row r="269" ht="15" customHeight="1">
      <c r="A269" t="inlineStr">
        <is>
          <t>A 29730-2021</t>
        </is>
      </c>
      <c r="B269" s="1" t="n">
        <v>44362</v>
      </c>
      <c r="C269" s="1" t="n">
        <v>45877</v>
      </c>
      <c r="D269" t="inlineStr">
        <is>
          <t>NORRBOTTENS LÄN</t>
        </is>
      </c>
      <c r="E269" t="inlineStr">
        <is>
          <t>LULEÅ</t>
        </is>
      </c>
      <c r="F269" t="inlineStr">
        <is>
          <t>Kyrkan</t>
        </is>
      </c>
      <c r="G269" t="n">
        <v>1.5</v>
      </c>
      <c r="H269" t="n">
        <v>0</v>
      </c>
      <c r="I269" t="n">
        <v>0</v>
      </c>
      <c r="J269" t="n">
        <v>0</v>
      </c>
      <c r="K269" t="n">
        <v>0</v>
      </c>
      <c r="L269" t="n">
        <v>0</v>
      </c>
      <c r="M269" t="n">
        <v>0</v>
      </c>
      <c r="N269" t="n">
        <v>0</v>
      </c>
      <c r="O269" t="n">
        <v>0</v>
      </c>
      <c r="P269" t="n">
        <v>0</v>
      </c>
      <c r="Q269" t="n">
        <v>0</v>
      </c>
      <c r="R269" s="2" t="inlineStr"/>
    </row>
    <row r="270" ht="15" customHeight="1">
      <c r="A270" t="inlineStr">
        <is>
          <t>A 30027-2021</t>
        </is>
      </c>
      <c r="B270" s="1" t="n">
        <v>44363</v>
      </c>
      <c r="C270" s="1" t="n">
        <v>45877</v>
      </c>
      <c r="D270" t="inlineStr">
        <is>
          <t>NORRBOTTENS LÄN</t>
        </is>
      </c>
      <c r="E270" t="inlineStr">
        <is>
          <t>LULEÅ</t>
        </is>
      </c>
      <c r="G270" t="n">
        <v>5.8</v>
      </c>
      <c r="H270" t="n">
        <v>0</v>
      </c>
      <c r="I270" t="n">
        <v>0</v>
      </c>
      <c r="J270" t="n">
        <v>0</v>
      </c>
      <c r="K270" t="n">
        <v>0</v>
      </c>
      <c r="L270" t="n">
        <v>0</v>
      </c>
      <c r="M270" t="n">
        <v>0</v>
      </c>
      <c r="N270" t="n">
        <v>0</v>
      </c>
      <c r="O270" t="n">
        <v>0</v>
      </c>
      <c r="P270" t="n">
        <v>0</v>
      </c>
      <c r="Q270" t="n">
        <v>0</v>
      </c>
      <c r="R270" s="2" t="inlineStr"/>
    </row>
    <row r="271" ht="15" customHeight="1">
      <c r="A271" t="inlineStr">
        <is>
          <t>A 32378-2021</t>
        </is>
      </c>
      <c r="B271" s="1" t="n">
        <v>44371</v>
      </c>
      <c r="C271" s="1" t="n">
        <v>45877</v>
      </c>
      <c r="D271" t="inlineStr">
        <is>
          <t>NORRBOTTENS LÄN</t>
        </is>
      </c>
      <c r="E271" t="inlineStr">
        <is>
          <t>LULEÅ</t>
        </is>
      </c>
      <c r="F271" t="inlineStr">
        <is>
          <t>Sveaskog</t>
        </is>
      </c>
      <c r="G271" t="n">
        <v>0.2</v>
      </c>
      <c r="H271" t="n">
        <v>0</v>
      </c>
      <c r="I271" t="n">
        <v>0</v>
      </c>
      <c r="J271" t="n">
        <v>0</v>
      </c>
      <c r="K271" t="n">
        <v>0</v>
      </c>
      <c r="L271" t="n">
        <v>0</v>
      </c>
      <c r="M271" t="n">
        <v>0</v>
      </c>
      <c r="N271" t="n">
        <v>0</v>
      </c>
      <c r="O271" t="n">
        <v>0</v>
      </c>
      <c r="P271" t="n">
        <v>0</v>
      </c>
      <c r="Q271" t="n">
        <v>0</v>
      </c>
      <c r="R271" s="2" t="inlineStr"/>
    </row>
    <row r="272" ht="15" customHeight="1">
      <c r="A272" t="inlineStr">
        <is>
          <t>A 32381-2021</t>
        </is>
      </c>
      <c r="B272" s="1" t="n">
        <v>44371</v>
      </c>
      <c r="C272" s="1" t="n">
        <v>45877</v>
      </c>
      <c r="D272" t="inlineStr">
        <is>
          <t>NORRBOTTENS LÄN</t>
        </is>
      </c>
      <c r="E272" t="inlineStr">
        <is>
          <t>LULEÅ</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33147-2021</t>
        </is>
      </c>
      <c r="B273" s="1" t="n">
        <v>44376</v>
      </c>
      <c r="C273" s="1" t="n">
        <v>45877</v>
      </c>
      <c r="D273" t="inlineStr">
        <is>
          <t>NORRBOTTENS LÄN</t>
        </is>
      </c>
      <c r="E273" t="inlineStr">
        <is>
          <t>LULEÅ</t>
        </is>
      </c>
      <c r="F273" t="inlineStr">
        <is>
          <t>Sveaskog</t>
        </is>
      </c>
      <c r="G273" t="n">
        <v>24.6</v>
      </c>
      <c r="H273" t="n">
        <v>0</v>
      </c>
      <c r="I273" t="n">
        <v>0</v>
      </c>
      <c r="J273" t="n">
        <v>0</v>
      </c>
      <c r="K273" t="n">
        <v>0</v>
      </c>
      <c r="L273" t="n">
        <v>0</v>
      </c>
      <c r="M273" t="n">
        <v>0</v>
      </c>
      <c r="N273" t="n">
        <v>0</v>
      </c>
      <c r="O273" t="n">
        <v>0</v>
      </c>
      <c r="P273" t="n">
        <v>0</v>
      </c>
      <c r="Q273" t="n">
        <v>0</v>
      </c>
      <c r="R273" s="2" t="inlineStr"/>
    </row>
    <row r="274" ht="15" customHeight="1">
      <c r="A274" t="inlineStr">
        <is>
          <t>A 33148-2021</t>
        </is>
      </c>
      <c r="B274" s="1" t="n">
        <v>44376</v>
      </c>
      <c r="C274" s="1" t="n">
        <v>45877</v>
      </c>
      <c r="D274" t="inlineStr">
        <is>
          <t>NORRBOTTENS LÄN</t>
        </is>
      </c>
      <c r="E274" t="inlineStr">
        <is>
          <t>LULEÅ</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34495-2021</t>
        </is>
      </c>
      <c r="B275" s="1" t="n">
        <v>44379</v>
      </c>
      <c r="C275" s="1" t="n">
        <v>45877</v>
      </c>
      <c r="D275" t="inlineStr">
        <is>
          <t>NORRBOTTENS LÄN</t>
        </is>
      </c>
      <c r="E275" t="inlineStr">
        <is>
          <t>LULEÅ</t>
        </is>
      </c>
      <c r="G275" t="n">
        <v>2</v>
      </c>
      <c r="H275" t="n">
        <v>0</v>
      </c>
      <c r="I275" t="n">
        <v>0</v>
      </c>
      <c r="J275" t="n">
        <v>0</v>
      </c>
      <c r="K275" t="n">
        <v>0</v>
      </c>
      <c r="L275" t="n">
        <v>0</v>
      </c>
      <c r="M275" t="n">
        <v>0</v>
      </c>
      <c r="N275" t="n">
        <v>0</v>
      </c>
      <c r="O275" t="n">
        <v>0</v>
      </c>
      <c r="P275" t="n">
        <v>0</v>
      </c>
      <c r="Q275" t="n">
        <v>0</v>
      </c>
      <c r="R275" s="2" t="inlineStr"/>
    </row>
    <row r="276" ht="15" customHeight="1">
      <c r="A276" t="inlineStr">
        <is>
          <t>A 35249-2021</t>
        </is>
      </c>
      <c r="B276" s="1" t="n">
        <v>44384</v>
      </c>
      <c r="C276" s="1" t="n">
        <v>45877</v>
      </c>
      <c r="D276" t="inlineStr">
        <is>
          <t>NORRBOTTENS LÄN</t>
        </is>
      </c>
      <c r="E276" t="inlineStr">
        <is>
          <t>LULEÅ</t>
        </is>
      </c>
      <c r="G276" t="n">
        <v>2.4</v>
      </c>
      <c r="H276" t="n">
        <v>0</v>
      </c>
      <c r="I276" t="n">
        <v>0</v>
      </c>
      <c r="J276" t="n">
        <v>0</v>
      </c>
      <c r="K276" t="n">
        <v>0</v>
      </c>
      <c r="L276" t="n">
        <v>0</v>
      </c>
      <c r="M276" t="n">
        <v>0</v>
      </c>
      <c r="N276" t="n">
        <v>0</v>
      </c>
      <c r="O276" t="n">
        <v>0</v>
      </c>
      <c r="P276" t="n">
        <v>0</v>
      </c>
      <c r="Q276" t="n">
        <v>0</v>
      </c>
      <c r="R276" s="2" t="inlineStr"/>
    </row>
    <row r="277" ht="15" customHeight="1">
      <c r="A277" t="inlineStr">
        <is>
          <t>A 35234-2021</t>
        </is>
      </c>
      <c r="B277" s="1" t="n">
        <v>44384</v>
      </c>
      <c r="C277" s="1" t="n">
        <v>45877</v>
      </c>
      <c r="D277" t="inlineStr">
        <is>
          <t>NORRBOTTENS LÄN</t>
        </is>
      </c>
      <c r="E277" t="inlineStr">
        <is>
          <t>LULEÅ</t>
        </is>
      </c>
      <c r="G277" t="n">
        <v>1.4</v>
      </c>
      <c r="H277" t="n">
        <v>0</v>
      </c>
      <c r="I277" t="n">
        <v>0</v>
      </c>
      <c r="J277" t="n">
        <v>0</v>
      </c>
      <c r="K277" t="n">
        <v>0</v>
      </c>
      <c r="L277" t="n">
        <v>0</v>
      </c>
      <c r="M277" t="n">
        <v>0</v>
      </c>
      <c r="N277" t="n">
        <v>0</v>
      </c>
      <c r="O277" t="n">
        <v>0</v>
      </c>
      <c r="P277" t="n">
        <v>0</v>
      </c>
      <c r="Q277" t="n">
        <v>0</v>
      </c>
      <c r="R277" s="2" t="inlineStr"/>
    </row>
    <row r="278" ht="15" customHeight="1">
      <c r="A278" t="inlineStr">
        <is>
          <t>A 35962-2021</t>
        </is>
      </c>
      <c r="B278" s="1" t="n">
        <v>44385</v>
      </c>
      <c r="C278" s="1" t="n">
        <v>45877</v>
      </c>
      <c r="D278" t="inlineStr">
        <is>
          <t>NORRBOTTENS LÄN</t>
        </is>
      </c>
      <c r="E278" t="inlineStr">
        <is>
          <t>LULEÅ</t>
        </is>
      </c>
      <c r="G278" t="n">
        <v>0.9</v>
      </c>
      <c r="H278" t="n">
        <v>0</v>
      </c>
      <c r="I278" t="n">
        <v>0</v>
      </c>
      <c r="J278" t="n">
        <v>0</v>
      </c>
      <c r="K278" t="n">
        <v>0</v>
      </c>
      <c r="L278" t="n">
        <v>0</v>
      </c>
      <c r="M278" t="n">
        <v>0</v>
      </c>
      <c r="N278" t="n">
        <v>0</v>
      </c>
      <c r="O278" t="n">
        <v>0</v>
      </c>
      <c r="P278" t="n">
        <v>0</v>
      </c>
      <c r="Q278" t="n">
        <v>0</v>
      </c>
      <c r="R278" s="2" t="inlineStr"/>
    </row>
    <row r="279" ht="15" customHeight="1">
      <c r="A279" t="inlineStr">
        <is>
          <t>A 37765-2021</t>
        </is>
      </c>
      <c r="B279" s="1" t="n">
        <v>44400</v>
      </c>
      <c r="C279" s="1" t="n">
        <v>45877</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37835-2021</t>
        </is>
      </c>
      <c r="B280" s="1" t="n">
        <v>44400</v>
      </c>
      <c r="C280" s="1" t="n">
        <v>45877</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37766-2021</t>
        </is>
      </c>
      <c r="B281" s="1" t="n">
        <v>44400</v>
      </c>
      <c r="C281" s="1" t="n">
        <v>45877</v>
      </c>
      <c r="D281" t="inlineStr">
        <is>
          <t>NORRBOTTENS LÄN</t>
        </is>
      </c>
      <c r="E281" t="inlineStr">
        <is>
          <t>LULEÅ</t>
        </is>
      </c>
      <c r="G281" t="n">
        <v>5.7</v>
      </c>
      <c r="H281" t="n">
        <v>0</v>
      </c>
      <c r="I281" t="n">
        <v>0</v>
      </c>
      <c r="J281" t="n">
        <v>0</v>
      </c>
      <c r="K281" t="n">
        <v>0</v>
      </c>
      <c r="L281" t="n">
        <v>0</v>
      </c>
      <c r="M281" t="n">
        <v>0</v>
      </c>
      <c r="N281" t="n">
        <v>0</v>
      </c>
      <c r="O281" t="n">
        <v>0</v>
      </c>
      <c r="P281" t="n">
        <v>0</v>
      </c>
      <c r="Q281" t="n">
        <v>0</v>
      </c>
      <c r="R281" s="2" t="inlineStr"/>
    </row>
    <row r="282" ht="15" customHeight="1">
      <c r="A282" t="inlineStr">
        <is>
          <t>A 42133-2021</t>
        </is>
      </c>
      <c r="B282" s="1" t="n">
        <v>44426</v>
      </c>
      <c r="C282" s="1" t="n">
        <v>45877</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44680-2021</t>
        </is>
      </c>
      <c r="B283" s="1" t="n">
        <v>44435</v>
      </c>
      <c r="C283" s="1" t="n">
        <v>45877</v>
      </c>
      <c r="D283" t="inlineStr">
        <is>
          <t>NORRBOTTENS LÄN</t>
        </is>
      </c>
      <c r="E283" t="inlineStr">
        <is>
          <t>LULEÅ</t>
        </is>
      </c>
      <c r="G283" t="n">
        <v>6.1</v>
      </c>
      <c r="H283" t="n">
        <v>0</v>
      </c>
      <c r="I283" t="n">
        <v>0</v>
      </c>
      <c r="J283" t="n">
        <v>0</v>
      </c>
      <c r="K283" t="n">
        <v>0</v>
      </c>
      <c r="L283" t="n">
        <v>0</v>
      </c>
      <c r="M283" t="n">
        <v>0</v>
      </c>
      <c r="N283" t="n">
        <v>0</v>
      </c>
      <c r="O283" t="n">
        <v>0</v>
      </c>
      <c r="P283" t="n">
        <v>0</v>
      </c>
      <c r="Q283" t="n">
        <v>0</v>
      </c>
      <c r="R283" s="2" t="inlineStr"/>
    </row>
    <row r="284" ht="15" customHeight="1">
      <c r="A284" t="inlineStr">
        <is>
          <t>A 45940-2021</t>
        </is>
      </c>
      <c r="B284" s="1" t="n">
        <v>44441</v>
      </c>
      <c r="C284" s="1" t="n">
        <v>45877</v>
      </c>
      <c r="D284" t="inlineStr">
        <is>
          <t>NORRBOTTENS LÄN</t>
        </is>
      </c>
      <c r="E284" t="inlineStr">
        <is>
          <t>LULEÅ</t>
        </is>
      </c>
      <c r="G284" t="n">
        <v>15.2</v>
      </c>
      <c r="H284" t="n">
        <v>0</v>
      </c>
      <c r="I284" t="n">
        <v>0</v>
      </c>
      <c r="J284" t="n">
        <v>0</v>
      </c>
      <c r="K284" t="n">
        <v>0</v>
      </c>
      <c r="L284" t="n">
        <v>0</v>
      </c>
      <c r="M284" t="n">
        <v>0</v>
      </c>
      <c r="N284" t="n">
        <v>0</v>
      </c>
      <c r="O284" t="n">
        <v>0</v>
      </c>
      <c r="P284" t="n">
        <v>0</v>
      </c>
      <c r="Q284" t="n">
        <v>0</v>
      </c>
      <c r="R284" s="2" t="inlineStr"/>
    </row>
    <row r="285" ht="15" customHeight="1">
      <c r="A285" t="inlineStr">
        <is>
          <t>A 46150-2021</t>
        </is>
      </c>
      <c r="B285" s="1" t="n">
        <v>44441</v>
      </c>
      <c r="C285" s="1" t="n">
        <v>45877</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46158-2021</t>
        </is>
      </c>
      <c r="B286" s="1" t="n">
        <v>44442</v>
      </c>
      <c r="C286" s="1" t="n">
        <v>45877</v>
      </c>
      <c r="D286" t="inlineStr">
        <is>
          <t>NORRBOTTENS LÄN</t>
        </is>
      </c>
      <c r="E286" t="inlineStr">
        <is>
          <t>LULEÅ</t>
        </is>
      </c>
      <c r="G286" t="n">
        <v>4.8</v>
      </c>
      <c r="H286" t="n">
        <v>0</v>
      </c>
      <c r="I286" t="n">
        <v>0</v>
      </c>
      <c r="J286" t="n">
        <v>0</v>
      </c>
      <c r="K286" t="n">
        <v>0</v>
      </c>
      <c r="L286" t="n">
        <v>0</v>
      </c>
      <c r="M286" t="n">
        <v>0</v>
      </c>
      <c r="N286" t="n">
        <v>0</v>
      </c>
      <c r="O286" t="n">
        <v>0</v>
      </c>
      <c r="P286" t="n">
        <v>0</v>
      </c>
      <c r="Q286" t="n">
        <v>0</v>
      </c>
      <c r="R286" s="2" t="inlineStr"/>
    </row>
    <row r="287" ht="15" customHeight="1">
      <c r="A287" t="inlineStr">
        <is>
          <t>A 46547-2021</t>
        </is>
      </c>
      <c r="B287" s="1" t="n">
        <v>44445</v>
      </c>
      <c r="C287" s="1" t="n">
        <v>45877</v>
      </c>
      <c r="D287" t="inlineStr">
        <is>
          <t>NORRBOTTENS LÄN</t>
        </is>
      </c>
      <c r="E287" t="inlineStr">
        <is>
          <t>LULEÅ</t>
        </is>
      </c>
      <c r="G287" t="n">
        <v>1.7</v>
      </c>
      <c r="H287" t="n">
        <v>0</v>
      </c>
      <c r="I287" t="n">
        <v>0</v>
      </c>
      <c r="J287" t="n">
        <v>0</v>
      </c>
      <c r="K287" t="n">
        <v>0</v>
      </c>
      <c r="L287" t="n">
        <v>0</v>
      </c>
      <c r="M287" t="n">
        <v>0</v>
      </c>
      <c r="N287" t="n">
        <v>0</v>
      </c>
      <c r="O287" t="n">
        <v>0</v>
      </c>
      <c r="P287" t="n">
        <v>0</v>
      </c>
      <c r="Q287" t="n">
        <v>0</v>
      </c>
      <c r="R287" s="2" t="inlineStr"/>
    </row>
    <row r="288" ht="15" customHeight="1">
      <c r="A288" t="inlineStr">
        <is>
          <t>A 46826-2021</t>
        </is>
      </c>
      <c r="B288" s="1" t="n">
        <v>44446</v>
      </c>
      <c r="C288" s="1" t="n">
        <v>45877</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47801-2021</t>
        </is>
      </c>
      <c r="B289" s="1" t="n">
        <v>44448</v>
      </c>
      <c r="C289" s="1" t="n">
        <v>45877</v>
      </c>
      <c r="D289" t="inlineStr">
        <is>
          <t>NORRBOTTENS LÄN</t>
        </is>
      </c>
      <c r="E289" t="inlineStr">
        <is>
          <t>LULEÅ</t>
        </is>
      </c>
      <c r="G289" t="n">
        <v>7.3</v>
      </c>
      <c r="H289" t="n">
        <v>0</v>
      </c>
      <c r="I289" t="n">
        <v>0</v>
      </c>
      <c r="J289" t="n">
        <v>0</v>
      </c>
      <c r="K289" t="n">
        <v>0</v>
      </c>
      <c r="L289" t="n">
        <v>0</v>
      </c>
      <c r="M289" t="n">
        <v>0</v>
      </c>
      <c r="N289" t="n">
        <v>0</v>
      </c>
      <c r="O289" t="n">
        <v>0</v>
      </c>
      <c r="P289" t="n">
        <v>0</v>
      </c>
      <c r="Q289" t="n">
        <v>0</v>
      </c>
      <c r="R289" s="2" t="inlineStr"/>
    </row>
    <row r="290" ht="15" customHeight="1">
      <c r="A290" t="inlineStr">
        <is>
          <t>A 50087-2021</t>
        </is>
      </c>
      <c r="B290" s="1" t="n">
        <v>44456</v>
      </c>
      <c r="C290" s="1" t="n">
        <v>45877</v>
      </c>
      <c r="D290" t="inlineStr">
        <is>
          <t>NORRBOTTENS LÄN</t>
        </is>
      </c>
      <c r="E290" t="inlineStr">
        <is>
          <t>LULEÅ</t>
        </is>
      </c>
      <c r="F290" t="inlineStr">
        <is>
          <t>Sveaskog</t>
        </is>
      </c>
      <c r="G290" t="n">
        <v>2.6</v>
      </c>
      <c r="H290" t="n">
        <v>0</v>
      </c>
      <c r="I290" t="n">
        <v>0</v>
      </c>
      <c r="J290" t="n">
        <v>0</v>
      </c>
      <c r="K290" t="n">
        <v>0</v>
      </c>
      <c r="L290" t="n">
        <v>0</v>
      </c>
      <c r="M290" t="n">
        <v>0</v>
      </c>
      <c r="N290" t="n">
        <v>0</v>
      </c>
      <c r="O290" t="n">
        <v>0</v>
      </c>
      <c r="P290" t="n">
        <v>0</v>
      </c>
      <c r="Q290" t="n">
        <v>0</v>
      </c>
      <c r="R290" s="2" t="inlineStr"/>
    </row>
    <row r="291" ht="15" customHeight="1">
      <c r="A291" t="inlineStr">
        <is>
          <t>A 50468-2021</t>
        </is>
      </c>
      <c r="B291" s="1" t="n">
        <v>44459</v>
      </c>
      <c r="C291" s="1" t="n">
        <v>45877</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50632-2021</t>
        </is>
      </c>
      <c r="B292" s="1" t="n">
        <v>44459</v>
      </c>
      <c r="C292" s="1" t="n">
        <v>45877</v>
      </c>
      <c r="D292" t="inlineStr">
        <is>
          <t>NORRBOTTENS LÄN</t>
        </is>
      </c>
      <c r="E292" t="inlineStr">
        <is>
          <t>LULEÅ</t>
        </is>
      </c>
      <c r="G292" t="n">
        <v>3.5</v>
      </c>
      <c r="H292" t="n">
        <v>0</v>
      </c>
      <c r="I292" t="n">
        <v>0</v>
      </c>
      <c r="J292" t="n">
        <v>0</v>
      </c>
      <c r="K292" t="n">
        <v>0</v>
      </c>
      <c r="L292" t="n">
        <v>0</v>
      </c>
      <c r="M292" t="n">
        <v>0</v>
      </c>
      <c r="N292" t="n">
        <v>0</v>
      </c>
      <c r="O292" t="n">
        <v>0</v>
      </c>
      <c r="P292" t="n">
        <v>0</v>
      </c>
      <c r="Q292" t="n">
        <v>0</v>
      </c>
      <c r="R292" s="2" t="inlineStr"/>
    </row>
    <row r="293" ht="15" customHeight="1">
      <c r="A293" t="inlineStr">
        <is>
          <t>A 52436-2021</t>
        </is>
      </c>
      <c r="B293" s="1" t="n">
        <v>44463</v>
      </c>
      <c r="C293" s="1" t="n">
        <v>45877</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52444-2021</t>
        </is>
      </c>
      <c r="B294" s="1" t="n">
        <v>44463</v>
      </c>
      <c r="C294" s="1" t="n">
        <v>45877</v>
      </c>
      <c r="D294" t="inlineStr">
        <is>
          <t>NORRBOTTENS LÄN</t>
        </is>
      </c>
      <c r="E294" t="inlineStr">
        <is>
          <t>LULEÅ</t>
        </is>
      </c>
      <c r="G294" t="n">
        <v>2.1</v>
      </c>
      <c r="H294" t="n">
        <v>0</v>
      </c>
      <c r="I294" t="n">
        <v>0</v>
      </c>
      <c r="J294" t="n">
        <v>0</v>
      </c>
      <c r="K294" t="n">
        <v>0</v>
      </c>
      <c r="L294" t="n">
        <v>0</v>
      </c>
      <c r="M294" t="n">
        <v>0</v>
      </c>
      <c r="N294" t="n">
        <v>0</v>
      </c>
      <c r="O294" t="n">
        <v>0</v>
      </c>
      <c r="P294" t="n">
        <v>0</v>
      </c>
      <c r="Q294" t="n">
        <v>0</v>
      </c>
      <c r="R294" s="2" t="inlineStr"/>
    </row>
    <row r="295" ht="15" customHeight="1">
      <c r="A295" t="inlineStr">
        <is>
          <t>A 54879-2021</t>
        </is>
      </c>
      <c r="B295" s="1" t="n">
        <v>44473</v>
      </c>
      <c r="C295" s="1" t="n">
        <v>45877</v>
      </c>
      <c r="D295" t="inlineStr">
        <is>
          <t>NORRBOTTENS LÄN</t>
        </is>
      </c>
      <c r="E295" t="inlineStr">
        <is>
          <t>LULEÅ</t>
        </is>
      </c>
      <c r="G295" t="n">
        <v>1.2</v>
      </c>
      <c r="H295" t="n">
        <v>0</v>
      </c>
      <c r="I295" t="n">
        <v>0</v>
      </c>
      <c r="J295" t="n">
        <v>0</v>
      </c>
      <c r="K295" t="n">
        <v>0</v>
      </c>
      <c r="L295" t="n">
        <v>0</v>
      </c>
      <c r="M295" t="n">
        <v>0</v>
      </c>
      <c r="N295" t="n">
        <v>0</v>
      </c>
      <c r="O295" t="n">
        <v>0</v>
      </c>
      <c r="P295" t="n">
        <v>0</v>
      </c>
      <c r="Q295" t="n">
        <v>0</v>
      </c>
      <c r="R295" s="2" t="inlineStr"/>
    </row>
    <row r="296" ht="15" customHeight="1">
      <c r="A296" t="inlineStr">
        <is>
          <t>A 56057-2021</t>
        </is>
      </c>
      <c r="B296" s="1" t="n">
        <v>44477</v>
      </c>
      <c r="C296" s="1" t="n">
        <v>45877</v>
      </c>
      <c r="D296" t="inlineStr">
        <is>
          <t>NORRBOTTENS LÄN</t>
        </is>
      </c>
      <c r="E296" t="inlineStr">
        <is>
          <t>LULEÅ</t>
        </is>
      </c>
      <c r="G296" t="n">
        <v>3.7</v>
      </c>
      <c r="H296" t="n">
        <v>0</v>
      </c>
      <c r="I296" t="n">
        <v>0</v>
      </c>
      <c r="J296" t="n">
        <v>0</v>
      </c>
      <c r="K296" t="n">
        <v>0</v>
      </c>
      <c r="L296" t="n">
        <v>0</v>
      </c>
      <c r="M296" t="n">
        <v>0</v>
      </c>
      <c r="N296" t="n">
        <v>0</v>
      </c>
      <c r="O296" t="n">
        <v>0</v>
      </c>
      <c r="P296" t="n">
        <v>0</v>
      </c>
      <c r="Q296" t="n">
        <v>0</v>
      </c>
      <c r="R296" s="2" t="inlineStr"/>
    </row>
    <row r="297" ht="15" customHeight="1">
      <c r="A297" t="inlineStr">
        <is>
          <t>A 56066-2021</t>
        </is>
      </c>
      <c r="B297" s="1" t="n">
        <v>44477</v>
      </c>
      <c r="C297" s="1" t="n">
        <v>45877</v>
      </c>
      <c r="D297" t="inlineStr">
        <is>
          <t>NORRBOTTENS LÄN</t>
        </is>
      </c>
      <c r="E297" t="inlineStr">
        <is>
          <t>LULEÅ</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56073-2021</t>
        </is>
      </c>
      <c r="B298" s="1" t="n">
        <v>44477</v>
      </c>
      <c r="C298" s="1" t="n">
        <v>45877</v>
      </c>
      <c r="D298" t="inlineStr">
        <is>
          <t>NORRBOTTENS LÄN</t>
        </is>
      </c>
      <c r="E298" t="inlineStr">
        <is>
          <t>LULEÅ</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56043-2021</t>
        </is>
      </c>
      <c r="B299" s="1" t="n">
        <v>44477</v>
      </c>
      <c r="C299" s="1" t="n">
        <v>45877</v>
      </c>
      <c r="D299" t="inlineStr">
        <is>
          <t>NORRBOTTENS LÄN</t>
        </is>
      </c>
      <c r="E299" t="inlineStr">
        <is>
          <t>LULEÅ</t>
        </is>
      </c>
      <c r="G299" t="n">
        <v>3.8</v>
      </c>
      <c r="H299" t="n">
        <v>0</v>
      </c>
      <c r="I299" t="n">
        <v>0</v>
      </c>
      <c r="J299" t="n">
        <v>0</v>
      </c>
      <c r="K299" t="n">
        <v>0</v>
      </c>
      <c r="L299" t="n">
        <v>0</v>
      </c>
      <c r="M299" t="n">
        <v>0</v>
      </c>
      <c r="N299" t="n">
        <v>0</v>
      </c>
      <c r="O299" t="n">
        <v>0</v>
      </c>
      <c r="P299" t="n">
        <v>0</v>
      </c>
      <c r="Q299" t="n">
        <v>0</v>
      </c>
      <c r="R299" s="2" t="inlineStr"/>
    </row>
    <row r="300" ht="15" customHeight="1">
      <c r="A300" t="inlineStr">
        <is>
          <t>A 56465-2021</t>
        </is>
      </c>
      <c r="B300" s="1" t="n">
        <v>44480</v>
      </c>
      <c r="C300" s="1" t="n">
        <v>45877</v>
      </c>
      <c r="D300" t="inlineStr">
        <is>
          <t>NORRBOTTENS LÄN</t>
        </is>
      </c>
      <c r="E300" t="inlineStr">
        <is>
          <t>LULEÅ</t>
        </is>
      </c>
      <c r="G300" t="n">
        <v>6.6</v>
      </c>
      <c r="H300" t="n">
        <v>0</v>
      </c>
      <c r="I300" t="n">
        <v>0</v>
      </c>
      <c r="J300" t="n">
        <v>0</v>
      </c>
      <c r="K300" t="n">
        <v>0</v>
      </c>
      <c r="L300" t="n">
        <v>0</v>
      </c>
      <c r="M300" t="n">
        <v>0</v>
      </c>
      <c r="N300" t="n">
        <v>0</v>
      </c>
      <c r="O300" t="n">
        <v>0</v>
      </c>
      <c r="P300" t="n">
        <v>0</v>
      </c>
      <c r="Q300" t="n">
        <v>0</v>
      </c>
      <c r="R300" s="2" t="inlineStr"/>
    </row>
    <row r="301" ht="15" customHeight="1">
      <c r="A301" t="inlineStr">
        <is>
          <t>A 56781-2021</t>
        </is>
      </c>
      <c r="B301" s="1" t="n">
        <v>44481</v>
      </c>
      <c r="C301" s="1" t="n">
        <v>45877</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58981-2021</t>
        </is>
      </c>
      <c r="B302" s="1" t="n">
        <v>44490</v>
      </c>
      <c r="C302" s="1" t="n">
        <v>45877</v>
      </c>
      <c r="D302" t="inlineStr">
        <is>
          <t>NORRBOTTENS LÄN</t>
        </is>
      </c>
      <c r="E302" t="inlineStr">
        <is>
          <t>LULEÅ</t>
        </is>
      </c>
      <c r="F302" t="inlineStr">
        <is>
          <t>SCA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59122-2021</t>
        </is>
      </c>
      <c r="B303" s="1" t="n">
        <v>44490</v>
      </c>
      <c r="C303" s="1" t="n">
        <v>45877</v>
      </c>
      <c r="D303" t="inlineStr">
        <is>
          <t>NORRBOTTENS LÄN</t>
        </is>
      </c>
      <c r="E303" t="inlineStr">
        <is>
          <t>LULEÅ</t>
        </is>
      </c>
      <c r="F303" t="inlineStr">
        <is>
          <t>Kommuner</t>
        </is>
      </c>
      <c r="G303" t="n">
        <v>4</v>
      </c>
      <c r="H303" t="n">
        <v>0</v>
      </c>
      <c r="I303" t="n">
        <v>0</v>
      </c>
      <c r="J303" t="n">
        <v>0</v>
      </c>
      <c r="K303" t="n">
        <v>0</v>
      </c>
      <c r="L303" t="n">
        <v>0</v>
      </c>
      <c r="M303" t="n">
        <v>0</v>
      </c>
      <c r="N303" t="n">
        <v>0</v>
      </c>
      <c r="O303" t="n">
        <v>0</v>
      </c>
      <c r="P303" t="n">
        <v>0</v>
      </c>
      <c r="Q303" t="n">
        <v>0</v>
      </c>
      <c r="R303" s="2" t="inlineStr"/>
    </row>
    <row r="304" ht="15" customHeight="1">
      <c r="A304" t="inlineStr">
        <is>
          <t>A 59115-2021</t>
        </is>
      </c>
      <c r="B304" s="1" t="n">
        <v>44490</v>
      </c>
      <c r="C304" s="1" t="n">
        <v>45877</v>
      </c>
      <c r="D304" t="inlineStr">
        <is>
          <t>NORRBOTTENS LÄN</t>
        </is>
      </c>
      <c r="E304" t="inlineStr">
        <is>
          <t>LULEÅ</t>
        </is>
      </c>
      <c r="F304" t="inlineStr">
        <is>
          <t>Kommuner</t>
        </is>
      </c>
      <c r="G304" t="n">
        <v>2.4</v>
      </c>
      <c r="H304" t="n">
        <v>0</v>
      </c>
      <c r="I304" t="n">
        <v>0</v>
      </c>
      <c r="J304" t="n">
        <v>0</v>
      </c>
      <c r="K304" t="n">
        <v>0</v>
      </c>
      <c r="L304" t="n">
        <v>0</v>
      </c>
      <c r="M304" t="n">
        <v>0</v>
      </c>
      <c r="N304" t="n">
        <v>0</v>
      </c>
      <c r="O304" t="n">
        <v>0</v>
      </c>
      <c r="P304" t="n">
        <v>0</v>
      </c>
      <c r="Q304" t="n">
        <v>0</v>
      </c>
      <c r="R304" s="2" t="inlineStr"/>
    </row>
    <row r="305" ht="15" customHeight="1">
      <c r="A305" t="inlineStr">
        <is>
          <t>A 59552-2021</t>
        </is>
      </c>
      <c r="B305" s="1" t="n">
        <v>44491</v>
      </c>
      <c r="C305" s="1" t="n">
        <v>45877</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59558-2021</t>
        </is>
      </c>
      <c r="B306" s="1" t="n">
        <v>44491</v>
      </c>
      <c r="C306" s="1" t="n">
        <v>45877</v>
      </c>
      <c r="D306" t="inlineStr">
        <is>
          <t>NORRBOTTENS LÄN</t>
        </is>
      </c>
      <c r="E306" t="inlineStr">
        <is>
          <t>LULEÅ</t>
        </is>
      </c>
      <c r="G306" t="n">
        <v>1.4</v>
      </c>
      <c r="H306" t="n">
        <v>0</v>
      </c>
      <c r="I306" t="n">
        <v>0</v>
      </c>
      <c r="J306" t="n">
        <v>0</v>
      </c>
      <c r="K306" t="n">
        <v>0</v>
      </c>
      <c r="L306" t="n">
        <v>0</v>
      </c>
      <c r="M306" t="n">
        <v>0</v>
      </c>
      <c r="N306" t="n">
        <v>0</v>
      </c>
      <c r="O306" t="n">
        <v>0</v>
      </c>
      <c r="P306" t="n">
        <v>0</v>
      </c>
      <c r="Q306" t="n">
        <v>0</v>
      </c>
      <c r="R306" s="2" t="inlineStr"/>
    </row>
    <row r="307" ht="15" customHeight="1">
      <c r="A307" t="inlineStr">
        <is>
          <t>A 59568-2021</t>
        </is>
      </c>
      <c r="B307" s="1" t="n">
        <v>44491</v>
      </c>
      <c r="C307" s="1" t="n">
        <v>45877</v>
      </c>
      <c r="D307" t="inlineStr">
        <is>
          <t>NORRBOTTENS LÄN</t>
        </is>
      </c>
      <c r="E307" t="inlineStr">
        <is>
          <t>LULEÅ</t>
        </is>
      </c>
      <c r="G307" t="n">
        <v>0.2</v>
      </c>
      <c r="H307" t="n">
        <v>0</v>
      </c>
      <c r="I307" t="n">
        <v>0</v>
      </c>
      <c r="J307" t="n">
        <v>0</v>
      </c>
      <c r="K307" t="n">
        <v>0</v>
      </c>
      <c r="L307" t="n">
        <v>0</v>
      </c>
      <c r="M307" t="n">
        <v>0</v>
      </c>
      <c r="N307" t="n">
        <v>0</v>
      </c>
      <c r="O307" t="n">
        <v>0</v>
      </c>
      <c r="P307" t="n">
        <v>0</v>
      </c>
      <c r="Q307" t="n">
        <v>0</v>
      </c>
      <c r="R307" s="2" t="inlineStr"/>
    </row>
    <row r="308" ht="15" customHeight="1">
      <c r="A308" t="inlineStr">
        <is>
          <t>A 60954-2021</t>
        </is>
      </c>
      <c r="B308" s="1" t="n">
        <v>44496</v>
      </c>
      <c r="C308" s="1" t="n">
        <v>45877</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62048-2021</t>
        </is>
      </c>
      <c r="B309" s="1" t="n">
        <v>44501</v>
      </c>
      <c r="C309" s="1" t="n">
        <v>45877</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62050-2021</t>
        </is>
      </c>
      <c r="B310" s="1" t="n">
        <v>44501</v>
      </c>
      <c r="C310" s="1" t="n">
        <v>45877</v>
      </c>
      <c r="D310" t="inlineStr">
        <is>
          <t>NORRBOTTENS LÄN</t>
        </is>
      </c>
      <c r="E310" t="inlineStr">
        <is>
          <t>LULEÅ</t>
        </is>
      </c>
      <c r="G310" t="n">
        <v>2.4</v>
      </c>
      <c r="H310" t="n">
        <v>0</v>
      </c>
      <c r="I310" t="n">
        <v>0</v>
      </c>
      <c r="J310" t="n">
        <v>0</v>
      </c>
      <c r="K310" t="n">
        <v>0</v>
      </c>
      <c r="L310" t="n">
        <v>0</v>
      </c>
      <c r="M310" t="n">
        <v>0</v>
      </c>
      <c r="N310" t="n">
        <v>0</v>
      </c>
      <c r="O310" t="n">
        <v>0</v>
      </c>
      <c r="P310" t="n">
        <v>0</v>
      </c>
      <c r="Q310" t="n">
        <v>0</v>
      </c>
      <c r="R310" s="2" t="inlineStr"/>
    </row>
    <row r="311" ht="15" customHeight="1">
      <c r="A311" t="inlineStr">
        <is>
          <t>A 62732-2021</t>
        </is>
      </c>
      <c r="B311" s="1" t="n">
        <v>44503</v>
      </c>
      <c r="C311" s="1" t="n">
        <v>45877</v>
      </c>
      <c r="D311" t="inlineStr">
        <is>
          <t>NORRBOTTENS LÄN</t>
        </is>
      </c>
      <c r="E311" t="inlineStr">
        <is>
          <t>LULEÅ</t>
        </is>
      </c>
      <c r="G311" t="n">
        <v>2.5</v>
      </c>
      <c r="H311" t="n">
        <v>0</v>
      </c>
      <c r="I311" t="n">
        <v>0</v>
      </c>
      <c r="J311" t="n">
        <v>0</v>
      </c>
      <c r="K311" t="n">
        <v>0</v>
      </c>
      <c r="L311" t="n">
        <v>0</v>
      </c>
      <c r="M311" t="n">
        <v>0</v>
      </c>
      <c r="N311" t="n">
        <v>0</v>
      </c>
      <c r="O311" t="n">
        <v>0</v>
      </c>
      <c r="P311" t="n">
        <v>0</v>
      </c>
      <c r="Q311" t="n">
        <v>0</v>
      </c>
      <c r="R311" s="2" t="inlineStr"/>
    </row>
    <row r="312" ht="15" customHeight="1">
      <c r="A312" t="inlineStr">
        <is>
          <t>A 63150-2021</t>
        </is>
      </c>
      <c r="B312" s="1" t="n">
        <v>44505</v>
      </c>
      <c r="C312" s="1" t="n">
        <v>45877</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66225-2021</t>
        </is>
      </c>
      <c r="B313" s="1" t="n">
        <v>44517</v>
      </c>
      <c r="C313" s="1" t="n">
        <v>45877</v>
      </c>
      <c r="D313" t="inlineStr">
        <is>
          <t>NORRBOTTENS LÄN</t>
        </is>
      </c>
      <c r="E313" t="inlineStr">
        <is>
          <t>LULEÅ</t>
        </is>
      </c>
      <c r="G313" t="n">
        <v>2.2</v>
      </c>
      <c r="H313" t="n">
        <v>0</v>
      </c>
      <c r="I313" t="n">
        <v>0</v>
      </c>
      <c r="J313" t="n">
        <v>0</v>
      </c>
      <c r="K313" t="n">
        <v>0</v>
      </c>
      <c r="L313" t="n">
        <v>0</v>
      </c>
      <c r="M313" t="n">
        <v>0</v>
      </c>
      <c r="N313" t="n">
        <v>0</v>
      </c>
      <c r="O313" t="n">
        <v>0</v>
      </c>
      <c r="P313" t="n">
        <v>0</v>
      </c>
      <c r="Q313" t="n">
        <v>0</v>
      </c>
      <c r="R313" s="2" t="inlineStr"/>
    </row>
    <row r="314" ht="15" customHeight="1">
      <c r="A314" t="inlineStr">
        <is>
          <t>A 66702-2021</t>
        </is>
      </c>
      <c r="B314" s="1" t="n">
        <v>44519</v>
      </c>
      <c r="C314" s="1" t="n">
        <v>45877</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68307-2021</t>
        </is>
      </c>
      <c r="B315" s="1" t="n">
        <v>44526</v>
      </c>
      <c r="C315" s="1" t="n">
        <v>45877</v>
      </c>
      <c r="D315" t="inlineStr">
        <is>
          <t>NORRBOTTENS LÄN</t>
        </is>
      </c>
      <c r="E315" t="inlineStr">
        <is>
          <t>LULEÅ</t>
        </is>
      </c>
      <c r="G315" t="n">
        <v>2.9</v>
      </c>
      <c r="H315" t="n">
        <v>0</v>
      </c>
      <c r="I315" t="n">
        <v>0</v>
      </c>
      <c r="J315" t="n">
        <v>0</v>
      </c>
      <c r="K315" t="n">
        <v>0</v>
      </c>
      <c r="L315" t="n">
        <v>0</v>
      </c>
      <c r="M315" t="n">
        <v>0</v>
      </c>
      <c r="N315" t="n">
        <v>0</v>
      </c>
      <c r="O315" t="n">
        <v>0</v>
      </c>
      <c r="P315" t="n">
        <v>0</v>
      </c>
      <c r="Q315" t="n">
        <v>0</v>
      </c>
      <c r="R315" s="2" t="inlineStr"/>
    </row>
    <row r="316" ht="15" customHeight="1">
      <c r="A316" t="inlineStr">
        <is>
          <t>A 68808-2021</t>
        </is>
      </c>
      <c r="B316" s="1" t="n">
        <v>44529</v>
      </c>
      <c r="C316" s="1" t="n">
        <v>45877</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69895-2021</t>
        </is>
      </c>
      <c r="B317" s="1" t="n">
        <v>44532</v>
      </c>
      <c r="C317" s="1" t="n">
        <v>45877</v>
      </c>
      <c r="D317" t="inlineStr">
        <is>
          <t>NORRBOTTENS LÄN</t>
        </is>
      </c>
      <c r="E317" t="inlineStr">
        <is>
          <t>LULEÅ</t>
        </is>
      </c>
      <c r="G317" t="n">
        <v>3.2</v>
      </c>
      <c r="H317" t="n">
        <v>0</v>
      </c>
      <c r="I317" t="n">
        <v>0</v>
      </c>
      <c r="J317" t="n">
        <v>0</v>
      </c>
      <c r="K317" t="n">
        <v>0</v>
      </c>
      <c r="L317" t="n">
        <v>0</v>
      </c>
      <c r="M317" t="n">
        <v>0</v>
      </c>
      <c r="N317" t="n">
        <v>0</v>
      </c>
      <c r="O317" t="n">
        <v>0</v>
      </c>
      <c r="P317" t="n">
        <v>0</v>
      </c>
      <c r="Q317" t="n">
        <v>0</v>
      </c>
      <c r="R317" s="2" t="inlineStr"/>
    </row>
    <row r="318" ht="15" customHeight="1">
      <c r="A318" t="inlineStr">
        <is>
          <t>A 71909-2021</t>
        </is>
      </c>
      <c r="B318" s="1" t="n">
        <v>44543</v>
      </c>
      <c r="C318" s="1" t="n">
        <v>45877</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72555-2021</t>
        </is>
      </c>
      <c r="B319" s="1" t="n">
        <v>44546</v>
      </c>
      <c r="C319" s="1" t="n">
        <v>45877</v>
      </c>
      <c r="D319" t="inlineStr">
        <is>
          <t>NORRBOTTENS LÄN</t>
        </is>
      </c>
      <c r="E319" t="inlineStr">
        <is>
          <t>LULEÅ</t>
        </is>
      </c>
      <c r="G319" t="n">
        <v>1.7</v>
      </c>
      <c r="H319" t="n">
        <v>0</v>
      </c>
      <c r="I319" t="n">
        <v>0</v>
      </c>
      <c r="J319" t="n">
        <v>0</v>
      </c>
      <c r="K319" t="n">
        <v>0</v>
      </c>
      <c r="L319" t="n">
        <v>0</v>
      </c>
      <c r="M319" t="n">
        <v>0</v>
      </c>
      <c r="N319" t="n">
        <v>0</v>
      </c>
      <c r="O319" t="n">
        <v>0</v>
      </c>
      <c r="P319" t="n">
        <v>0</v>
      </c>
      <c r="Q319" t="n">
        <v>0</v>
      </c>
      <c r="R319" s="2" t="inlineStr"/>
    </row>
    <row r="320" ht="15" customHeight="1">
      <c r="A320" t="inlineStr">
        <is>
          <t>A 72752-2021</t>
        </is>
      </c>
      <c r="B320" s="1" t="n">
        <v>44546</v>
      </c>
      <c r="C320" s="1" t="n">
        <v>45877</v>
      </c>
      <c r="D320" t="inlineStr">
        <is>
          <t>NORRBOTTENS LÄN</t>
        </is>
      </c>
      <c r="E320" t="inlineStr">
        <is>
          <t>LULEÅ</t>
        </is>
      </c>
      <c r="G320" t="n">
        <v>1.8</v>
      </c>
      <c r="H320" t="n">
        <v>0</v>
      </c>
      <c r="I320" t="n">
        <v>0</v>
      </c>
      <c r="J320" t="n">
        <v>0</v>
      </c>
      <c r="K320" t="n">
        <v>0</v>
      </c>
      <c r="L320" t="n">
        <v>0</v>
      </c>
      <c r="M320" t="n">
        <v>0</v>
      </c>
      <c r="N320" t="n">
        <v>0</v>
      </c>
      <c r="O320" t="n">
        <v>0</v>
      </c>
      <c r="P320" t="n">
        <v>0</v>
      </c>
      <c r="Q320" t="n">
        <v>0</v>
      </c>
      <c r="R320" s="2" t="inlineStr"/>
    </row>
    <row r="321" ht="15" customHeight="1">
      <c r="A321" t="inlineStr">
        <is>
          <t>A 72756-2021</t>
        </is>
      </c>
      <c r="B321" s="1" t="n">
        <v>44546</v>
      </c>
      <c r="C321" s="1" t="n">
        <v>45877</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72919-2021</t>
        </is>
      </c>
      <c r="B322" s="1" t="n">
        <v>44547</v>
      </c>
      <c r="C322" s="1" t="n">
        <v>45877</v>
      </c>
      <c r="D322" t="inlineStr">
        <is>
          <t>NORRBOTTENS LÄN</t>
        </is>
      </c>
      <c r="E322" t="inlineStr">
        <is>
          <t>LULEÅ</t>
        </is>
      </c>
      <c r="F322" t="inlineStr">
        <is>
          <t>Övriga Aktiebolag</t>
        </is>
      </c>
      <c r="G322" t="n">
        <v>4.1</v>
      </c>
      <c r="H322" t="n">
        <v>0</v>
      </c>
      <c r="I322" t="n">
        <v>0</v>
      </c>
      <c r="J322" t="n">
        <v>0</v>
      </c>
      <c r="K322" t="n">
        <v>0</v>
      </c>
      <c r="L322" t="n">
        <v>0</v>
      </c>
      <c r="M322" t="n">
        <v>0</v>
      </c>
      <c r="N322" t="n">
        <v>0</v>
      </c>
      <c r="O322" t="n">
        <v>0</v>
      </c>
      <c r="P322" t="n">
        <v>0</v>
      </c>
      <c r="Q322" t="n">
        <v>0</v>
      </c>
      <c r="R322" s="2" t="inlineStr"/>
    </row>
    <row r="323" ht="15" customHeight="1">
      <c r="A323" t="inlineStr">
        <is>
          <t>A 73645-2021</t>
        </is>
      </c>
      <c r="B323" s="1" t="n">
        <v>44550</v>
      </c>
      <c r="C323" s="1" t="n">
        <v>45877</v>
      </c>
      <c r="D323" t="inlineStr">
        <is>
          <t>NORRBOTTENS LÄN</t>
        </is>
      </c>
      <c r="E323" t="inlineStr">
        <is>
          <t>LULEÅ</t>
        </is>
      </c>
      <c r="G323" t="n">
        <v>1</v>
      </c>
      <c r="H323" t="n">
        <v>0</v>
      </c>
      <c r="I323" t="n">
        <v>0</v>
      </c>
      <c r="J323" t="n">
        <v>0</v>
      </c>
      <c r="K323" t="n">
        <v>0</v>
      </c>
      <c r="L323" t="n">
        <v>0</v>
      </c>
      <c r="M323" t="n">
        <v>0</v>
      </c>
      <c r="N323" t="n">
        <v>0</v>
      </c>
      <c r="O323" t="n">
        <v>0</v>
      </c>
      <c r="P323" t="n">
        <v>0</v>
      </c>
      <c r="Q323" t="n">
        <v>0</v>
      </c>
      <c r="R323" s="2" t="inlineStr"/>
    </row>
    <row r="324" ht="15" customHeight="1">
      <c r="A324" t="inlineStr">
        <is>
          <t>A 73539-2021</t>
        </is>
      </c>
      <c r="B324" s="1" t="n">
        <v>44550</v>
      </c>
      <c r="C324" s="1" t="n">
        <v>45877</v>
      </c>
      <c r="D324" t="inlineStr">
        <is>
          <t>NORRBOTTENS LÄN</t>
        </is>
      </c>
      <c r="E324" t="inlineStr">
        <is>
          <t>LULEÅ</t>
        </is>
      </c>
      <c r="G324" t="n">
        <v>7.1</v>
      </c>
      <c r="H324" t="n">
        <v>0</v>
      </c>
      <c r="I324" t="n">
        <v>0</v>
      </c>
      <c r="J324" t="n">
        <v>0</v>
      </c>
      <c r="K324" t="n">
        <v>0</v>
      </c>
      <c r="L324" t="n">
        <v>0</v>
      </c>
      <c r="M324" t="n">
        <v>0</v>
      </c>
      <c r="N324" t="n">
        <v>0</v>
      </c>
      <c r="O324" t="n">
        <v>0</v>
      </c>
      <c r="P324" t="n">
        <v>0</v>
      </c>
      <c r="Q324" t="n">
        <v>0</v>
      </c>
      <c r="R324" s="2" t="inlineStr"/>
    </row>
    <row r="325" ht="15" customHeight="1">
      <c r="A325" t="inlineStr">
        <is>
          <t>A 73907-2021</t>
        </is>
      </c>
      <c r="B325" s="1" t="n">
        <v>44552</v>
      </c>
      <c r="C325" s="1" t="n">
        <v>45877</v>
      </c>
      <c r="D325" t="inlineStr">
        <is>
          <t>NORRBOTTENS LÄN</t>
        </is>
      </c>
      <c r="E325" t="inlineStr">
        <is>
          <t>LULEÅ</t>
        </is>
      </c>
      <c r="G325" t="n">
        <v>1.9</v>
      </c>
      <c r="H325" t="n">
        <v>0</v>
      </c>
      <c r="I325" t="n">
        <v>0</v>
      </c>
      <c r="J325" t="n">
        <v>0</v>
      </c>
      <c r="K325" t="n">
        <v>0</v>
      </c>
      <c r="L325" t="n">
        <v>0</v>
      </c>
      <c r="M325" t="n">
        <v>0</v>
      </c>
      <c r="N325" t="n">
        <v>0</v>
      </c>
      <c r="O325" t="n">
        <v>0</v>
      </c>
      <c r="P325" t="n">
        <v>0</v>
      </c>
      <c r="Q325" t="n">
        <v>0</v>
      </c>
      <c r="R325" s="2" t="inlineStr"/>
    </row>
    <row r="326" ht="15" customHeight="1">
      <c r="A326" t="inlineStr">
        <is>
          <t>A 73905-2021</t>
        </is>
      </c>
      <c r="B326" s="1" t="n">
        <v>44552</v>
      </c>
      <c r="C326" s="1" t="n">
        <v>45877</v>
      </c>
      <c r="D326" t="inlineStr">
        <is>
          <t>NORRBOTTENS LÄN</t>
        </is>
      </c>
      <c r="E326" t="inlineStr">
        <is>
          <t>LULEÅ</t>
        </is>
      </c>
      <c r="G326" t="n">
        <v>0.9</v>
      </c>
      <c r="H326" t="n">
        <v>0</v>
      </c>
      <c r="I326" t="n">
        <v>0</v>
      </c>
      <c r="J326" t="n">
        <v>0</v>
      </c>
      <c r="K326" t="n">
        <v>0</v>
      </c>
      <c r="L326" t="n">
        <v>0</v>
      </c>
      <c r="M326" t="n">
        <v>0</v>
      </c>
      <c r="N326" t="n">
        <v>0</v>
      </c>
      <c r="O326" t="n">
        <v>0</v>
      </c>
      <c r="P326" t="n">
        <v>0</v>
      </c>
      <c r="Q326" t="n">
        <v>0</v>
      </c>
      <c r="R326" s="2" t="inlineStr"/>
    </row>
    <row r="327" ht="15" customHeight="1">
      <c r="A327" t="inlineStr">
        <is>
          <t>A 74440-2021</t>
        </is>
      </c>
      <c r="B327" s="1" t="n">
        <v>44558</v>
      </c>
      <c r="C327" s="1" t="n">
        <v>45877</v>
      </c>
      <c r="D327" t="inlineStr">
        <is>
          <t>NORRBOTTENS LÄN</t>
        </is>
      </c>
      <c r="E327" t="inlineStr">
        <is>
          <t>LULEÅ</t>
        </is>
      </c>
      <c r="G327" t="n">
        <v>2.2</v>
      </c>
      <c r="H327" t="n">
        <v>0</v>
      </c>
      <c r="I327" t="n">
        <v>0</v>
      </c>
      <c r="J327" t="n">
        <v>0</v>
      </c>
      <c r="K327" t="n">
        <v>0</v>
      </c>
      <c r="L327" t="n">
        <v>0</v>
      </c>
      <c r="M327" t="n">
        <v>0</v>
      </c>
      <c r="N327" t="n">
        <v>0</v>
      </c>
      <c r="O327" t="n">
        <v>0</v>
      </c>
      <c r="P327" t="n">
        <v>0</v>
      </c>
      <c r="Q327" t="n">
        <v>0</v>
      </c>
      <c r="R327" s="2" t="inlineStr"/>
    </row>
    <row r="328" ht="15" customHeight="1">
      <c r="A328" t="inlineStr">
        <is>
          <t>A 74441-2021</t>
        </is>
      </c>
      <c r="B328" s="1" t="n">
        <v>44558</v>
      </c>
      <c r="C328" s="1" t="n">
        <v>45877</v>
      </c>
      <c r="D328" t="inlineStr">
        <is>
          <t>NORRBOTTENS LÄN</t>
        </is>
      </c>
      <c r="E328" t="inlineStr">
        <is>
          <t>LULEÅ</t>
        </is>
      </c>
      <c r="G328" t="n">
        <v>2.3</v>
      </c>
      <c r="H328" t="n">
        <v>0</v>
      </c>
      <c r="I328" t="n">
        <v>0</v>
      </c>
      <c r="J328" t="n">
        <v>0</v>
      </c>
      <c r="K328" t="n">
        <v>0</v>
      </c>
      <c r="L328" t="n">
        <v>0</v>
      </c>
      <c r="M328" t="n">
        <v>0</v>
      </c>
      <c r="N328" t="n">
        <v>0</v>
      </c>
      <c r="O328" t="n">
        <v>0</v>
      </c>
      <c r="P328" t="n">
        <v>0</v>
      </c>
      <c r="Q328" t="n">
        <v>0</v>
      </c>
      <c r="R328" s="2" t="inlineStr"/>
    </row>
    <row r="329" ht="15" customHeight="1">
      <c r="A329" t="inlineStr">
        <is>
          <t>A 74276-2021</t>
        </is>
      </c>
      <c r="B329" s="1" t="n">
        <v>44558</v>
      </c>
      <c r="C329" s="1" t="n">
        <v>45877</v>
      </c>
      <c r="D329" t="inlineStr">
        <is>
          <t>NORRBOTTENS LÄN</t>
        </is>
      </c>
      <c r="E329" t="inlineStr">
        <is>
          <t>LULEÅ</t>
        </is>
      </c>
      <c r="G329" t="n">
        <v>3.5</v>
      </c>
      <c r="H329" t="n">
        <v>0</v>
      </c>
      <c r="I329" t="n">
        <v>0</v>
      </c>
      <c r="J329" t="n">
        <v>0</v>
      </c>
      <c r="K329" t="n">
        <v>0</v>
      </c>
      <c r="L329" t="n">
        <v>0</v>
      </c>
      <c r="M329" t="n">
        <v>0</v>
      </c>
      <c r="N329" t="n">
        <v>0</v>
      </c>
      <c r="O329" t="n">
        <v>0</v>
      </c>
      <c r="P329" t="n">
        <v>0</v>
      </c>
      <c r="Q329" t="n">
        <v>0</v>
      </c>
      <c r="R329" s="2" t="inlineStr"/>
    </row>
    <row r="330" ht="15" customHeight="1">
      <c r="A330" t="inlineStr">
        <is>
          <t>A 74437-2021</t>
        </is>
      </c>
      <c r="B330" s="1" t="n">
        <v>44558</v>
      </c>
      <c r="C330" s="1" t="n">
        <v>45877</v>
      </c>
      <c r="D330" t="inlineStr">
        <is>
          <t>NORRBOTTENS LÄN</t>
        </is>
      </c>
      <c r="E330" t="inlineStr">
        <is>
          <t>LULEÅ</t>
        </is>
      </c>
      <c r="G330" t="n">
        <v>2.7</v>
      </c>
      <c r="H330" t="n">
        <v>0</v>
      </c>
      <c r="I330" t="n">
        <v>0</v>
      </c>
      <c r="J330" t="n">
        <v>0</v>
      </c>
      <c r="K330" t="n">
        <v>0</v>
      </c>
      <c r="L330" t="n">
        <v>0</v>
      </c>
      <c r="M330" t="n">
        <v>0</v>
      </c>
      <c r="N330" t="n">
        <v>0</v>
      </c>
      <c r="O330" t="n">
        <v>0</v>
      </c>
      <c r="P330" t="n">
        <v>0</v>
      </c>
      <c r="Q330" t="n">
        <v>0</v>
      </c>
      <c r="R330" s="2" t="inlineStr"/>
    </row>
    <row r="331" ht="15" customHeight="1">
      <c r="A331" t="inlineStr">
        <is>
          <t>A 74274-2021</t>
        </is>
      </c>
      <c r="B331" s="1" t="n">
        <v>44558</v>
      </c>
      <c r="C331" s="1" t="n">
        <v>45877</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74433-2021</t>
        </is>
      </c>
      <c r="B332" s="1" t="n">
        <v>44558</v>
      </c>
      <c r="C332" s="1" t="n">
        <v>45877</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74445-2021</t>
        </is>
      </c>
      <c r="B333" s="1" t="n">
        <v>44558</v>
      </c>
      <c r="C333" s="1" t="n">
        <v>45877</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434-2022</t>
        </is>
      </c>
      <c r="B334" s="1" t="n">
        <v>44565</v>
      </c>
      <c r="C334" s="1" t="n">
        <v>45877</v>
      </c>
      <c r="D334" t="inlineStr">
        <is>
          <t>NORRBOTTENS LÄN</t>
        </is>
      </c>
      <c r="E334" t="inlineStr">
        <is>
          <t>LULEÅ</t>
        </is>
      </c>
      <c r="G334" t="n">
        <v>0.4</v>
      </c>
      <c r="H334" t="n">
        <v>0</v>
      </c>
      <c r="I334" t="n">
        <v>0</v>
      </c>
      <c r="J334" t="n">
        <v>0</v>
      </c>
      <c r="K334" t="n">
        <v>0</v>
      </c>
      <c r="L334" t="n">
        <v>0</v>
      </c>
      <c r="M334" t="n">
        <v>0</v>
      </c>
      <c r="N334" t="n">
        <v>0</v>
      </c>
      <c r="O334" t="n">
        <v>0</v>
      </c>
      <c r="P334" t="n">
        <v>0</v>
      </c>
      <c r="Q334" t="n">
        <v>0</v>
      </c>
      <c r="R334" s="2" t="inlineStr"/>
    </row>
    <row r="335" ht="15" customHeight="1">
      <c r="A335" t="inlineStr">
        <is>
          <t>A 433-2022</t>
        </is>
      </c>
      <c r="B335" s="1" t="n">
        <v>44565</v>
      </c>
      <c r="C335" s="1" t="n">
        <v>45877</v>
      </c>
      <c r="D335" t="inlineStr">
        <is>
          <t>NORRBOTTENS LÄN</t>
        </is>
      </c>
      <c r="E335" t="inlineStr">
        <is>
          <t>LULEÅ</t>
        </is>
      </c>
      <c r="G335" t="n">
        <v>1.3</v>
      </c>
      <c r="H335" t="n">
        <v>0</v>
      </c>
      <c r="I335" t="n">
        <v>0</v>
      </c>
      <c r="J335" t="n">
        <v>0</v>
      </c>
      <c r="K335" t="n">
        <v>0</v>
      </c>
      <c r="L335" t="n">
        <v>0</v>
      </c>
      <c r="M335" t="n">
        <v>0</v>
      </c>
      <c r="N335" t="n">
        <v>0</v>
      </c>
      <c r="O335" t="n">
        <v>0</v>
      </c>
      <c r="P335" t="n">
        <v>0</v>
      </c>
      <c r="Q335" t="n">
        <v>0</v>
      </c>
      <c r="R335" s="2" t="inlineStr"/>
    </row>
    <row r="336" ht="15" customHeight="1">
      <c r="A336" t="inlineStr">
        <is>
          <t>A 432-2022</t>
        </is>
      </c>
      <c r="B336" s="1" t="n">
        <v>44565</v>
      </c>
      <c r="C336" s="1" t="n">
        <v>45877</v>
      </c>
      <c r="D336" t="inlineStr">
        <is>
          <t>NORRBOTTENS LÄN</t>
        </is>
      </c>
      <c r="E336" t="inlineStr">
        <is>
          <t>LULEÅ</t>
        </is>
      </c>
      <c r="G336" t="n">
        <v>1.5</v>
      </c>
      <c r="H336" t="n">
        <v>0</v>
      </c>
      <c r="I336" t="n">
        <v>0</v>
      </c>
      <c r="J336" t="n">
        <v>0</v>
      </c>
      <c r="K336" t="n">
        <v>0</v>
      </c>
      <c r="L336" t="n">
        <v>0</v>
      </c>
      <c r="M336" t="n">
        <v>0</v>
      </c>
      <c r="N336" t="n">
        <v>0</v>
      </c>
      <c r="O336" t="n">
        <v>0</v>
      </c>
      <c r="P336" t="n">
        <v>0</v>
      </c>
      <c r="Q336" t="n">
        <v>0</v>
      </c>
      <c r="R336" s="2" t="inlineStr"/>
    </row>
    <row r="337" ht="15" customHeight="1">
      <c r="A337" t="inlineStr">
        <is>
          <t>A 1336-2022</t>
        </is>
      </c>
      <c r="B337" s="1" t="n">
        <v>44572</v>
      </c>
      <c r="C337" s="1" t="n">
        <v>45877</v>
      </c>
      <c r="D337" t="inlineStr">
        <is>
          <t>NORRBOTTENS LÄN</t>
        </is>
      </c>
      <c r="E337" t="inlineStr">
        <is>
          <t>LULEÅ</t>
        </is>
      </c>
      <c r="G337" t="n">
        <v>4.5</v>
      </c>
      <c r="H337" t="n">
        <v>0</v>
      </c>
      <c r="I337" t="n">
        <v>0</v>
      </c>
      <c r="J337" t="n">
        <v>0</v>
      </c>
      <c r="K337" t="n">
        <v>0</v>
      </c>
      <c r="L337" t="n">
        <v>0</v>
      </c>
      <c r="M337" t="n">
        <v>0</v>
      </c>
      <c r="N337" t="n">
        <v>0</v>
      </c>
      <c r="O337" t="n">
        <v>0</v>
      </c>
      <c r="P337" t="n">
        <v>0</v>
      </c>
      <c r="Q337" t="n">
        <v>0</v>
      </c>
      <c r="R337" s="2" t="inlineStr"/>
    </row>
    <row r="338" ht="15" customHeight="1">
      <c r="A338" t="inlineStr">
        <is>
          <t>A 1857-2022</t>
        </is>
      </c>
      <c r="B338" s="1" t="n">
        <v>44574</v>
      </c>
      <c r="C338" s="1" t="n">
        <v>45877</v>
      </c>
      <c r="D338" t="inlineStr">
        <is>
          <t>NORRBOTTENS LÄN</t>
        </is>
      </c>
      <c r="E338" t="inlineStr">
        <is>
          <t>LULEÅ</t>
        </is>
      </c>
      <c r="G338" t="n">
        <v>16.8</v>
      </c>
      <c r="H338" t="n">
        <v>0</v>
      </c>
      <c r="I338" t="n">
        <v>0</v>
      </c>
      <c r="J338" t="n">
        <v>0</v>
      </c>
      <c r="K338" t="n">
        <v>0</v>
      </c>
      <c r="L338" t="n">
        <v>0</v>
      </c>
      <c r="M338" t="n">
        <v>0</v>
      </c>
      <c r="N338" t="n">
        <v>0</v>
      </c>
      <c r="O338" t="n">
        <v>0</v>
      </c>
      <c r="P338" t="n">
        <v>0</v>
      </c>
      <c r="Q338" t="n">
        <v>0</v>
      </c>
      <c r="R338" s="2" t="inlineStr"/>
    </row>
    <row r="339" ht="15" customHeight="1">
      <c r="A339" t="inlineStr">
        <is>
          <t>A 2339-2022</t>
        </is>
      </c>
      <c r="B339" s="1" t="n">
        <v>44578</v>
      </c>
      <c r="C339" s="1" t="n">
        <v>45877</v>
      </c>
      <c r="D339" t="inlineStr">
        <is>
          <t>NORRBOTTENS LÄN</t>
        </is>
      </c>
      <c r="E339" t="inlineStr">
        <is>
          <t>LULEÅ</t>
        </is>
      </c>
      <c r="G339" t="n">
        <v>6.8</v>
      </c>
      <c r="H339" t="n">
        <v>0</v>
      </c>
      <c r="I339" t="n">
        <v>0</v>
      </c>
      <c r="J339" t="n">
        <v>0</v>
      </c>
      <c r="K339" t="n">
        <v>0</v>
      </c>
      <c r="L339" t="n">
        <v>0</v>
      </c>
      <c r="M339" t="n">
        <v>0</v>
      </c>
      <c r="N339" t="n">
        <v>0</v>
      </c>
      <c r="O339" t="n">
        <v>0</v>
      </c>
      <c r="P339" t="n">
        <v>0</v>
      </c>
      <c r="Q339" t="n">
        <v>0</v>
      </c>
      <c r="R339" s="2" t="inlineStr"/>
    </row>
    <row r="340" ht="15" customHeight="1">
      <c r="A340" t="inlineStr">
        <is>
          <t>A 2561-2022</t>
        </is>
      </c>
      <c r="B340" s="1" t="n">
        <v>44579</v>
      </c>
      <c r="C340" s="1" t="n">
        <v>45877</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2748-2022</t>
        </is>
      </c>
      <c r="B341" s="1" t="n">
        <v>44580</v>
      </c>
      <c r="C341" s="1" t="n">
        <v>45877</v>
      </c>
      <c r="D341" t="inlineStr">
        <is>
          <t>NORRBOTTENS LÄN</t>
        </is>
      </c>
      <c r="E341" t="inlineStr">
        <is>
          <t>LULEÅ</t>
        </is>
      </c>
      <c r="G341" t="n">
        <v>4.7</v>
      </c>
      <c r="H341" t="n">
        <v>0</v>
      </c>
      <c r="I341" t="n">
        <v>0</v>
      </c>
      <c r="J341" t="n">
        <v>0</v>
      </c>
      <c r="K341" t="n">
        <v>0</v>
      </c>
      <c r="L341" t="n">
        <v>0</v>
      </c>
      <c r="M341" t="n">
        <v>0</v>
      </c>
      <c r="N341" t="n">
        <v>0</v>
      </c>
      <c r="O341" t="n">
        <v>0</v>
      </c>
      <c r="P341" t="n">
        <v>0</v>
      </c>
      <c r="Q341" t="n">
        <v>0</v>
      </c>
      <c r="R341" s="2" t="inlineStr"/>
    </row>
    <row r="342" ht="15" customHeight="1">
      <c r="A342" t="inlineStr">
        <is>
          <t>A 3536-2022</t>
        </is>
      </c>
      <c r="B342" s="1" t="n">
        <v>44585</v>
      </c>
      <c r="C342" s="1" t="n">
        <v>45877</v>
      </c>
      <c r="D342" t="inlineStr">
        <is>
          <t>NORRBOTTENS LÄN</t>
        </is>
      </c>
      <c r="E342" t="inlineStr">
        <is>
          <t>LULEÅ</t>
        </is>
      </c>
      <c r="G342" t="n">
        <v>9.9</v>
      </c>
      <c r="H342" t="n">
        <v>0</v>
      </c>
      <c r="I342" t="n">
        <v>0</v>
      </c>
      <c r="J342" t="n">
        <v>0</v>
      </c>
      <c r="K342" t="n">
        <v>0</v>
      </c>
      <c r="L342" t="n">
        <v>0</v>
      </c>
      <c r="M342" t="n">
        <v>0</v>
      </c>
      <c r="N342" t="n">
        <v>0</v>
      </c>
      <c r="O342" t="n">
        <v>0</v>
      </c>
      <c r="P342" t="n">
        <v>0</v>
      </c>
      <c r="Q342" t="n">
        <v>0</v>
      </c>
      <c r="R342" s="2" t="inlineStr"/>
    </row>
    <row r="343" ht="15" customHeight="1">
      <c r="A343" t="inlineStr">
        <is>
          <t>A 3843-2022</t>
        </is>
      </c>
      <c r="B343" s="1" t="n">
        <v>44586</v>
      </c>
      <c r="C343" s="1" t="n">
        <v>45877</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3951-2022</t>
        </is>
      </c>
      <c r="B344" s="1" t="n">
        <v>44587</v>
      </c>
      <c r="C344" s="1" t="n">
        <v>45877</v>
      </c>
      <c r="D344" t="inlineStr">
        <is>
          <t>NORRBOTTENS LÄN</t>
        </is>
      </c>
      <c r="E344" t="inlineStr">
        <is>
          <t>LULEÅ</t>
        </is>
      </c>
      <c r="G344" t="n">
        <v>2.7</v>
      </c>
      <c r="H344" t="n">
        <v>0</v>
      </c>
      <c r="I344" t="n">
        <v>0</v>
      </c>
      <c r="J344" t="n">
        <v>0</v>
      </c>
      <c r="K344" t="n">
        <v>0</v>
      </c>
      <c r="L344" t="n">
        <v>0</v>
      </c>
      <c r="M344" t="n">
        <v>0</v>
      </c>
      <c r="N344" t="n">
        <v>0</v>
      </c>
      <c r="O344" t="n">
        <v>0</v>
      </c>
      <c r="P344" t="n">
        <v>0</v>
      </c>
      <c r="Q344" t="n">
        <v>0</v>
      </c>
      <c r="R344" s="2" t="inlineStr"/>
    </row>
    <row r="345" ht="15" customHeight="1">
      <c r="A345" t="inlineStr">
        <is>
          <t>A 8472-2022</t>
        </is>
      </c>
      <c r="B345" s="1" t="n">
        <v>44610</v>
      </c>
      <c r="C345" s="1" t="n">
        <v>45877</v>
      </c>
      <c r="D345" t="inlineStr">
        <is>
          <t>NORRBOTTENS LÄN</t>
        </is>
      </c>
      <c r="E345" t="inlineStr">
        <is>
          <t>LULEÅ</t>
        </is>
      </c>
      <c r="G345" t="n">
        <v>5.1</v>
      </c>
      <c r="H345" t="n">
        <v>0</v>
      </c>
      <c r="I345" t="n">
        <v>0</v>
      </c>
      <c r="J345" t="n">
        <v>0</v>
      </c>
      <c r="K345" t="n">
        <v>0</v>
      </c>
      <c r="L345" t="n">
        <v>0</v>
      </c>
      <c r="M345" t="n">
        <v>0</v>
      </c>
      <c r="N345" t="n">
        <v>0</v>
      </c>
      <c r="O345" t="n">
        <v>0</v>
      </c>
      <c r="P345" t="n">
        <v>0</v>
      </c>
      <c r="Q345" t="n">
        <v>0</v>
      </c>
      <c r="R345" s="2" t="inlineStr"/>
    </row>
    <row r="346" ht="15" customHeight="1">
      <c r="A346" t="inlineStr">
        <is>
          <t>A 8390-2022</t>
        </is>
      </c>
      <c r="B346" s="1" t="n">
        <v>44610</v>
      </c>
      <c r="C346" s="1" t="n">
        <v>45877</v>
      </c>
      <c r="D346" t="inlineStr">
        <is>
          <t>NORRBOTTENS LÄN</t>
        </is>
      </c>
      <c r="E346" t="inlineStr">
        <is>
          <t>LULEÅ</t>
        </is>
      </c>
      <c r="G346" t="n">
        <v>5.8</v>
      </c>
      <c r="H346" t="n">
        <v>0</v>
      </c>
      <c r="I346" t="n">
        <v>0</v>
      </c>
      <c r="J346" t="n">
        <v>0</v>
      </c>
      <c r="K346" t="n">
        <v>0</v>
      </c>
      <c r="L346" t="n">
        <v>0</v>
      </c>
      <c r="M346" t="n">
        <v>0</v>
      </c>
      <c r="N346" t="n">
        <v>0</v>
      </c>
      <c r="O346" t="n">
        <v>0</v>
      </c>
      <c r="P346" t="n">
        <v>0</v>
      </c>
      <c r="Q346" t="n">
        <v>0</v>
      </c>
      <c r="R346" s="2" t="inlineStr"/>
    </row>
    <row r="347" ht="15" customHeight="1">
      <c r="A347" t="inlineStr">
        <is>
          <t>A 8521-2022</t>
        </is>
      </c>
      <c r="B347" s="1" t="n">
        <v>44610</v>
      </c>
      <c r="C347" s="1" t="n">
        <v>45877</v>
      </c>
      <c r="D347" t="inlineStr">
        <is>
          <t>NORRBOTTENS LÄN</t>
        </is>
      </c>
      <c r="E347" t="inlineStr">
        <is>
          <t>LULEÅ</t>
        </is>
      </c>
      <c r="G347" t="n">
        <v>2.2</v>
      </c>
      <c r="H347" t="n">
        <v>0</v>
      </c>
      <c r="I347" t="n">
        <v>0</v>
      </c>
      <c r="J347" t="n">
        <v>0</v>
      </c>
      <c r="K347" t="n">
        <v>0</v>
      </c>
      <c r="L347" t="n">
        <v>0</v>
      </c>
      <c r="M347" t="n">
        <v>0</v>
      </c>
      <c r="N347" t="n">
        <v>0</v>
      </c>
      <c r="O347" t="n">
        <v>0</v>
      </c>
      <c r="P347" t="n">
        <v>0</v>
      </c>
      <c r="Q347" t="n">
        <v>0</v>
      </c>
      <c r="R347" s="2" t="inlineStr"/>
    </row>
    <row r="348" ht="15" customHeight="1">
      <c r="A348" t="inlineStr">
        <is>
          <t>A 9580-2022</t>
        </is>
      </c>
      <c r="B348" s="1" t="n">
        <v>44617</v>
      </c>
      <c r="C348" s="1" t="n">
        <v>45877</v>
      </c>
      <c r="D348" t="inlineStr">
        <is>
          <t>NORRBOTTENS LÄN</t>
        </is>
      </c>
      <c r="E348" t="inlineStr">
        <is>
          <t>LULEÅ</t>
        </is>
      </c>
      <c r="G348" t="n">
        <v>2.8</v>
      </c>
      <c r="H348" t="n">
        <v>0</v>
      </c>
      <c r="I348" t="n">
        <v>0</v>
      </c>
      <c r="J348" t="n">
        <v>0</v>
      </c>
      <c r="K348" t="n">
        <v>0</v>
      </c>
      <c r="L348" t="n">
        <v>0</v>
      </c>
      <c r="M348" t="n">
        <v>0</v>
      </c>
      <c r="N348" t="n">
        <v>0</v>
      </c>
      <c r="O348" t="n">
        <v>0</v>
      </c>
      <c r="P348" t="n">
        <v>0</v>
      </c>
      <c r="Q348" t="n">
        <v>0</v>
      </c>
      <c r="R348" s="2" t="inlineStr"/>
    </row>
    <row r="349" ht="15" customHeight="1">
      <c r="A349" t="inlineStr">
        <is>
          <t>A 9582-2022</t>
        </is>
      </c>
      <c r="B349" s="1" t="n">
        <v>44617</v>
      </c>
      <c r="C349" s="1" t="n">
        <v>45877</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9706-2022</t>
        </is>
      </c>
      <c r="B350" s="1" t="n">
        <v>44617</v>
      </c>
      <c r="C350" s="1" t="n">
        <v>45877</v>
      </c>
      <c r="D350" t="inlineStr">
        <is>
          <t>NORRBOTTENS LÄN</t>
        </is>
      </c>
      <c r="E350" t="inlineStr">
        <is>
          <t>LULEÅ</t>
        </is>
      </c>
      <c r="G350" t="n">
        <v>1.7</v>
      </c>
      <c r="H350" t="n">
        <v>0</v>
      </c>
      <c r="I350" t="n">
        <v>0</v>
      </c>
      <c r="J350" t="n">
        <v>0</v>
      </c>
      <c r="K350" t="n">
        <v>0</v>
      </c>
      <c r="L350" t="n">
        <v>0</v>
      </c>
      <c r="M350" t="n">
        <v>0</v>
      </c>
      <c r="N350" t="n">
        <v>0</v>
      </c>
      <c r="O350" t="n">
        <v>0</v>
      </c>
      <c r="P350" t="n">
        <v>0</v>
      </c>
      <c r="Q350" t="n">
        <v>0</v>
      </c>
      <c r="R350" s="2" t="inlineStr"/>
    </row>
    <row r="351" ht="15" customHeight="1">
      <c r="A351" t="inlineStr">
        <is>
          <t>A 9929-2022</t>
        </is>
      </c>
      <c r="B351" s="1" t="n">
        <v>44620</v>
      </c>
      <c r="C351" s="1" t="n">
        <v>45877</v>
      </c>
      <c r="D351" t="inlineStr">
        <is>
          <t>NORRBOTTENS LÄN</t>
        </is>
      </c>
      <c r="E351" t="inlineStr">
        <is>
          <t>LULEÅ</t>
        </is>
      </c>
      <c r="G351" t="n">
        <v>1.2</v>
      </c>
      <c r="H351" t="n">
        <v>0</v>
      </c>
      <c r="I351" t="n">
        <v>0</v>
      </c>
      <c r="J351" t="n">
        <v>0</v>
      </c>
      <c r="K351" t="n">
        <v>0</v>
      </c>
      <c r="L351" t="n">
        <v>0</v>
      </c>
      <c r="M351" t="n">
        <v>0</v>
      </c>
      <c r="N351" t="n">
        <v>0</v>
      </c>
      <c r="O351" t="n">
        <v>0</v>
      </c>
      <c r="P351" t="n">
        <v>0</v>
      </c>
      <c r="Q351" t="n">
        <v>0</v>
      </c>
      <c r="R351" s="2" t="inlineStr"/>
    </row>
    <row r="352" ht="15" customHeight="1">
      <c r="A352" t="inlineStr">
        <is>
          <t>A 9930-2022</t>
        </is>
      </c>
      <c r="B352" s="1" t="n">
        <v>44620</v>
      </c>
      <c r="C352" s="1" t="n">
        <v>45877</v>
      </c>
      <c r="D352" t="inlineStr">
        <is>
          <t>NORRBOTTENS LÄN</t>
        </is>
      </c>
      <c r="E352" t="inlineStr">
        <is>
          <t>LULEÅ</t>
        </is>
      </c>
      <c r="G352" t="n">
        <v>0.8</v>
      </c>
      <c r="H352" t="n">
        <v>0</v>
      </c>
      <c r="I352" t="n">
        <v>0</v>
      </c>
      <c r="J352" t="n">
        <v>0</v>
      </c>
      <c r="K352" t="n">
        <v>0</v>
      </c>
      <c r="L352" t="n">
        <v>0</v>
      </c>
      <c r="M352" t="n">
        <v>0</v>
      </c>
      <c r="N352" t="n">
        <v>0</v>
      </c>
      <c r="O352" t="n">
        <v>0</v>
      </c>
      <c r="P352" t="n">
        <v>0</v>
      </c>
      <c r="Q352" t="n">
        <v>0</v>
      </c>
      <c r="R352" s="2" t="inlineStr"/>
    </row>
    <row r="353" ht="15" customHeight="1">
      <c r="A353" t="inlineStr">
        <is>
          <t>A 9932-2022</t>
        </is>
      </c>
      <c r="B353" s="1" t="n">
        <v>44620</v>
      </c>
      <c r="C353" s="1" t="n">
        <v>45877</v>
      </c>
      <c r="D353" t="inlineStr">
        <is>
          <t>NORRBOTTENS LÄN</t>
        </is>
      </c>
      <c r="E353" t="inlineStr">
        <is>
          <t>LULEÅ</t>
        </is>
      </c>
      <c r="G353" t="n">
        <v>3.8</v>
      </c>
      <c r="H353" t="n">
        <v>0</v>
      </c>
      <c r="I353" t="n">
        <v>0</v>
      </c>
      <c r="J353" t="n">
        <v>0</v>
      </c>
      <c r="K353" t="n">
        <v>0</v>
      </c>
      <c r="L353" t="n">
        <v>0</v>
      </c>
      <c r="M353" t="n">
        <v>0</v>
      </c>
      <c r="N353" t="n">
        <v>0</v>
      </c>
      <c r="O353" t="n">
        <v>0</v>
      </c>
      <c r="P353" t="n">
        <v>0</v>
      </c>
      <c r="Q353" t="n">
        <v>0</v>
      </c>
      <c r="R353" s="2" t="inlineStr"/>
    </row>
    <row r="354" ht="15" customHeight="1">
      <c r="A354" t="inlineStr">
        <is>
          <t>A 10303-2022</t>
        </is>
      </c>
      <c r="B354" s="1" t="n">
        <v>44622</v>
      </c>
      <c r="C354" s="1" t="n">
        <v>45877</v>
      </c>
      <c r="D354" t="inlineStr">
        <is>
          <t>NORRBOTTENS LÄN</t>
        </is>
      </c>
      <c r="E354" t="inlineStr">
        <is>
          <t>LULEÅ</t>
        </is>
      </c>
      <c r="G354" t="n">
        <v>1.1</v>
      </c>
      <c r="H354" t="n">
        <v>0</v>
      </c>
      <c r="I354" t="n">
        <v>0</v>
      </c>
      <c r="J354" t="n">
        <v>0</v>
      </c>
      <c r="K354" t="n">
        <v>0</v>
      </c>
      <c r="L354" t="n">
        <v>0</v>
      </c>
      <c r="M354" t="n">
        <v>0</v>
      </c>
      <c r="N354" t="n">
        <v>0</v>
      </c>
      <c r="O354" t="n">
        <v>0</v>
      </c>
      <c r="P354" t="n">
        <v>0</v>
      </c>
      <c r="Q354" t="n">
        <v>0</v>
      </c>
      <c r="R354" s="2" t="inlineStr"/>
    </row>
    <row r="355" ht="15" customHeight="1">
      <c r="A355" t="inlineStr">
        <is>
          <t>A 10304-2022</t>
        </is>
      </c>
      <c r="B355" s="1" t="n">
        <v>44622</v>
      </c>
      <c r="C355" s="1" t="n">
        <v>45877</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10195-2022</t>
        </is>
      </c>
      <c r="B356" s="1" t="n">
        <v>44622</v>
      </c>
      <c r="C356" s="1" t="n">
        <v>45877</v>
      </c>
      <c r="D356" t="inlineStr">
        <is>
          <t>NORRBOTTENS LÄN</t>
        </is>
      </c>
      <c r="E356" t="inlineStr">
        <is>
          <t>LULEÅ</t>
        </is>
      </c>
      <c r="G356" t="n">
        <v>33.4</v>
      </c>
      <c r="H356" t="n">
        <v>0</v>
      </c>
      <c r="I356" t="n">
        <v>0</v>
      </c>
      <c r="J356" t="n">
        <v>0</v>
      </c>
      <c r="K356" t="n">
        <v>0</v>
      </c>
      <c r="L356" t="n">
        <v>0</v>
      </c>
      <c r="M356" t="n">
        <v>0</v>
      </c>
      <c r="N356" t="n">
        <v>0</v>
      </c>
      <c r="O356" t="n">
        <v>0</v>
      </c>
      <c r="P356" t="n">
        <v>0</v>
      </c>
      <c r="Q356" t="n">
        <v>0</v>
      </c>
      <c r="R356" s="2" t="inlineStr"/>
    </row>
    <row r="357" ht="15" customHeight="1">
      <c r="A357" t="inlineStr">
        <is>
          <t>A 11793-2022</t>
        </is>
      </c>
      <c r="B357" s="1" t="n">
        <v>44634</v>
      </c>
      <c r="C357" s="1" t="n">
        <v>45877</v>
      </c>
      <c r="D357" t="inlineStr">
        <is>
          <t>NORRBOTTENS LÄN</t>
        </is>
      </c>
      <c r="E357" t="inlineStr">
        <is>
          <t>LULEÅ</t>
        </is>
      </c>
      <c r="G357" t="n">
        <v>5.3</v>
      </c>
      <c r="H357" t="n">
        <v>0</v>
      </c>
      <c r="I357" t="n">
        <v>0</v>
      </c>
      <c r="J357" t="n">
        <v>0</v>
      </c>
      <c r="K357" t="n">
        <v>0</v>
      </c>
      <c r="L357" t="n">
        <v>0</v>
      </c>
      <c r="M357" t="n">
        <v>0</v>
      </c>
      <c r="N357" t="n">
        <v>0</v>
      </c>
      <c r="O357" t="n">
        <v>0</v>
      </c>
      <c r="P357" t="n">
        <v>0</v>
      </c>
      <c r="Q357" t="n">
        <v>0</v>
      </c>
      <c r="R357" s="2" t="inlineStr"/>
    </row>
    <row r="358" ht="15" customHeight="1">
      <c r="A358" t="inlineStr">
        <is>
          <t>A 11833-2022</t>
        </is>
      </c>
      <c r="B358" s="1" t="n">
        <v>44634</v>
      </c>
      <c r="C358" s="1" t="n">
        <v>45877</v>
      </c>
      <c r="D358" t="inlineStr">
        <is>
          <t>NORRBOTTENS LÄN</t>
        </is>
      </c>
      <c r="E358" t="inlineStr">
        <is>
          <t>LULEÅ</t>
        </is>
      </c>
      <c r="G358" t="n">
        <v>1.4</v>
      </c>
      <c r="H358" t="n">
        <v>0</v>
      </c>
      <c r="I358" t="n">
        <v>0</v>
      </c>
      <c r="J358" t="n">
        <v>0</v>
      </c>
      <c r="K358" t="n">
        <v>0</v>
      </c>
      <c r="L358" t="n">
        <v>0</v>
      </c>
      <c r="M358" t="n">
        <v>0</v>
      </c>
      <c r="N358" t="n">
        <v>0</v>
      </c>
      <c r="O358" t="n">
        <v>0</v>
      </c>
      <c r="P358" t="n">
        <v>0</v>
      </c>
      <c r="Q358" t="n">
        <v>0</v>
      </c>
      <c r="R358" s="2" t="inlineStr"/>
    </row>
    <row r="359" ht="15" customHeight="1">
      <c r="A359" t="inlineStr">
        <is>
          <t>A 12010-2022</t>
        </is>
      </c>
      <c r="B359" s="1" t="n">
        <v>44635</v>
      </c>
      <c r="C359" s="1" t="n">
        <v>45877</v>
      </c>
      <c r="D359" t="inlineStr">
        <is>
          <t>NORRBOTTENS LÄN</t>
        </is>
      </c>
      <c r="E359" t="inlineStr">
        <is>
          <t>LULEÅ</t>
        </is>
      </c>
      <c r="G359" t="n">
        <v>0.4</v>
      </c>
      <c r="H359" t="n">
        <v>0</v>
      </c>
      <c r="I359" t="n">
        <v>0</v>
      </c>
      <c r="J359" t="n">
        <v>0</v>
      </c>
      <c r="K359" t="n">
        <v>0</v>
      </c>
      <c r="L359" t="n">
        <v>0</v>
      </c>
      <c r="M359" t="n">
        <v>0</v>
      </c>
      <c r="N359" t="n">
        <v>0</v>
      </c>
      <c r="O359" t="n">
        <v>0</v>
      </c>
      <c r="P359" t="n">
        <v>0</v>
      </c>
      <c r="Q359" t="n">
        <v>0</v>
      </c>
      <c r="R359" s="2" t="inlineStr"/>
    </row>
    <row r="360" ht="15" customHeight="1">
      <c r="A360" t="inlineStr">
        <is>
          <t>A 13095-2022</t>
        </is>
      </c>
      <c r="B360" s="1" t="n">
        <v>44643</v>
      </c>
      <c r="C360" s="1" t="n">
        <v>45877</v>
      </c>
      <c r="D360" t="inlineStr">
        <is>
          <t>NORRBOTTENS LÄN</t>
        </is>
      </c>
      <c r="E360" t="inlineStr">
        <is>
          <t>LULEÅ</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14561-2022</t>
        </is>
      </c>
      <c r="B361" s="1" t="n">
        <v>44655</v>
      </c>
      <c r="C361" s="1" t="n">
        <v>45877</v>
      </c>
      <c r="D361" t="inlineStr">
        <is>
          <t>NORRBOTTENS LÄN</t>
        </is>
      </c>
      <c r="E361" t="inlineStr">
        <is>
          <t>LULEÅ</t>
        </is>
      </c>
      <c r="G361" t="n">
        <v>0.7</v>
      </c>
      <c r="H361" t="n">
        <v>0</v>
      </c>
      <c r="I361" t="n">
        <v>0</v>
      </c>
      <c r="J361" t="n">
        <v>0</v>
      </c>
      <c r="K361" t="n">
        <v>0</v>
      </c>
      <c r="L361" t="n">
        <v>0</v>
      </c>
      <c r="M361" t="n">
        <v>0</v>
      </c>
      <c r="N361" t="n">
        <v>0</v>
      </c>
      <c r="O361" t="n">
        <v>0</v>
      </c>
      <c r="P361" t="n">
        <v>0</v>
      </c>
      <c r="Q361" t="n">
        <v>0</v>
      </c>
      <c r="R361" s="2" t="inlineStr"/>
    </row>
    <row r="362" ht="15" customHeight="1">
      <c r="A362" t="inlineStr">
        <is>
          <t>A 15047-2022</t>
        </is>
      </c>
      <c r="B362" s="1" t="n">
        <v>44657</v>
      </c>
      <c r="C362" s="1" t="n">
        <v>45877</v>
      </c>
      <c r="D362" t="inlineStr">
        <is>
          <t>NORRBOTTENS LÄN</t>
        </is>
      </c>
      <c r="E362" t="inlineStr">
        <is>
          <t>LULEÅ</t>
        </is>
      </c>
      <c r="G362" t="n">
        <v>3.2</v>
      </c>
      <c r="H362" t="n">
        <v>0</v>
      </c>
      <c r="I362" t="n">
        <v>0</v>
      </c>
      <c r="J362" t="n">
        <v>0</v>
      </c>
      <c r="K362" t="n">
        <v>0</v>
      </c>
      <c r="L362" t="n">
        <v>0</v>
      </c>
      <c r="M362" t="n">
        <v>0</v>
      </c>
      <c r="N362" t="n">
        <v>0</v>
      </c>
      <c r="O362" t="n">
        <v>0</v>
      </c>
      <c r="P362" t="n">
        <v>0</v>
      </c>
      <c r="Q362" t="n">
        <v>0</v>
      </c>
      <c r="R362" s="2" t="inlineStr"/>
    </row>
    <row r="363" ht="15" customHeight="1">
      <c r="A363" t="inlineStr">
        <is>
          <t>A 15194-2022</t>
        </is>
      </c>
      <c r="B363" s="1" t="n">
        <v>44658</v>
      </c>
      <c r="C363" s="1" t="n">
        <v>45877</v>
      </c>
      <c r="D363" t="inlineStr">
        <is>
          <t>NORRBOTTENS LÄN</t>
        </is>
      </c>
      <c r="E363" t="inlineStr">
        <is>
          <t>LULEÅ</t>
        </is>
      </c>
      <c r="G363" t="n">
        <v>26.9</v>
      </c>
      <c r="H363" t="n">
        <v>0</v>
      </c>
      <c r="I363" t="n">
        <v>0</v>
      </c>
      <c r="J363" t="n">
        <v>0</v>
      </c>
      <c r="K363" t="n">
        <v>0</v>
      </c>
      <c r="L363" t="n">
        <v>0</v>
      </c>
      <c r="M363" t="n">
        <v>0</v>
      </c>
      <c r="N363" t="n">
        <v>0</v>
      </c>
      <c r="O363" t="n">
        <v>0</v>
      </c>
      <c r="P363" t="n">
        <v>0</v>
      </c>
      <c r="Q363" t="n">
        <v>0</v>
      </c>
      <c r="R363" s="2" t="inlineStr"/>
    </row>
    <row r="364" ht="15" customHeight="1">
      <c r="A364" t="inlineStr">
        <is>
          <t>A 15848-2022</t>
        </is>
      </c>
      <c r="B364" s="1" t="n">
        <v>44664</v>
      </c>
      <c r="C364" s="1" t="n">
        <v>45877</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16793-2022</t>
        </is>
      </c>
      <c r="B365" s="1" t="n">
        <v>44673</v>
      </c>
      <c r="C365" s="1" t="n">
        <v>45877</v>
      </c>
      <c r="D365" t="inlineStr">
        <is>
          <t>NORRBOTTENS LÄN</t>
        </is>
      </c>
      <c r="E365" t="inlineStr">
        <is>
          <t>LULEÅ</t>
        </is>
      </c>
      <c r="G365" t="n">
        <v>3.9</v>
      </c>
      <c r="H365" t="n">
        <v>0</v>
      </c>
      <c r="I365" t="n">
        <v>0</v>
      </c>
      <c r="J365" t="n">
        <v>0</v>
      </c>
      <c r="K365" t="n">
        <v>0</v>
      </c>
      <c r="L365" t="n">
        <v>0</v>
      </c>
      <c r="M365" t="n">
        <v>0</v>
      </c>
      <c r="N365" t="n">
        <v>0</v>
      </c>
      <c r="O365" t="n">
        <v>0</v>
      </c>
      <c r="P365" t="n">
        <v>0</v>
      </c>
      <c r="Q365" t="n">
        <v>0</v>
      </c>
      <c r="R365" s="2" t="inlineStr"/>
    </row>
    <row r="366" ht="15" customHeight="1">
      <c r="A366" t="inlineStr">
        <is>
          <t>A 16987-2022</t>
        </is>
      </c>
      <c r="B366" s="1" t="n">
        <v>44676</v>
      </c>
      <c r="C366" s="1" t="n">
        <v>45877</v>
      </c>
      <c r="D366" t="inlineStr">
        <is>
          <t>NORRBOTTENS LÄN</t>
        </is>
      </c>
      <c r="E366" t="inlineStr">
        <is>
          <t>LULEÅ</t>
        </is>
      </c>
      <c r="G366" t="n">
        <v>29.9</v>
      </c>
      <c r="H366" t="n">
        <v>0</v>
      </c>
      <c r="I366" t="n">
        <v>0</v>
      </c>
      <c r="J366" t="n">
        <v>0</v>
      </c>
      <c r="K366" t="n">
        <v>0</v>
      </c>
      <c r="L366" t="n">
        <v>0</v>
      </c>
      <c r="M366" t="n">
        <v>0</v>
      </c>
      <c r="N366" t="n">
        <v>0</v>
      </c>
      <c r="O366" t="n">
        <v>0</v>
      </c>
      <c r="P366" t="n">
        <v>0</v>
      </c>
      <c r="Q366" t="n">
        <v>0</v>
      </c>
      <c r="R366" s="2" t="inlineStr"/>
    </row>
    <row r="367" ht="15" customHeight="1">
      <c r="A367" t="inlineStr">
        <is>
          <t>A 17548-2022</t>
        </is>
      </c>
      <c r="B367" s="1" t="n">
        <v>44679</v>
      </c>
      <c r="C367" s="1" t="n">
        <v>45877</v>
      </c>
      <c r="D367" t="inlineStr">
        <is>
          <t>NORRBOTTENS LÄN</t>
        </is>
      </c>
      <c r="E367" t="inlineStr">
        <is>
          <t>LULEÅ</t>
        </is>
      </c>
      <c r="G367" t="n">
        <v>8.6</v>
      </c>
      <c r="H367" t="n">
        <v>0</v>
      </c>
      <c r="I367" t="n">
        <v>0</v>
      </c>
      <c r="J367" t="n">
        <v>0</v>
      </c>
      <c r="K367" t="n">
        <v>0</v>
      </c>
      <c r="L367" t="n">
        <v>0</v>
      </c>
      <c r="M367" t="n">
        <v>0</v>
      </c>
      <c r="N367" t="n">
        <v>0</v>
      </c>
      <c r="O367" t="n">
        <v>0</v>
      </c>
      <c r="P367" t="n">
        <v>0</v>
      </c>
      <c r="Q367" t="n">
        <v>0</v>
      </c>
      <c r="R367" s="2" t="inlineStr"/>
    </row>
    <row r="368" ht="15" customHeight="1">
      <c r="A368" t="inlineStr">
        <is>
          <t>A 19392-2022</t>
        </is>
      </c>
      <c r="B368" s="1" t="n">
        <v>44693</v>
      </c>
      <c r="C368" s="1" t="n">
        <v>45877</v>
      </c>
      <c r="D368" t="inlineStr">
        <is>
          <t>NORRBOTTENS LÄN</t>
        </is>
      </c>
      <c r="E368" t="inlineStr">
        <is>
          <t>LULEÅ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19391-2022</t>
        </is>
      </c>
      <c r="B369" s="1" t="n">
        <v>44693</v>
      </c>
      <c r="C369" s="1" t="n">
        <v>45877</v>
      </c>
      <c r="D369" t="inlineStr">
        <is>
          <t>NORRBOTTENS LÄN</t>
        </is>
      </c>
      <c r="E369" t="inlineStr">
        <is>
          <t>LULEÅ</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19790-2022</t>
        </is>
      </c>
      <c r="B370" s="1" t="n">
        <v>44695</v>
      </c>
      <c r="C370" s="1" t="n">
        <v>45877</v>
      </c>
      <c r="D370" t="inlineStr">
        <is>
          <t>NORRBOTTENS LÄN</t>
        </is>
      </c>
      <c r="E370" t="inlineStr">
        <is>
          <t>LULEÅ</t>
        </is>
      </c>
      <c r="G370" t="n">
        <v>6.1</v>
      </c>
      <c r="H370" t="n">
        <v>0</v>
      </c>
      <c r="I370" t="n">
        <v>0</v>
      </c>
      <c r="J370" t="n">
        <v>0</v>
      </c>
      <c r="K370" t="n">
        <v>0</v>
      </c>
      <c r="L370" t="n">
        <v>0</v>
      </c>
      <c r="M370" t="n">
        <v>0</v>
      </c>
      <c r="N370" t="n">
        <v>0</v>
      </c>
      <c r="O370" t="n">
        <v>0</v>
      </c>
      <c r="P370" t="n">
        <v>0</v>
      </c>
      <c r="Q370" t="n">
        <v>0</v>
      </c>
      <c r="R370" s="2" t="inlineStr"/>
    </row>
    <row r="371" ht="15" customHeight="1">
      <c r="A371" t="inlineStr">
        <is>
          <t>A 19791-2022</t>
        </is>
      </c>
      <c r="B371" s="1" t="n">
        <v>44695</v>
      </c>
      <c r="C371" s="1" t="n">
        <v>45877</v>
      </c>
      <c r="D371" t="inlineStr">
        <is>
          <t>NORRBOTTENS LÄN</t>
        </is>
      </c>
      <c r="E371" t="inlineStr">
        <is>
          <t>LULEÅ</t>
        </is>
      </c>
      <c r="G371" t="n">
        <v>2.9</v>
      </c>
      <c r="H371" t="n">
        <v>0</v>
      </c>
      <c r="I371" t="n">
        <v>0</v>
      </c>
      <c r="J371" t="n">
        <v>0</v>
      </c>
      <c r="K371" t="n">
        <v>0</v>
      </c>
      <c r="L371" t="n">
        <v>0</v>
      </c>
      <c r="M371" t="n">
        <v>0</v>
      </c>
      <c r="N371" t="n">
        <v>0</v>
      </c>
      <c r="O371" t="n">
        <v>0</v>
      </c>
      <c r="P371" t="n">
        <v>0</v>
      </c>
      <c r="Q371" t="n">
        <v>0</v>
      </c>
      <c r="R371" s="2" t="inlineStr"/>
    </row>
    <row r="372" ht="15" customHeight="1">
      <c r="A372" t="inlineStr">
        <is>
          <t>A 22784-2022</t>
        </is>
      </c>
      <c r="B372" s="1" t="n">
        <v>44714</v>
      </c>
      <c r="C372" s="1" t="n">
        <v>45877</v>
      </c>
      <c r="D372" t="inlineStr">
        <is>
          <t>NORRBOTTENS LÄN</t>
        </is>
      </c>
      <c r="E372" t="inlineStr">
        <is>
          <t>LULEÅ</t>
        </is>
      </c>
      <c r="F372" t="inlineStr">
        <is>
          <t>SCA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23166-2022</t>
        </is>
      </c>
      <c r="B373" s="1" t="n">
        <v>44720</v>
      </c>
      <c r="C373" s="1" t="n">
        <v>45877</v>
      </c>
      <c r="D373" t="inlineStr">
        <is>
          <t>NORRBOTTENS LÄN</t>
        </is>
      </c>
      <c r="E373" t="inlineStr">
        <is>
          <t>LULEÅ</t>
        </is>
      </c>
      <c r="G373" t="n">
        <v>5.7</v>
      </c>
      <c r="H373" t="n">
        <v>0</v>
      </c>
      <c r="I373" t="n">
        <v>0</v>
      </c>
      <c r="J373" t="n">
        <v>0</v>
      </c>
      <c r="K373" t="n">
        <v>0</v>
      </c>
      <c r="L373" t="n">
        <v>0</v>
      </c>
      <c r="M373" t="n">
        <v>0</v>
      </c>
      <c r="N373" t="n">
        <v>0</v>
      </c>
      <c r="O373" t="n">
        <v>0</v>
      </c>
      <c r="P373" t="n">
        <v>0</v>
      </c>
      <c r="Q373" t="n">
        <v>0</v>
      </c>
      <c r="R373" s="2" t="inlineStr"/>
    </row>
    <row r="374" ht="15" customHeight="1">
      <c r="A374" t="inlineStr">
        <is>
          <t>A 23884-2022</t>
        </is>
      </c>
      <c r="B374" s="1" t="n">
        <v>44722</v>
      </c>
      <c r="C374" s="1" t="n">
        <v>45877</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24995-2022</t>
        </is>
      </c>
      <c r="B375" s="1" t="n">
        <v>44729</v>
      </c>
      <c r="C375" s="1" t="n">
        <v>45877</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26267-2022</t>
        </is>
      </c>
      <c r="B376" s="1" t="n">
        <v>44735</v>
      </c>
      <c r="C376" s="1" t="n">
        <v>45877</v>
      </c>
      <c r="D376" t="inlineStr">
        <is>
          <t>NORRBOTTENS LÄN</t>
        </is>
      </c>
      <c r="E376" t="inlineStr">
        <is>
          <t>LULEÅ</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27108-2022</t>
        </is>
      </c>
      <c r="B377" s="1" t="n">
        <v>44741</v>
      </c>
      <c r="C377" s="1" t="n">
        <v>45877</v>
      </c>
      <c r="D377" t="inlineStr">
        <is>
          <t>NORRBOTTENS LÄN</t>
        </is>
      </c>
      <c r="E377" t="inlineStr">
        <is>
          <t>LULEÅ</t>
        </is>
      </c>
      <c r="G377" t="n">
        <v>3.5</v>
      </c>
      <c r="H377" t="n">
        <v>0</v>
      </c>
      <c r="I377" t="n">
        <v>0</v>
      </c>
      <c r="J377" t="n">
        <v>0</v>
      </c>
      <c r="K377" t="n">
        <v>0</v>
      </c>
      <c r="L377" t="n">
        <v>0</v>
      </c>
      <c r="M377" t="n">
        <v>0</v>
      </c>
      <c r="N377" t="n">
        <v>0</v>
      </c>
      <c r="O377" t="n">
        <v>0</v>
      </c>
      <c r="P377" t="n">
        <v>0</v>
      </c>
      <c r="Q377" t="n">
        <v>0</v>
      </c>
      <c r="R377" s="2" t="inlineStr"/>
    </row>
    <row r="378" ht="15" customHeight="1">
      <c r="A378" t="inlineStr">
        <is>
          <t>A 27305-2022</t>
        </is>
      </c>
      <c r="B378" s="1" t="n">
        <v>44741</v>
      </c>
      <c r="C378" s="1" t="n">
        <v>45877</v>
      </c>
      <c r="D378" t="inlineStr">
        <is>
          <t>NORRBOTTENS LÄN</t>
        </is>
      </c>
      <c r="E378" t="inlineStr">
        <is>
          <t>LULEÅ</t>
        </is>
      </c>
      <c r="G378" t="n">
        <v>1.4</v>
      </c>
      <c r="H378" t="n">
        <v>0</v>
      </c>
      <c r="I378" t="n">
        <v>0</v>
      </c>
      <c r="J378" t="n">
        <v>0</v>
      </c>
      <c r="K378" t="n">
        <v>0</v>
      </c>
      <c r="L378" t="n">
        <v>0</v>
      </c>
      <c r="M378" t="n">
        <v>0</v>
      </c>
      <c r="N378" t="n">
        <v>0</v>
      </c>
      <c r="O378" t="n">
        <v>0</v>
      </c>
      <c r="P378" t="n">
        <v>0</v>
      </c>
      <c r="Q378" t="n">
        <v>0</v>
      </c>
      <c r="R378" s="2" t="inlineStr"/>
    </row>
    <row r="379" ht="15" customHeight="1">
      <c r="A379" t="inlineStr">
        <is>
          <t>A 27303-2022</t>
        </is>
      </c>
      <c r="B379" s="1" t="n">
        <v>44741</v>
      </c>
      <c r="C379" s="1" t="n">
        <v>45877</v>
      </c>
      <c r="D379" t="inlineStr">
        <is>
          <t>NORRBOTTENS LÄN</t>
        </is>
      </c>
      <c r="E379" t="inlineStr">
        <is>
          <t>LULEÅ</t>
        </is>
      </c>
      <c r="G379" t="n">
        <v>1.5</v>
      </c>
      <c r="H379" t="n">
        <v>0</v>
      </c>
      <c r="I379" t="n">
        <v>0</v>
      </c>
      <c r="J379" t="n">
        <v>0</v>
      </c>
      <c r="K379" t="n">
        <v>0</v>
      </c>
      <c r="L379" t="n">
        <v>0</v>
      </c>
      <c r="M379" t="n">
        <v>0</v>
      </c>
      <c r="N379" t="n">
        <v>0</v>
      </c>
      <c r="O379" t="n">
        <v>0</v>
      </c>
      <c r="P379" t="n">
        <v>0</v>
      </c>
      <c r="Q379" t="n">
        <v>0</v>
      </c>
      <c r="R379" s="2" t="inlineStr"/>
    </row>
    <row r="380" ht="15" customHeight="1">
      <c r="A380" t="inlineStr">
        <is>
          <t>A 28274-2022</t>
        </is>
      </c>
      <c r="B380" s="1" t="n">
        <v>44747</v>
      </c>
      <c r="C380" s="1" t="n">
        <v>45877</v>
      </c>
      <c r="D380" t="inlineStr">
        <is>
          <t>NORRBOTTENS LÄN</t>
        </is>
      </c>
      <c r="E380" t="inlineStr">
        <is>
          <t>LULEÅ</t>
        </is>
      </c>
      <c r="G380" t="n">
        <v>6.4</v>
      </c>
      <c r="H380" t="n">
        <v>0</v>
      </c>
      <c r="I380" t="n">
        <v>0</v>
      </c>
      <c r="J380" t="n">
        <v>0</v>
      </c>
      <c r="K380" t="n">
        <v>0</v>
      </c>
      <c r="L380" t="n">
        <v>0</v>
      </c>
      <c r="M380" t="n">
        <v>0</v>
      </c>
      <c r="N380" t="n">
        <v>0</v>
      </c>
      <c r="O380" t="n">
        <v>0</v>
      </c>
      <c r="P380" t="n">
        <v>0</v>
      </c>
      <c r="Q380" t="n">
        <v>0</v>
      </c>
      <c r="R380" s="2" t="inlineStr"/>
    </row>
    <row r="381" ht="15" customHeight="1">
      <c r="A381" t="inlineStr">
        <is>
          <t>A 28276-2022</t>
        </is>
      </c>
      <c r="B381" s="1" t="n">
        <v>44746</v>
      </c>
      <c r="C381" s="1" t="n">
        <v>45877</v>
      </c>
      <c r="D381" t="inlineStr">
        <is>
          <t>NORRBOTTENS LÄN</t>
        </is>
      </c>
      <c r="E381" t="inlineStr">
        <is>
          <t>LULEÅ</t>
        </is>
      </c>
      <c r="G381" t="n">
        <v>1</v>
      </c>
      <c r="H381" t="n">
        <v>0</v>
      </c>
      <c r="I381" t="n">
        <v>0</v>
      </c>
      <c r="J381" t="n">
        <v>0</v>
      </c>
      <c r="K381" t="n">
        <v>0</v>
      </c>
      <c r="L381" t="n">
        <v>0</v>
      </c>
      <c r="M381" t="n">
        <v>0</v>
      </c>
      <c r="N381" t="n">
        <v>0</v>
      </c>
      <c r="O381" t="n">
        <v>0</v>
      </c>
      <c r="P381" t="n">
        <v>0</v>
      </c>
      <c r="Q381" t="n">
        <v>0</v>
      </c>
      <c r="R381" s="2" t="inlineStr"/>
    </row>
    <row r="382" ht="15" customHeight="1">
      <c r="A382" t="inlineStr">
        <is>
          <t>A 28272-2022</t>
        </is>
      </c>
      <c r="B382" s="1" t="n">
        <v>44747</v>
      </c>
      <c r="C382" s="1" t="n">
        <v>45877</v>
      </c>
      <c r="D382" t="inlineStr">
        <is>
          <t>NORRBOTTENS LÄN</t>
        </is>
      </c>
      <c r="E382" t="inlineStr">
        <is>
          <t>LULEÅ</t>
        </is>
      </c>
      <c r="G382" t="n">
        <v>7.9</v>
      </c>
      <c r="H382" t="n">
        <v>0</v>
      </c>
      <c r="I382" t="n">
        <v>0</v>
      </c>
      <c r="J382" t="n">
        <v>0</v>
      </c>
      <c r="K382" t="n">
        <v>0</v>
      </c>
      <c r="L382" t="n">
        <v>0</v>
      </c>
      <c r="M382" t="n">
        <v>0</v>
      </c>
      <c r="N382" t="n">
        <v>0</v>
      </c>
      <c r="O382" t="n">
        <v>0</v>
      </c>
      <c r="P382" t="n">
        <v>0</v>
      </c>
      <c r="Q382" t="n">
        <v>0</v>
      </c>
      <c r="R382" s="2" t="inlineStr"/>
    </row>
    <row r="383" ht="15" customHeight="1">
      <c r="A383" t="inlineStr">
        <is>
          <t>A 28273-2022</t>
        </is>
      </c>
      <c r="B383" s="1" t="n">
        <v>44747</v>
      </c>
      <c r="C383" s="1" t="n">
        <v>45877</v>
      </c>
      <c r="D383" t="inlineStr">
        <is>
          <t>NORRBOTTENS LÄN</t>
        </is>
      </c>
      <c r="E383" t="inlineStr">
        <is>
          <t>LULEÅ</t>
        </is>
      </c>
      <c r="G383" t="n">
        <v>7.8</v>
      </c>
      <c r="H383" t="n">
        <v>0</v>
      </c>
      <c r="I383" t="n">
        <v>0</v>
      </c>
      <c r="J383" t="n">
        <v>0</v>
      </c>
      <c r="K383" t="n">
        <v>0</v>
      </c>
      <c r="L383" t="n">
        <v>0</v>
      </c>
      <c r="M383" t="n">
        <v>0</v>
      </c>
      <c r="N383" t="n">
        <v>0</v>
      </c>
      <c r="O383" t="n">
        <v>0</v>
      </c>
      <c r="P383" t="n">
        <v>0</v>
      </c>
      <c r="Q383" t="n">
        <v>0</v>
      </c>
      <c r="R383" s="2" t="inlineStr"/>
    </row>
    <row r="384" ht="15" customHeight="1">
      <c r="A384" t="inlineStr">
        <is>
          <t>A 28275-2022</t>
        </is>
      </c>
      <c r="B384" s="1" t="n">
        <v>44746</v>
      </c>
      <c r="C384" s="1" t="n">
        <v>45877</v>
      </c>
      <c r="D384" t="inlineStr">
        <is>
          <t>NORRBOTTENS LÄN</t>
        </is>
      </c>
      <c r="E384" t="inlineStr">
        <is>
          <t>LULEÅ</t>
        </is>
      </c>
      <c r="G384" t="n">
        <v>2.7</v>
      </c>
      <c r="H384" t="n">
        <v>0</v>
      </c>
      <c r="I384" t="n">
        <v>0</v>
      </c>
      <c r="J384" t="n">
        <v>0</v>
      </c>
      <c r="K384" t="n">
        <v>0</v>
      </c>
      <c r="L384" t="n">
        <v>0</v>
      </c>
      <c r="M384" t="n">
        <v>0</v>
      </c>
      <c r="N384" t="n">
        <v>0</v>
      </c>
      <c r="O384" t="n">
        <v>0</v>
      </c>
      <c r="P384" t="n">
        <v>0</v>
      </c>
      <c r="Q384" t="n">
        <v>0</v>
      </c>
      <c r="R384" s="2" t="inlineStr"/>
    </row>
    <row r="385" ht="15" customHeight="1">
      <c r="A385" t="inlineStr">
        <is>
          <t>A 30521-2022</t>
        </is>
      </c>
      <c r="B385" s="1" t="n">
        <v>44762</v>
      </c>
      <c r="C385" s="1" t="n">
        <v>45877</v>
      </c>
      <c r="D385" t="inlineStr">
        <is>
          <t>NORRBOTTENS LÄN</t>
        </is>
      </c>
      <c r="E385" t="inlineStr">
        <is>
          <t>LULEÅ</t>
        </is>
      </c>
      <c r="G385" t="n">
        <v>3.6</v>
      </c>
      <c r="H385" t="n">
        <v>0</v>
      </c>
      <c r="I385" t="n">
        <v>0</v>
      </c>
      <c r="J385" t="n">
        <v>0</v>
      </c>
      <c r="K385" t="n">
        <v>0</v>
      </c>
      <c r="L385" t="n">
        <v>0</v>
      </c>
      <c r="M385" t="n">
        <v>0</v>
      </c>
      <c r="N385" t="n">
        <v>0</v>
      </c>
      <c r="O385" t="n">
        <v>0</v>
      </c>
      <c r="P385" t="n">
        <v>0</v>
      </c>
      <c r="Q385" t="n">
        <v>0</v>
      </c>
      <c r="R385" s="2" t="inlineStr"/>
    </row>
    <row r="386" ht="15" customHeight="1">
      <c r="A386" t="inlineStr">
        <is>
          <t>A 32108-2022</t>
        </is>
      </c>
      <c r="B386" s="1" t="n">
        <v>44779</v>
      </c>
      <c r="C386" s="1" t="n">
        <v>45877</v>
      </c>
      <c r="D386" t="inlineStr">
        <is>
          <t>NORRBOTTENS LÄN</t>
        </is>
      </c>
      <c r="E386" t="inlineStr">
        <is>
          <t>LULEÅ</t>
        </is>
      </c>
      <c r="G386" t="n">
        <v>0.9</v>
      </c>
      <c r="H386" t="n">
        <v>0</v>
      </c>
      <c r="I386" t="n">
        <v>0</v>
      </c>
      <c r="J386" t="n">
        <v>0</v>
      </c>
      <c r="K386" t="n">
        <v>0</v>
      </c>
      <c r="L386" t="n">
        <v>0</v>
      </c>
      <c r="M386" t="n">
        <v>0</v>
      </c>
      <c r="N386" t="n">
        <v>0</v>
      </c>
      <c r="O386" t="n">
        <v>0</v>
      </c>
      <c r="P386" t="n">
        <v>0</v>
      </c>
      <c r="Q386" t="n">
        <v>0</v>
      </c>
      <c r="R386" s="2" t="inlineStr"/>
    </row>
    <row r="387" ht="15" customHeight="1">
      <c r="A387" t="inlineStr">
        <is>
          <t>A 32110-2022</t>
        </is>
      </c>
      <c r="B387" s="1" t="n">
        <v>44779</v>
      </c>
      <c r="C387" s="1" t="n">
        <v>45877</v>
      </c>
      <c r="D387" t="inlineStr">
        <is>
          <t>NORRBOTTENS LÄN</t>
        </is>
      </c>
      <c r="E387" t="inlineStr">
        <is>
          <t>LULEÅ</t>
        </is>
      </c>
      <c r="G387" t="n">
        <v>4.5</v>
      </c>
      <c r="H387" t="n">
        <v>0</v>
      </c>
      <c r="I387" t="n">
        <v>0</v>
      </c>
      <c r="J387" t="n">
        <v>0</v>
      </c>
      <c r="K387" t="n">
        <v>0</v>
      </c>
      <c r="L387" t="n">
        <v>0</v>
      </c>
      <c r="M387" t="n">
        <v>0</v>
      </c>
      <c r="N387" t="n">
        <v>0</v>
      </c>
      <c r="O387" t="n">
        <v>0</v>
      </c>
      <c r="P387" t="n">
        <v>0</v>
      </c>
      <c r="Q387" t="n">
        <v>0</v>
      </c>
      <c r="R387" s="2" t="inlineStr"/>
    </row>
    <row r="388" ht="15" customHeight="1">
      <c r="A388" t="inlineStr">
        <is>
          <t>A 32653-2022</t>
        </is>
      </c>
      <c r="B388" s="1" t="n">
        <v>44783</v>
      </c>
      <c r="C388" s="1" t="n">
        <v>45877</v>
      </c>
      <c r="D388" t="inlineStr">
        <is>
          <t>NORRBOTTENS LÄN</t>
        </is>
      </c>
      <c r="E388" t="inlineStr">
        <is>
          <t>LULEÅ</t>
        </is>
      </c>
      <c r="G388" t="n">
        <v>1.3</v>
      </c>
      <c r="H388" t="n">
        <v>0</v>
      </c>
      <c r="I388" t="n">
        <v>0</v>
      </c>
      <c r="J388" t="n">
        <v>0</v>
      </c>
      <c r="K388" t="n">
        <v>0</v>
      </c>
      <c r="L388" t="n">
        <v>0</v>
      </c>
      <c r="M388" t="n">
        <v>0</v>
      </c>
      <c r="N388" t="n">
        <v>0</v>
      </c>
      <c r="O388" t="n">
        <v>0</v>
      </c>
      <c r="P388" t="n">
        <v>0</v>
      </c>
      <c r="Q388" t="n">
        <v>0</v>
      </c>
      <c r="R388" s="2" t="inlineStr"/>
    </row>
    <row r="389" ht="15" customHeight="1">
      <c r="A389" t="inlineStr">
        <is>
          <t>A 33594-2022</t>
        </is>
      </c>
      <c r="B389" s="1" t="n">
        <v>44789</v>
      </c>
      <c r="C389" s="1" t="n">
        <v>45877</v>
      </c>
      <c r="D389" t="inlineStr">
        <is>
          <t>NORRBOTTENS LÄN</t>
        </is>
      </c>
      <c r="E389" t="inlineStr">
        <is>
          <t>LULEÅ</t>
        </is>
      </c>
      <c r="G389" t="n">
        <v>5.1</v>
      </c>
      <c r="H389" t="n">
        <v>0</v>
      </c>
      <c r="I389" t="n">
        <v>0</v>
      </c>
      <c r="J389" t="n">
        <v>0</v>
      </c>
      <c r="K389" t="n">
        <v>0</v>
      </c>
      <c r="L389" t="n">
        <v>0</v>
      </c>
      <c r="M389" t="n">
        <v>0</v>
      </c>
      <c r="N389" t="n">
        <v>0</v>
      </c>
      <c r="O389" t="n">
        <v>0</v>
      </c>
      <c r="P389" t="n">
        <v>0</v>
      </c>
      <c r="Q389" t="n">
        <v>0</v>
      </c>
      <c r="R389" s="2" t="inlineStr"/>
    </row>
    <row r="390" ht="15" customHeight="1">
      <c r="A390" t="inlineStr">
        <is>
          <t>A 33643-2022</t>
        </is>
      </c>
      <c r="B390" s="1" t="n">
        <v>44789</v>
      </c>
      <c r="C390" s="1" t="n">
        <v>45877</v>
      </c>
      <c r="D390" t="inlineStr">
        <is>
          <t>NORRBOTTENS LÄN</t>
        </is>
      </c>
      <c r="E390" t="inlineStr">
        <is>
          <t>LULEÅ</t>
        </is>
      </c>
      <c r="G390" t="n">
        <v>2.6</v>
      </c>
      <c r="H390" t="n">
        <v>0</v>
      </c>
      <c r="I390" t="n">
        <v>0</v>
      </c>
      <c r="J390" t="n">
        <v>0</v>
      </c>
      <c r="K390" t="n">
        <v>0</v>
      </c>
      <c r="L390" t="n">
        <v>0</v>
      </c>
      <c r="M390" t="n">
        <v>0</v>
      </c>
      <c r="N390" t="n">
        <v>0</v>
      </c>
      <c r="O390" t="n">
        <v>0</v>
      </c>
      <c r="P390" t="n">
        <v>0</v>
      </c>
      <c r="Q390" t="n">
        <v>0</v>
      </c>
      <c r="R390" s="2" t="inlineStr"/>
    </row>
    <row r="391" ht="15" customHeight="1">
      <c r="A391" t="inlineStr">
        <is>
          <t>A 34701-2022</t>
        </is>
      </c>
      <c r="B391" s="1" t="n">
        <v>44795</v>
      </c>
      <c r="C391" s="1" t="n">
        <v>45877</v>
      </c>
      <c r="D391" t="inlineStr">
        <is>
          <t>NORRBOTTENS LÄN</t>
        </is>
      </c>
      <c r="E391" t="inlineStr">
        <is>
          <t>LULEÅ</t>
        </is>
      </c>
      <c r="G391" t="n">
        <v>4.8</v>
      </c>
      <c r="H391" t="n">
        <v>0</v>
      </c>
      <c r="I391" t="n">
        <v>0</v>
      </c>
      <c r="J391" t="n">
        <v>0</v>
      </c>
      <c r="K391" t="n">
        <v>0</v>
      </c>
      <c r="L391" t="n">
        <v>0</v>
      </c>
      <c r="M391" t="n">
        <v>0</v>
      </c>
      <c r="N391" t="n">
        <v>0</v>
      </c>
      <c r="O391" t="n">
        <v>0</v>
      </c>
      <c r="P391" t="n">
        <v>0</v>
      </c>
      <c r="Q391" t="n">
        <v>0</v>
      </c>
      <c r="R391" s="2" t="inlineStr"/>
    </row>
    <row r="392" ht="15" customHeight="1">
      <c r="A392" t="inlineStr">
        <is>
          <t>A 35766-2022</t>
        </is>
      </c>
      <c r="B392" s="1" t="n">
        <v>44800</v>
      </c>
      <c r="C392" s="1" t="n">
        <v>45877</v>
      </c>
      <c r="D392" t="inlineStr">
        <is>
          <t>NORRBOTTENS LÄN</t>
        </is>
      </c>
      <c r="E392" t="inlineStr">
        <is>
          <t>LULEÅ</t>
        </is>
      </c>
      <c r="G392" t="n">
        <v>0.7</v>
      </c>
      <c r="H392" t="n">
        <v>0</v>
      </c>
      <c r="I392" t="n">
        <v>0</v>
      </c>
      <c r="J392" t="n">
        <v>0</v>
      </c>
      <c r="K392" t="n">
        <v>0</v>
      </c>
      <c r="L392" t="n">
        <v>0</v>
      </c>
      <c r="M392" t="n">
        <v>0</v>
      </c>
      <c r="N392" t="n">
        <v>0</v>
      </c>
      <c r="O392" t="n">
        <v>0</v>
      </c>
      <c r="P392" t="n">
        <v>0</v>
      </c>
      <c r="Q392" t="n">
        <v>0</v>
      </c>
      <c r="R392" s="2" t="inlineStr"/>
    </row>
    <row r="393" ht="15" customHeight="1">
      <c r="A393" t="inlineStr">
        <is>
          <t>A 37820-2022</t>
        </is>
      </c>
      <c r="B393" s="1" t="n">
        <v>44810</v>
      </c>
      <c r="C393" s="1" t="n">
        <v>45877</v>
      </c>
      <c r="D393" t="inlineStr">
        <is>
          <t>NORRBOTTENS LÄN</t>
        </is>
      </c>
      <c r="E393" t="inlineStr">
        <is>
          <t>LULEÅ</t>
        </is>
      </c>
      <c r="G393" t="n">
        <v>3.1</v>
      </c>
      <c r="H393" t="n">
        <v>0</v>
      </c>
      <c r="I393" t="n">
        <v>0</v>
      </c>
      <c r="J393" t="n">
        <v>0</v>
      </c>
      <c r="K393" t="n">
        <v>0</v>
      </c>
      <c r="L393" t="n">
        <v>0</v>
      </c>
      <c r="M393" t="n">
        <v>0</v>
      </c>
      <c r="N393" t="n">
        <v>0</v>
      </c>
      <c r="O393" t="n">
        <v>0</v>
      </c>
      <c r="P393" t="n">
        <v>0</v>
      </c>
      <c r="Q393" t="n">
        <v>0</v>
      </c>
      <c r="R393" s="2" t="inlineStr"/>
    </row>
    <row r="394" ht="15" customHeight="1">
      <c r="A394" t="inlineStr">
        <is>
          <t>A 40871-2022</t>
        </is>
      </c>
      <c r="B394" s="1" t="n">
        <v>44820</v>
      </c>
      <c r="C394" s="1" t="n">
        <v>45877</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42753-2022</t>
        </is>
      </c>
      <c r="B395" s="1" t="n">
        <v>44832</v>
      </c>
      <c r="C395" s="1" t="n">
        <v>45877</v>
      </c>
      <c r="D395" t="inlineStr">
        <is>
          <t>NORRBOTTENS LÄN</t>
        </is>
      </c>
      <c r="E395" t="inlineStr">
        <is>
          <t>LULEÅ</t>
        </is>
      </c>
      <c r="G395" t="n">
        <v>10.8</v>
      </c>
      <c r="H395" t="n">
        <v>0</v>
      </c>
      <c r="I395" t="n">
        <v>0</v>
      </c>
      <c r="J395" t="n">
        <v>0</v>
      </c>
      <c r="K395" t="n">
        <v>0</v>
      </c>
      <c r="L395" t="n">
        <v>0</v>
      </c>
      <c r="M395" t="n">
        <v>0</v>
      </c>
      <c r="N395" t="n">
        <v>0</v>
      </c>
      <c r="O395" t="n">
        <v>0</v>
      </c>
      <c r="P395" t="n">
        <v>0</v>
      </c>
      <c r="Q395" t="n">
        <v>0</v>
      </c>
      <c r="R395" s="2" t="inlineStr"/>
    </row>
    <row r="396" ht="15" customHeight="1">
      <c r="A396" t="inlineStr">
        <is>
          <t>A 44205-2022</t>
        </is>
      </c>
      <c r="B396" s="1" t="n">
        <v>44837</v>
      </c>
      <c r="C396" s="1" t="n">
        <v>45877</v>
      </c>
      <c r="D396" t="inlineStr">
        <is>
          <t>NORRBOTTENS LÄN</t>
        </is>
      </c>
      <c r="E396" t="inlineStr">
        <is>
          <t>LULEÅ</t>
        </is>
      </c>
      <c r="G396" t="n">
        <v>4.9</v>
      </c>
      <c r="H396" t="n">
        <v>0</v>
      </c>
      <c r="I396" t="n">
        <v>0</v>
      </c>
      <c r="J396" t="n">
        <v>0</v>
      </c>
      <c r="K396" t="n">
        <v>0</v>
      </c>
      <c r="L396" t="n">
        <v>0</v>
      </c>
      <c r="M396" t="n">
        <v>0</v>
      </c>
      <c r="N396" t="n">
        <v>0</v>
      </c>
      <c r="O396" t="n">
        <v>0</v>
      </c>
      <c r="P396" t="n">
        <v>0</v>
      </c>
      <c r="Q396" t="n">
        <v>0</v>
      </c>
      <c r="R396" s="2" t="inlineStr"/>
    </row>
    <row r="397" ht="15" customHeight="1">
      <c r="A397" t="inlineStr">
        <is>
          <t>A 44192-2022</t>
        </is>
      </c>
      <c r="B397" s="1" t="n">
        <v>44837</v>
      </c>
      <c r="C397" s="1" t="n">
        <v>45877</v>
      </c>
      <c r="D397" t="inlineStr">
        <is>
          <t>NORRBOTTENS LÄN</t>
        </is>
      </c>
      <c r="E397" t="inlineStr">
        <is>
          <t>LULEÅ</t>
        </is>
      </c>
      <c r="G397" t="n">
        <v>5.8</v>
      </c>
      <c r="H397" t="n">
        <v>0</v>
      </c>
      <c r="I397" t="n">
        <v>0</v>
      </c>
      <c r="J397" t="n">
        <v>0</v>
      </c>
      <c r="K397" t="n">
        <v>0</v>
      </c>
      <c r="L397" t="n">
        <v>0</v>
      </c>
      <c r="M397" t="n">
        <v>0</v>
      </c>
      <c r="N397" t="n">
        <v>0</v>
      </c>
      <c r="O397" t="n">
        <v>0</v>
      </c>
      <c r="P397" t="n">
        <v>0</v>
      </c>
      <c r="Q397" t="n">
        <v>0</v>
      </c>
      <c r="R397" s="2" t="inlineStr"/>
    </row>
    <row r="398" ht="15" customHeight="1">
      <c r="A398" t="inlineStr">
        <is>
          <t>A 44688-2022</t>
        </is>
      </c>
      <c r="B398" s="1" t="n">
        <v>44839</v>
      </c>
      <c r="C398" s="1" t="n">
        <v>45877</v>
      </c>
      <c r="D398" t="inlineStr">
        <is>
          <t>NORRBOTTENS LÄN</t>
        </is>
      </c>
      <c r="E398" t="inlineStr">
        <is>
          <t>LULEÅ</t>
        </is>
      </c>
      <c r="G398" t="n">
        <v>1</v>
      </c>
      <c r="H398" t="n">
        <v>0</v>
      </c>
      <c r="I398" t="n">
        <v>0</v>
      </c>
      <c r="J398" t="n">
        <v>0</v>
      </c>
      <c r="K398" t="n">
        <v>0</v>
      </c>
      <c r="L398" t="n">
        <v>0</v>
      </c>
      <c r="M398" t="n">
        <v>0</v>
      </c>
      <c r="N398" t="n">
        <v>0</v>
      </c>
      <c r="O398" t="n">
        <v>0</v>
      </c>
      <c r="P398" t="n">
        <v>0</v>
      </c>
      <c r="Q398" t="n">
        <v>0</v>
      </c>
      <c r="R398" s="2" t="inlineStr"/>
    </row>
    <row r="399" ht="15" customHeight="1">
      <c r="A399" t="inlineStr">
        <is>
          <t>A 44705-2022</t>
        </is>
      </c>
      <c r="B399" s="1" t="n">
        <v>44839</v>
      </c>
      <c r="C399" s="1" t="n">
        <v>45877</v>
      </c>
      <c r="D399" t="inlineStr">
        <is>
          <t>NORRBOTTENS LÄN</t>
        </is>
      </c>
      <c r="E399" t="inlineStr">
        <is>
          <t>LULEÅ</t>
        </is>
      </c>
      <c r="G399" t="n">
        <v>2.4</v>
      </c>
      <c r="H399" t="n">
        <v>0</v>
      </c>
      <c r="I399" t="n">
        <v>0</v>
      </c>
      <c r="J399" t="n">
        <v>0</v>
      </c>
      <c r="K399" t="n">
        <v>0</v>
      </c>
      <c r="L399" t="n">
        <v>0</v>
      </c>
      <c r="M399" t="n">
        <v>0</v>
      </c>
      <c r="N399" t="n">
        <v>0</v>
      </c>
      <c r="O399" t="n">
        <v>0</v>
      </c>
      <c r="P399" t="n">
        <v>0</v>
      </c>
      <c r="Q399" t="n">
        <v>0</v>
      </c>
      <c r="R399" s="2" t="inlineStr"/>
    </row>
    <row r="400" ht="15" customHeight="1">
      <c r="A400" t="inlineStr">
        <is>
          <t>A 44987-2022</t>
        </is>
      </c>
      <c r="B400" s="1" t="n">
        <v>44841</v>
      </c>
      <c r="C400" s="1" t="n">
        <v>45877</v>
      </c>
      <c r="D400" t="inlineStr">
        <is>
          <t>NORRBOTTENS LÄN</t>
        </is>
      </c>
      <c r="E400" t="inlineStr">
        <is>
          <t>LULEÅ</t>
        </is>
      </c>
      <c r="F400" t="inlineStr">
        <is>
          <t>Sveaskog</t>
        </is>
      </c>
      <c r="G400" t="n">
        <v>4.8</v>
      </c>
      <c r="H400" t="n">
        <v>0</v>
      </c>
      <c r="I400" t="n">
        <v>0</v>
      </c>
      <c r="J400" t="n">
        <v>0</v>
      </c>
      <c r="K400" t="n">
        <v>0</v>
      </c>
      <c r="L400" t="n">
        <v>0</v>
      </c>
      <c r="M400" t="n">
        <v>0</v>
      </c>
      <c r="N400" t="n">
        <v>0</v>
      </c>
      <c r="O400" t="n">
        <v>0</v>
      </c>
      <c r="P400" t="n">
        <v>0</v>
      </c>
      <c r="Q400" t="n">
        <v>0</v>
      </c>
      <c r="R400" s="2" t="inlineStr"/>
    </row>
    <row r="401" ht="15" customHeight="1">
      <c r="A401" t="inlineStr">
        <is>
          <t>A 46473-2022</t>
        </is>
      </c>
      <c r="B401" s="1" t="n">
        <v>44848</v>
      </c>
      <c r="C401" s="1" t="n">
        <v>45877</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47153-2022</t>
        </is>
      </c>
      <c r="B402" s="1" t="n">
        <v>44852</v>
      </c>
      <c r="C402" s="1" t="n">
        <v>45877</v>
      </c>
      <c r="D402" t="inlineStr">
        <is>
          <t>NORRBOTTENS LÄN</t>
        </is>
      </c>
      <c r="E402" t="inlineStr">
        <is>
          <t>LULEÅ</t>
        </is>
      </c>
      <c r="G402" t="n">
        <v>2.3</v>
      </c>
      <c r="H402" t="n">
        <v>0</v>
      </c>
      <c r="I402" t="n">
        <v>0</v>
      </c>
      <c r="J402" t="n">
        <v>0</v>
      </c>
      <c r="K402" t="n">
        <v>0</v>
      </c>
      <c r="L402" t="n">
        <v>0</v>
      </c>
      <c r="M402" t="n">
        <v>0</v>
      </c>
      <c r="N402" t="n">
        <v>0</v>
      </c>
      <c r="O402" t="n">
        <v>0</v>
      </c>
      <c r="P402" t="n">
        <v>0</v>
      </c>
      <c r="Q402" t="n">
        <v>0</v>
      </c>
      <c r="R402" s="2" t="inlineStr"/>
    </row>
    <row r="403" ht="15" customHeight="1">
      <c r="A403" t="inlineStr">
        <is>
          <t>A 47170-2022</t>
        </is>
      </c>
      <c r="B403" s="1" t="n">
        <v>44852</v>
      </c>
      <c r="C403" s="1" t="n">
        <v>45877</v>
      </c>
      <c r="D403" t="inlineStr">
        <is>
          <t>NORRBOTTENS LÄN</t>
        </is>
      </c>
      <c r="E403" t="inlineStr">
        <is>
          <t>LULEÅ</t>
        </is>
      </c>
      <c r="G403" t="n">
        <v>7.7</v>
      </c>
      <c r="H403" t="n">
        <v>0</v>
      </c>
      <c r="I403" t="n">
        <v>0</v>
      </c>
      <c r="J403" t="n">
        <v>0</v>
      </c>
      <c r="K403" t="n">
        <v>0</v>
      </c>
      <c r="L403" t="n">
        <v>0</v>
      </c>
      <c r="M403" t="n">
        <v>0</v>
      </c>
      <c r="N403" t="n">
        <v>0</v>
      </c>
      <c r="O403" t="n">
        <v>0</v>
      </c>
      <c r="P403" t="n">
        <v>0</v>
      </c>
      <c r="Q403" t="n">
        <v>0</v>
      </c>
      <c r="R403" s="2" t="inlineStr"/>
    </row>
    <row r="404" ht="15" customHeight="1">
      <c r="A404" t="inlineStr">
        <is>
          <t>A 47246-2022</t>
        </is>
      </c>
      <c r="B404" s="1" t="n">
        <v>44852</v>
      </c>
      <c r="C404" s="1" t="n">
        <v>45877</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47247-2022</t>
        </is>
      </c>
      <c r="B405" s="1" t="n">
        <v>44852</v>
      </c>
      <c r="C405" s="1" t="n">
        <v>45877</v>
      </c>
      <c r="D405" t="inlineStr">
        <is>
          <t>NORRBOTTENS LÄN</t>
        </is>
      </c>
      <c r="E405" t="inlineStr">
        <is>
          <t>LULEÅ</t>
        </is>
      </c>
      <c r="G405" t="n">
        <v>1.2</v>
      </c>
      <c r="H405" t="n">
        <v>0</v>
      </c>
      <c r="I405" t="n">
        <v>0</v>
      </c>
      <c r="J405" t="n">
        <v>0</v>
      </c>
      <c r="K405" t="n">
        <v>0</v>
      </c>
      <c r="L405" t="n">
        <v>0</v>
      </c>
      <c r="M405" t="n">
        <v>0</v>
      </c>
      <c r="N405" t="n">
        <v>0</v>
      </c>
      <c r="O405" t="n">
        <v>0</v>
      </c>
      <c r="P405" t="n">
        <v>0</v>
      </c>
      <c r="Q405" t="n">
        <v>0</v>
      </c>
      <c r="R405" s="2" t="inlineStr"/>
    </row>
    <row r="406" ht="15" customHeight="1">
      <c r="A406" t="inlineStr">
        <is>
          <t>A 48341-2022</t>
        </is>
      </c>
      <c r="B406" s="1" t="n">
        <v>44854</v>
      </c>
      <c r="C406" s="1" t="n">
        <v>45877</v>
      </c>
      <c r="D406" t="inlineStr">
        <is>
          <t>NORRBOTTENS LÄN</t>
        </is>
      </c>
      <c r="E406" t="inlineStr">
        <is>
          <t>LULEÅ</t>
        </is>
      </c>
      <c r="G406" t="n">
        <v>2.9</v>
      </c>
      <c r="H406" t="n">
        <v>0</v>
      </c>
      <c r="I406" t="n">
        <v>0</v>
      </c>
      <c r="J406" t="n">
        <v>0</v>
      </c>
      <c r="K406" t="n">
        <v>0</v>
      </c>
      <c r="L406" t="n">
        <v>0</v>
      </c>
      <c r="M406" t="n">
        <v>0</v>
      </c>
      <c r="N406" t="n">
        <v>0</v>
      </c>
      <c r="O406" t="n">
        <v>0</v>
      </c>
      <c r="P406" t="n">
        <v>0</v>
      </c>
      <c r="Q406" t="n">
        <v>0</v>
      </c>
      <c r="R406" s="2" t="inlineStr"/>
    </row>
    <row r="407" ht="15" customHeight="1">
      <c r="A407" t="inlineStr">
        <is>
          <t>A 48363-2022</t>
        </is>
      </c>
      <c r="B407" s="1" t="n">
        <v>44854</v>
      </c>
      <c r="C407" s="1" t="n">
        <v>45877</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48347-2022</t>
        </is>
      </c>
      <c r="B408" s="1" t="n">
        <v>44854</v>
      </c>
      <c r="C408" s="1" t="n">
        <v>45877</v>
      </c>
      <c r="D408" t="inlineStr">
        <is>
          <t>NORRBOTTENS LÄN</t>
        </is>
      </c>
      <c r="E408" t="inlineStr">
        <is>
          <t>LULEÅ</t>
        </is>
      </c>
      <c r="G408" t="n">
        <v>3.3</v>
      </c>
      <c r="H408" t="n">
        <v>0</v>
      </c>
      <c r="I408" t="n">
        <v>0</v>
      </c>
      <c r="J408" t="n">
        <v>0</v>
      </c>
      <c r="K408" t="n">
        <v>0</v>
      </c>
      <c r="L408" t="n">
        <v>0</v>
      </c>
      <c r="M408" t="n">
        <v>0</v>
      </c>
      <c r="N408" t="n">
        <v>0</v>
      </c>
      <c r="O408" t="n">
        <v>0</v>
      </c>
      <c r="P408" t="n">
        <v>0</v>
      </c>
      <c r="Q408" t="n">
        <v>0</v>
      </c>
      <c r="R408" s="2" t="inlineStr"/>
    </row>
    <row r="409" ht="15" customHeight="1">
      <c r="A409" t="inlineStr">
        <is>
          <t>A 48367-2022</t>
        </is>
      </c>
      <c r="B409" s="1" t="n">
        <v>44854</v>
      </c>
      <c r="C409" s="1" t="n">
        <v>45877</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48335-2022</t>
        </is>
      </c>
      <c r="B410" s="1" t="n">
        <v>44854</v>
      </c>
      <c r="C410" s="1" t="n">
        <v>45877</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48323-2022</t>
        </is>
      </c>
      <c r="B411" s="1" t="n">
        <v>44854</v>
      </c>
      <c r="C411" s="1" t="n">
        <v>45877</v>
      </c>
      <c r="D411" t="inlineStr">
        <is>
          <t>NORRBOTTENS LÄN</t>
        </is>
      </c>
      <c r="E411" t="inlineStr">
        <is>
          <t>LULEÅ</t>
        </is>
      </c>
      <c r="G411" t="n">
        <v>3.6</v>
      </c>
      <c r="H411" t="n">
        <v>0</v>
      </c>
      <c r="I411" t="n">
        <v>0</v>
      </c>
      <c r="J411" t="n">
        <v>0</v>
      </c>
      <c r="K411" t="n">
        <v>0</v>
      </c>
      <c r="L411" t="n">
        <v>0</v>
      </c>
      <c r="M411" t="n">
        <v>0</v>
      </c>
      <c r="N411" t="n">
        <v>0</v>
      </c>
      <c r="O411" t="n">
        <v>0</v>
      </c>
      <c r="P411" t="n">
        <v>0</v>
      </c>
      <c r="Q411" t="n">
        <v>0</v>
      </c>
      <c r="R411" s="2" t="inlineStr"/>
    </row>
    <row r="412" ht="15" customHeight="1">
      <c r="A412" t="inlineStr">
        <is>
          <t>A 48357-2022</t>
        </is>
      </c>
      <c r="B412" s="1" t="n">
        <v>44854</v>
      </c>
      <c r="C412" s="1" t="n">
        <v>45877</v>
      </c>
      <c r="D412" t="inlineStr">
        <is>
          <t>NORRBOTTENS LÄN</t>
        </is>
      </c>
      <c r="E412" t="inlineStr">
        <is>
          <t>LULEÅ</t>
        </is>
      </c>
      <c r="G412" t="n">
        <v>0.9</v>
      </c>
      <c r="H412" t="n">
        <v>0</v>
      </c>
      <c r="I412" t="n">
        <v>0</v>
      </c>
      <c r="J412" t="n">
        <v>0</v>
      </c>
      <c r="K412" t="n">
        <v>0</v>
      </c>
      <c r="L412" t="n">
        <v>0</v>
      </c>
      <c r="M412" t="n">
        <v>0</v>
      </c>
      <c r="N412" t="n">
        <v>0</v>
      </c>
      <c r="O412" t="n">
        <v>0</v>
      </c>
      <c r="P412" t="n">
        <v>0</v>
      </c>
      <c r="Q412" t="n">
        <v>0</v>
      </c>
      <c r="R412" s="2" t="inlineStr"/>
    </row>
    <row r="413" ht="15" customHeight="1">
      <c r="A413" t="inlineStr">
        <is>
          <t>A 48379-2022</t>
        </is>
      </c>
      <c r="B413" s="1" t="n">
        <v>44854</v>
      </c>
      <c r="C413" s="1" t="n">
        <v>45877</v>
      </c>
      <c r="D413" t="inlineStr">
        <is>
          <t>NORRBOTTENS LÄN</t>
        </is>
      </c>
      <c r="E413" t="inlineStr">
        <is>
          <t>LULEÅ</t>
        </is>
      </c>
      <c r="G413" t="n">
        <v>2.1</v>
      </c>
      <c r="H413" t="n">
        <v>0</v>
      </c>
      <c r="I413" t="n">
        <v>0</v>
      </c>
      <c r="J413" t="n">
        <v>0</v>
      </c>
      <c r="K413" t="n">
        <v>0</v>
      </c>
      <c r="L413" t="n">
        <v>0</v>
      </c>
      <c r="M413" t="n">
        <v>0</v>
      </c>
      <c r="N413" t="n">
        <v>0</v>
      </c>
      <c r="O413" t="n">
        <v>0</v>
      </c>
      <c r="P413" t="n">
        <v>0</v>
      </c>
      <c r="Q413" t="n">
        <v>0</v>
      </c>
      <c r="R413" s="2" t="inlineStr"/>
    </row>
    <row r="414" ht="15" customHeight="1">
      <c r="A414" t="inlineStr">
        <is>
          <t>A 49721-2022</t>
        </is>
      </c>
      <c r="B414" s="1" t="n">
        <v>44859</v>
      </c>
      <c r="C414" s="1" t="n">
        <v>45877</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49742-2022</t>
        </is>
      </c>
      <c r="B415" s="1" t="n">
        <v>44859</v>
      </c>
      <c r="C415" s="1" t="n">
        <v>45877</v>
      </c>
      <c r="D415" t="inlineStr">
        <is>
          <t>NORRBOTTENS LÄN</t>
        </is>
      </c>
      <c r="E415" t="inlineStr">
        <is>
          <t>LULEÅ</t>
        </is>
      </c>
      <c r="G415" t="n">
        <v>2.3</v>
      </c>
      <c r="H415" t="n">
        <v>0</v>
      </c>
      <c r="I415" t="n">
        <v>0</v>
      </c>
      <c r="J415" t="n">
        <v>0</v>
      </c>
      <c r="K415" t="n">
        <v>0</v>
      </c>
      <c r="L415" t="n">
        <v>0</v>
      </c>
      <c r="M415" t="n">
        <v>0</v>
      </c>
      <c r="N415" t="n">
        <v>0</v>
      </c>
      <c r="O415" t="n">
        <v>0</v>
      </c>
      <c r="P415" t="n">
        <v>0</v>
      </c>
      <c r="Q415" t="n">
        <v>0</v>
      </c>
      <c r="R415" s="2" t="inlineStr"/>
    </row>
    <row r="416" ht="15" customHeight="1">
      <c r="A416" t="inlineStr">
        <is>
          <t>A 49712-2022</t>
        </is>
      </c>
      <c r="B416" s="1" t="n">
        <v>44859</v>
      </c>
      <c r="C416" s="1" t="n">
        <v>45877</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49736-2022</t>
        </is>
      </c>
      <c r="B417" s="1" t="n">
        <v>44859</v>
      </c>
      <c r="C417" s="1" t="n">
        <v>45877</v>
      </c>
      <c r="D417" t="inlineStr">
        <is>
          <t>NORRBOTTENS LÄN</t>
        </is>
      </c>
      <c r="E417" t="inlineStr">
        <is>
          <t>LULEÅ</t>
        </is>
      </c>
      <c r="G417" t="n">
        <v>0.8</v>
      </c>
      <c r="H417" t="n">
        <v>0</v>
      </c>
      <c r="I417" t="n">
        <v>0</v>
      </c>
      <c r="J417" t="n">
        <v>0</v>
      </c>
      <c r="K417" t="n">
        <v>0</v>
      </c>
      <c r="L417" t="n">
        <v>0</v>
      </c>
      <c r="M417" t="n">
        <v>0</v>
      </c>
      <c r="N417" t="n">
        <v>0</v>
      </c>
      <c r="O417" t="n">
        <v>0</v>
      </c>
      <c r="P417" t="n">
        <v>0</v>
      </c>
      <c r="Q417" t="n">
        <v>0</v>
      </c>
      <c r="R417" s="2" t="inlineStr"/>
    </row>
    <row r="418" ht="15" customHeight="1">
      <c r="A418" t="inlineStr">
        <is>
          <t>A 49727-2022</t>
        </is>
      </c>
      <c r="B418" s="1" t="n">
        <v>44859</v>
      </c>
      <c r="C418" s="1" t="n">
        <v>45877</v>
      </c>
      <c r="D418" t="inlineStr">
        <is>
          <t>NORRBOTTENS LÄN</t>
        </is>
      </c>
      <c r="E418" t="inlineStr">
        <is>
          <t>LULEÅ</t>
        </is>
      </c>
      <c r="G418" t="n">
        <v>3.5</v>
      </c>
      <c r="H418" t="n">
        <v>0</v>
      </c>
      <c r="I418" t="n">
        <v>0</v>
      </c>
      <c r="J418" t="n">
        <v>0</v>
      </c>
      <c r="K418" t="n">
        <v>0</v>
      </c>
      <c r="L418" t="n">
        <v>0</v>
      </c>
      <c r="M418" t="n">
        <v>0</v>
      </c>
      <c r="N418" t="n">
        <v>0</v>
      </c>
      <c r="O418" t="n">
        <v>0</v>
      </c>
      <c r="P418" t="n">
        <v>0</v>
      </c>
      <c r="Q418" t="n">
        <v>0</v>
      </c>
      <c r="R418" s="2" t="inlineStr"/>
    </row>
    <row r="419" ht="15" customHeight="1">
      <c r="A419" t="inlineStr">
        <is>
          <t>A 49746-2022</t>
        </is>
      </c>
      <c r="B419" s="1" t="n">
        <v>44859</v>
      </c>
      <c r="C419" s="1" t="n">
        <v>45877</v>
      </c>
      <c r="D419" t="inlineStr">
        <is>
          <t>NORRBOTTENS LÄN</t>
        </is>
      </c>
      <c r="E419" t="inlineStr">
        <is>
          <t>LULEÅ</t>
        </is>
      </c>
      <c r="G419" t="n">
        <v>1.6</v>
      </c>
      <c r="H419" t="n">
        <v>0</v>
      </c>
      <c r="I419" t="n">
        <v>0</v>
      </c>
      <c r="J419" t="n">
        <v>0</v>
      </c>
      <c r="K419" t="n">
        <v>0</v>
      </c>
      <c r="L419" t="n">
        <v>0</v>
      </c>
      <c r="M419" t="n">
        <v>0</v>
      </c>
      <c r="N419" t="n">
        <v>0</v>
      </c>
      <c r="O419" t="n">
        <v>0</v>
      </c>
      <c r="P419" t="n">
        <v>0</v>
      </c>
      <c r="Q419" t="n">
        <v>0</v>
      </c>
      <c r="R419" s="2" t="inlineStr"/>
    </row>
    <row r="420" ht="15" customHeight="1">
      <c r="A420" t="inlineStr">
        <is>
          <t>A 49733-2022</t>
        </is>
      </c>
      <c r="B420" s="1" t="n">
        <v>44859</v>
      </c>
      <c r="C420" s="1" t="n">
        <v>45877</v>
      </c>
      <c r="D420" t="inlineStr">
        <is>
          <t>NORRBOTTENS LÄN</t>
        </is>
      </c>
      <c r="E420" t="inlineStr">
        <is>
          <t>LULEÅ</t>
        </is>
      </c>
      <c r="G420" t="n">
        <v>1.3</v>
      </c>
      <c r="H420" t="n">
        <v>0</v>
      </c>
      <c r="I420" t="n">
        <v>0</v>
      </c>
      <c r="J420" t="n">
        <v>0</v>
      </c>
      <c r="K420" t="n">
        <v>0</v>
      </c>
      <c r="L420" t="n">
        <v>0</v>
      </c>
      <c r="M420" t="n">
        <v>0</v>
      </c>
      <c r="N420" t="n">
        <v>0</v>
      </c>
      <c r="O420" t="n">
        <v>0</v>
      </c>
      <c r="P420" t="n">
        <v>0</v>
      </c>
      <c r="Q420" t="n">
        <v>0</v>
      </c>
      <c r="R420" s="2" t="inlineStr"/>
    </row>
    <row r="421" ht="15" customHeight="1">
      <c r="A421" t="inlineStr">
        <is>
          <t>A 49509-2022</t>
        </is>
      </c>
      <c r="B421" s="1" t="n">
        <v>44862</v>
      </c>
      <c r="C421" s="1" t="n">
        <v>45877</v>
      </c>
      <c r="D421" t="inlineStr">
        <is>
          <t>NORRBOTTENS LÄN</t>
        </is>
      </c>
      <c r="E421" t="inlineStr">
        <is>
          <t>LULEÅ</t>
        </is>
      </c>
      <c r="G421" t="n">
        <v>5</v>
      </c>
      <c r="H421" t="n">
        <v>0</v>
      </c>
      <c r="I421" t="n">
        <v>0</v>
      </c>
      <c r="J421" t="n">
        <v>0</v>
      </c>
      <c r="K421" t="n">
        <v>0</v>
      </c>
      <c r="L421" t="n">
        <v>0</v>
      </c>
      <c r="M421" t="n">
        <v>0</v>
      </c>
      <c r="N421" t="n">
        <v>0</v>
      </c>
      <c r="O421" t="n">
        <v>0</v>
      </c>
      <c r="P421" t="n">
        <v>0</v>
      </c>
      <c r="Q421" t="n">
        <v>0</v>
      </c>
      <c r="R421" s="2" t="inlineStr"/>
    </row>
    <row r="422" ht="15" customHeight="1">
      <c r="A422" t="inlineStr">
        <is>
          <t>A 49401-2022</t>
        </is>
      </c>
      <c r="B422" s="1" t="n">
        <v>44861</v>
      </c>
      <c r="C422" s="1" t="n">
        <v>45877</v>
      </c>
      <c r="D422" t="inlineStr">
        <is>
          <t>NORRBOTTENS LÄN</t>
        </is>
      </c>
      <c r="E422" t="inlineStr">
        <is>
          <t>LULEÅ</t>
        </is>
      </c>
      <c r="G422" t="n">
        <v>8.4</v>
      </c>
      <c r="H422" t="n">
        <v>0</v>
      </c>
      <c r="I422" t="n">
        <v>0</v>
      </c>
      <c r="J422" t="n">
        <v>0</v>
      </c>
      <c r="K422" t="n">
        <v>0</v>
      </c>
      <c r="L422" t="n">
        <v>0</v>
      </c>
      <c r="M422" t="n">
        <v>0</v>
      </c>
      <c r="N422" t="n">
        <v>0</v>
      </c>
      <c r="O422" t="n">
        <v>0</v>
      </c>
      <c r="P422" t="n">
        <v>0</v>
      </c>
      <c r="Q422" t="n">
        <v>0</v>
      </c>
      <c r="R422" s="2" t="inlineStr"/>
    </row>
    <row r="423" ht="15" customHeight="1">
      <c r="A423" t="inlineStr">
        <is>
          <t>A 50330-2022</t>
        </is>
      </c>
      <c r="B423" s="1" t="n">
        <v>44865</v>
      </c>
      <c r="C423" s="1" t="n">
        <v>45877</v>
      </c>
      <c r="D423" t="inlineStr">
        <is>
          <t>NORRBOTTENS LÄN</t>
        </is>
      </c>
      <c r="E423" t="inlineStr">
        <is>
          <t>LULEÅ</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51668-2022</t>
        </is>
      </c>
      <c r="B424" s="1" t="n">
        <v>44867</v>
      </c>
      <c r="C424" s="1" t="n">
        <v>45877</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45877</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45877</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45877</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45877</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45877</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45877</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45877</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45877</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45877</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45877</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45877</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45877</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45877</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45877</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45877</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45877</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45877</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45877</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45877</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45877</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45877</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45877</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45877</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45877</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45877</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45877</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45877</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45877</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45877</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45877</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45877</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45877</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45877</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45877</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45877</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45877</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45877</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45877</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45877</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45877</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45877</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45877</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45877</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45877</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45877</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45877</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45877</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45877</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45877</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45877</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45877</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45877</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45877</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45877</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45877</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45877</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45877</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45877</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45877</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45877</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45877</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45877</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45877</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45877</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45877</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45877</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45877</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45877</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45877</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45877</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45877</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45877</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45877</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45877</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45877</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45877</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45877</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45877</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45877</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45877</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45877</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45877</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45877</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45877</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45877</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45877</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45877</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45877</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45877</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45877</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45877</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45877</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45877</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45877</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45877</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45877</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45877</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45877</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45877</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45877</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45877</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45877</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45877</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45877</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45877</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45877</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45877</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45877</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45877</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45877</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45877</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45877</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45877</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45877</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45877</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45877</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45877</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45877</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45877</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45877</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45877</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45877</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45877</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45877</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45877</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45877</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45877</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45877</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45877</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45877</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45877</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45877</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45877</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45877</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45877</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45877</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45877</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45877</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45877</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45877</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45877</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45877</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45877</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45877</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45877</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45877</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45877</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45877</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45877</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45877</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45877</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45877</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45877</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45877</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45877</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45877</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45877</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45877</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45877</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45877</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45877</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45877</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45877</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45877</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45877</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45877</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45877</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45877</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45877</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45877</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45877</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45877</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45877</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45877</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45877</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45877</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45877</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45877</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45877</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45877</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45877</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45877</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45877</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45877</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45877</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45877</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45877</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45877</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45877</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45877</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45877</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45877</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45877</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45877</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45877</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45877</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45877</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45877</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45877</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45877</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45877</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45877</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45877</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45877</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45877</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45877</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45877</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45877</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45877</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45877</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45877</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45877</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45877</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45877</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45877</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45877</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45877</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45877</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45877</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45877</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45877</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45877</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45877</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45877</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45877</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45877</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45877</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45877</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45877</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45877</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45877</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45877</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45877</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45877</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45877</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45877</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45877</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45877</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45877</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45877</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45877</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45877</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45877</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45877</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45877</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45877</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45877</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45877</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45877</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45877</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45877</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45877</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45877</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45877</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45877</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45877</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45877</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45877</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45877</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45877</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45877</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45877</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45877</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45877</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45877</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45877</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45877</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45877</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45877</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45877</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45877</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45877</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45877</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45877</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45877</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45877</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45877</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45877</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45877</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45877</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45877</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45877</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45877</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45877</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45877</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45877</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45877</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45877</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45877</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45877</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45877</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45877</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45877</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45877</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45877</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45877</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45877</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45877</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45877</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45877</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45877</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45877</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45877</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45877</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45877</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45877</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45877</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45877</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45877</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45877</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45877</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45877</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45877</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45877</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45877</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45877</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45877</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45877</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45877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45877</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45877</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45877</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45877</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45877</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45877</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45877</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45877</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45877</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45877</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45877</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45877</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45877</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45877</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45877</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45877</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45877</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45877</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45877</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45877</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45877</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45877</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45877</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45877</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45877</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45877</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45877</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45877</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45877</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45877</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45877</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45877</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45877</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45877</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45877</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45877</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45877</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45877</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45877</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45877</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45877</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45877</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45877</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45877</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45877</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45877</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45877</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45877</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45877</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45877</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45877</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45877</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45877</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45877</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45877</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45877</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45877</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45877</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45877</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45877</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45877</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45877</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45877</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45877</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45877</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45877</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45877</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45877</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45877</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45877</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45877</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45877</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45877</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45877</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45877</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45877</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45877</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45877</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45877</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45877</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45877</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45877</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45877</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45877</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45877</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45877</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45877</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45877</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45877</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45877</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45877</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45877</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45877</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45877</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45877</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45877</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45877</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45877</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45877</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45877</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45877</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45877</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45877</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45877</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45877</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45877</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45877</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45877</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45877</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45877</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45877</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45877</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45877</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45877</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45877</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45877</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45877</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45877</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45877</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45877</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45877</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45877</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45877</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45877</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45877</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45877</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45877</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45877</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45877</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45877</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45877</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45877</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45877</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45877</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45877</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45877</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45877</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45877</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45877</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45877</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45877</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45877</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45877</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45877</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45877</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45877</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45877</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45877</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45877</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45877</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45877</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45877</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45877</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45877</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45877</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45877</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45877</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45877</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45877</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45877</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45877</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45877</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45877</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45877</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45877</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45877</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45877</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45877</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45877</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45877</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45877</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45877</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45877</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45877</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45877</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45877</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45877</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45877</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45877</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45877</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45877</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45877</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45877</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45877</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45877</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45877</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45877</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45877</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45877</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45877</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45877</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45877</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45877</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45877</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45877</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45877</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45877</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45877</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45877</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45877</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45877</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45877</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45877</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45877</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45877</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45877</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45877</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45877</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45877</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45877</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45877</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45877</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45877</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45877</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45877</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45877</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45877</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45877</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45877</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45877</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45877</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45877</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45877</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45877</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45877</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45877</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45877</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45877</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45877</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45877</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45877</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45877</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45877</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45877</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45877</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45877</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45877</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45877</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45877</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45877</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45877</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45877</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45877</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45877</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45877</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45877</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45877</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45877</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45877</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45877</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45877</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45877</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45877</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45877</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45877</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45877</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45877</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45877</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45877</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45877</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45877</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45877</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45877</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45877</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45877</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45877</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45877</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45877</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45877</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45877</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45877</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45877</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45877</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45877</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45877</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45877</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45877</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45877</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45877</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45877</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45877</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45877</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45877</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45877</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45877</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45877</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45877</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45877</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45877</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45877</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45877</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45877</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45877</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45877</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45877</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45877</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45877</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45877</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45877</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45877</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45877</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45877</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45877</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45877</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45877</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45877</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45877</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45877</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45877</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45877</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45877</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45877</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45877</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45877</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45877</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45877</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45877</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45877</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45877</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45877</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45877</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45877</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45877</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45877</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45877</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45877</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45877</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45877</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45877</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45877</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45877</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45877</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45877</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45877</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45877</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45877</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45877</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45877</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45877</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45877</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45877</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45877</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45877</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45877</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45877</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45877</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45877</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45877</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45877</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45877</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45877</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45877</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45877</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45877</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45877</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45877</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45877</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45877</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45877</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45877</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45877</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45877</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45877</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45877</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45877</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45877</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45877</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45877</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45877</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45877</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45877</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45877</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45877</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45877</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45877</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45877</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45877</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45877</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45877</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45877</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45877</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45877</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29375-2025</t>
        </is>
      </c>
      <c r="B1126" s="1" t="n">
        <v>45824</v>
      </c>
      <c r="C1126" s="1" t="n">
        <v>45877</v>
      </c>
      <c r="D1126" t="inlineStr">
        <is>
          <t>NORRBOTTENS LÄN</t>
        </is>
      </c>
      <c r="E1126" t="inlineStr">
        <is>
          <t>LULEÅ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45877</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45877</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45877</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45877</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45877</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30080-2025</t>
        </is>
      </c>
      <c r="B1132" s="1" t="n">
        <v>45826</v>
      </c>
      <c r="C1132" s="1" t="n">
        <v>45877</v>
      </c>
      <c r="D1132" t="inlineStr">
        <is>
          <t>NORRBOTTENS LÄN</t>
        </is>
      </c>
      <c r="E1132" t="inlineStr">
        <is>
          <t>LULEÅ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29896-2025</t>
        </is>
      </c>
      <c r="B1133" s="1" t="n">
        <v>45826</v>
      </c>
      <c r="C1133" s="1" t="n">
        <v>45877</v>
      </c>
      <c r="D1133" t="inlineStr">
        <is>
          <t>NORRBOTTENS LÄN</t>
        </is>
      </c>
      <c r="E1133" t="inlineStr">
        <is>
          <t>LULEÅ</t>
        </is>
      </c>
      <c r="G1133" t="n">
        <v>17.9</v>
      </c>
      <c r="H1133" t="n">
        <v>0</v>
      </c>
      <c r="I1133" t="n">
        <v>0</v>
      </c>
      <c r="J1133" t="n">
        <v>0</v>
      </c>
      <c r="K1133" t="n">
        <v>0</v>
      </c>
      <c r="L1133" t="n">
        <v>0</v>
      </c>
      <c r="M1133" t="n">
        <v>0</v>
      </c>
      <c r="N1133" t="n">
        <v>0</v>
      </c>
      <c r="O1133" t="n">
        <v>0</v>
      </c>
      <c r="P1133" t="n">
        <v>0</v>
      </c>
      <c r="Q1133" t="n">
        <v>0</v>
      </c>
      <c r="R1133" s="2" t="inlineStr"/>
    </row>
    <row r="1134" ht="15" customHeight="1">
      <c r="A1134" t="inlineStr">
        <is>
          <t>A 30059-2025</t>
        </is>
      </c>
      <c r="B1134" s="1" t="n">
        <v>45826</v>
      </c>
      <c r="C1134" s="1" t="n">
        <v>45877</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30056-2025</t>
        </is>
      </c>
      <c r="B1135" s="1" t="n">
        <v>45826</v>
      </c>
      <c r="C1135" s="1" t="n">
        <v>45877</v>
      </c>
      <c r="D1135" t="inlineStr">
        <is>
          <t>NORRBOTTENS LÄN</t>
        </is>
      </c>
      <c r="E1135" t="inlineStr">
        <is>
          <t>LULEÅ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30048-2025</t>
        </is>
      </c>
      <c r="B1136" s="1" t="n">
        <v>45826</v>
      </c>
      <c r="C1136" s="1" t="n">
        <v>45877</v>
      </c>
      <c r="D1136" t="inlineStr">
        <is>
          <t>NORRBOTTENS LÄN</t>
        </is>
      </c>
      <c r="E1136" t="inlineStr">
        <is>
          <t>LULEÅ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30091-2025</t>
        </is>
      </c>
      <c r="B1137" s="1" t="n">
        <v>45826</v>
      </c>
      <c r="C1137" s="1" t="n">
        <v>45877</v>
      </c>
      <c r="D1137" t="inlineStr">
        <is>
          <t>NORRBOTTENS LÄN</t>
        </is>
      </c>
      <c r="E1137" t="inlineStr">
        <is>
          <t>LULEÅ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45877</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30052-2025</t>
        </is>
      </c>
      <c r="B1139" s="1" t="n">
        <v>45826</v>
      </c>
      <c r="C1139" s="1" t="n">
        <v>45877</v>
      </c>
      <c r="D1139" t="inlineStr">
        <is>
          <t>NORRBOTTENS LÄN</t>
        </is>
      </c>
      <c r="E1139" t="inlineStr">
        <is>
          <t>LULEÅ</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30238-2025</t>
        </is>
      </c>
      <c r="B1140" s="1" t="n">
        <v>45827</v>
      </c>
      <c r="C1140" s="1" t="n">
        <v>45877</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45877</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45877</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45877</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45877</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30569-2025</t>
        </is>
      </c>
      <c r="B1145" s="1" t="n">
        <v>45831</v>
      </c>
      <c r="C1145" s="1" t="n">
        <v>45877</v>
      </c>
      <c r="D1145" t="inlineStr">
        <is>
          <t>NORRBOTTENS LÄN</t>
        </is>
      </c>
      <c r="E1145" t="inlineStr">
        <is>
          <t>LULEÅ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31025-2025</t>
        </is>
      </c>
      <c r="B1146" s="1" t="n">
        <v>45831</v>
      </c>
      <c r="C1146" s="1" t="n">
        <v>45877</v>
      </c>
      <c r="D1146" t="inlineStr">
        <is>
          <t>NORRBOTTENS LÄN</t>
        </is>
      </c>
      <c r="E1146" t="inlineStr">
        <is>
          <t>LULEÅ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45877</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45877</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32264-2025</t>
        </is>
      </c>
      <c r="B1149" s="1" t="n">
        <v>45835</v>
      </c>
      <c r="C1149" s="1" t="n">
        <v>45877</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32154-2025</t>
        </is>
      </c>
      <c r="B1150" s="1" t="n">
        <v>45835</v>
      </c>
      <c r="C1150" s="1" t="n">
        <v>45877</v>
      </c>
      <c r="D1150" t="inlineStr">
        <is>
          <t>NORRBOTTENS LÄN</t>
        </is>
      </c>
      <c r="E1150" t="inlineStr">
        <is>
          <t>LULEÅ</t>
        </is>
      </c>
      <c r="F1150" t="inlineStr">
        <is>
          <t>Sveaskog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32255-2025</t>
        </is>
      </c>
      <c r="B1151" s="1" t="n">
        <v>45835</v>
      </c>
      <c r="C1151" s="1" t="n">
        <v>45877</v>
      </c>
      <c r="D1151" t="inlineStr">
        <is>
          <t>NORRBOTTENS LÄN</t>
        </is>
      </c>
      <c r="E1151" t="inlineStr">
        <is>
          <t>LULEÅ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32223-2025</t>
        </is>
      </c>
      <c r="B1152" s="1" t="n">
        <v>45835</v>
      </c>
      <c r="C1152" s="1" t="n">
        <v>45877</v>
      </c>
      <c r="D1152" t="inlineStr">
        <is>
          <t>NORRBOTTENS LÄN</t>
        </is>
      </c>
      <c r="E1152" t="inlineStr">
        <is>
          <t>LULEÅ</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32260-2025</t>
        </is>
      </c>
      <c r="B1153" s="1" t="n">
        <v>45835</v>
      </c>
      <c r="C1153" s="1" t="n">
        <v>45877</v>
      </c>
      <c r="D1153" t="inlineStr">
        <is>
          <t>NORRBOTTENS LÄN</t>
        </is>
      </c>
      <c r="E1153" t="inlineStr">
        <is>
          <t>LULEÅ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32127-2025</t>
        </is>
      </c>
      <c r="B1154" s="1" t="n">
        <v>45835</v>
      </c>
      <c r="C1154" s="1" t="n">
        <v>45877</v>
      </c>
      <c r="D1154" t="inlineStr">
        <is>
          <t>NORRBOTTENS LÄN</t>
        </is>
      </c>
      <c r="E1154" t="inlineStr">
        <is>
          <t>LULEÅ</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32253-2025</t>
        </is>
      </c>
      <c r="B1155" s="1" t="n">
        <v>45835</v>
      </c>
      <c r="C1155" s="1" t="n">
        <v>45877</v>
      </c>
      <c r="D1155" t="inlineStr">
        <is>
          <t>NORRBOTTENS LÄN</t>
        </is>
      </c>
      <c r="E1155" t="inlineStr">
        <is>
          <t>LULEÅ</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32460-2025</t>
        </is>
      </c>
      <c r="B1156" s="1" t="n">
        <v>45838</v>
      </c>
      <c r="C1156" s="1" t="n">
        <v>45877</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32462-2025</t>
        </is>
      </c>
      <c r="B1157" s="1" t="n">
        <v>45838</v>
      </c>
      <c r="C1157" s="1" t="n">
        <v>45877</v>
      </c>
      <c r="D1157" t="inlineStr">
        <is>
          <t>NORRBOTTENS LÄN</t>
        </is>
      </c>
      <c r="E1157" t="inlineStr">
        <is>
          <t>LULEÅ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32458-2025</t>
        </is>
      </c>
      <c r="B1158" s="1" t="n">
        <v>45838</v>
      </c>
      <c r="C1158" s="1" t="n">
        <v>45877</v>
      </c>
      <c r="D1158" t="inlineStr">
        <is>
          <t>NORRBOTTENS LÄN</t>
        </is>
      </c>
      <c r="E1158" t="inlineStr">
        <is>
          <t>LULEÅ</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45877</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45877</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33692-2025</t>
        </is>
      </c>
      <c r="B1161" s="1" t="n">
        <v>45841</v>
      </c>
      <c r="C1161" s="1" t="n">
        <v>45877</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34565-2025</t>
        </is>
      </c>
      <c r="B1162" s="1" t="n">
        <v>45847</v>
      </c>
      <c r="C1162" s="1" t="n">
        <v>45877</v>
      </c>
      <c r="D1162" t="inlineStr">
        <is>
          <t>NORRBOTTENS LÄN</t>
        </is>
      </c>
      <c r="E1162" t="inlineStr">
        <is>
          <t>LULEÅ</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34655-2025</t>
        </is>
      </c>
      <c r="B1163" s="1" t="n">
        <v>45847</v>
      </c>
      <c r="C1163" s="1" t="n">
        <v>45877</v>
      </c>
      <c r="D1163" t="inlineStr">
        <is>
          <t>NORRBOTTENS LÄN</t>
        </is>
      </c>
      <c r="E1163" t="inlineStr">
        <is>
          <t>LULEÅ</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35595-2025</t>
        </is>
      </c>
      <c r="B1164" s="1" t="n">
        <v>45858</v>
      </c>
      <c r="C1164" s="1" t="n">
        <v>45877</v>
      </c>
      <c r="D1164" t="inlineStr">
        <is>
          <t>NORRBOTTENS LÄN</t>
        </is>
      </c>
      <c r="E1164" t="inlineStr">
        <is>
          <t>LULEÅ</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35682-2025</t>
        </is>
      </c>
      <c r="B1165" s="1" t="n">
        <v>45859</v>
      </c>
      <c r="C1165" s="1" t="n">
        <v>45877</v>
      </c>
      <c r="D1165" t="inlineStr">
        <is>
          <t>NORRBOTTENS LÄN</t>
        </is>
      </c>
      <c r="E1165" t="inlineStr">
        <is>
          <t>LULEÅ</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35685-2025</t>
        </is>
      </c>
      <c r="B1166" s="1" t="n">
        <v>45860</v>
      </c>
      <c r="C1166" s="1" t="n">
        <v>45877</v>
      </c>
      <c r="D1166" t="inlineStr">
        <is>
          <t>NORRBOTTENS LÄN</t>
        </is>
      </c>
      <c r="E1166" t="inlineStr">
        <is>
          <t>LULEÅ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35686-2025</t>
        </is>
      </c>
      <c r="B1167" s="1" t="n">
        <v>45860</v>
      </c>
      <c r="C1167" s="1" t="n">
        <v>45877</v>
      </c>
      <c r="D1167" t="inlineStr">
        <is>
          <t>NORRBOTTENS LÄN</t>
        </is>
      </c>
      <c r="E1167" t="inlineStr">
        <is>
          <t>LULEÅ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35902-2025</t>
        </is>
      </c>
      <c r="B1168" s="1" t="n">
        <v>45862</v>
      </c>
      <c r="C1168" s="1" t="n">
        <v>45877</v>
      </c>
      <c r="D1168" t="inlineStr">
        <is>
          <t>NORRBOTTENS LÄN</t>
        </is>
      </c>
      <c r="E1168" t="inlineStr">
        <is>
          <t>LULEÅ</t>
        </is>
      </c>
      <c r="G1168" t="n">
        <v>2.1</v>
      </c>
      <c r="H1168" t="n">
        <v>0</v>
      </c>
      <c r="I1168" t="n">
        <v>0</v>
      </c>
      <c r="J1168" t="n">
        <v>0</v>
      </c>
      <c r="K1168" t="n">
        <v>0</v>
      </c>
      <c r="L1168" t="n">
        <v>0</v>
      </c>
      <c r="M1168" t="n">
        <v>0</v>
      </c>
      <c r="N1168" t="n">
        <v>0</v>
      </c>
      <c r="O1168" t="n">
        <v>0</v>
      </c>
      <c r="P1168" t="n">
        <v>0</v>
      </c>
      <c r="Q1168" t="n">
        <v>0</v>
      </c>
      <c r="R1168" s="2" t="inlineStr"/>
    </row>
    <row r="1169">
      <c r="A1169" t="inlineStr">
        <is>
          <t>A 35912-2025</t>
        </is>
      </c>
      <c r="B1169" s="1" t="n">
        <v>45862</v>
      </c>
      <c r="C1169" s="1" t="n">
        <v>45877</v>
      </c>
      <c r="D1169" t="inlineStr">
        <is>
          <t>NORRBOTTENS LÄN</t>
        </is>
      </c>
      <c r="E1169" t="inlineStr">
        <is>
          <t>LULEÅ</t>
        </is>
      </c>
      <c r="G1169" t="n">
        <v>5.5</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2025-08-09T01:02:12Z</dcterms:created>
  <dcterms:modified xmlns:dcterms="http://purl.org/dc/terms/" xmlns:xsi="http://www.w3.org/2001/XMLSchema-instance" xsi:type="dcterms:W3CDTF">2025-08-09T01:02:13Z</dcterms:modified>
</cp:coreProperties>
</file>