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45696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45696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45696</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45696</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45696</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45696</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45696</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45696</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45696</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45696</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45696</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45696</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45696</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45696</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45696</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45696</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45696</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45696</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45696</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45696</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45696</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45696</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45696</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727-2025</t>
        </is>
      </c>
      <c r="B26" s="1" t="n">
        <v>45664</v>
      </c>
      <c r="C26" s="1" t="n">
        <v>45696</v>
      </c>
      <c r="D26" t="inlineStr">
        <is>
          <t>NORRBOTTENS LÄN</t>
        </is>
      </c>
      <c r="E26" t="inlineStr">
        <is>
          <t>LULEÅ</t>
        </is>
      </c>
      <c r="G26" t="n">
        <v>2.2</v>
      </c>
      <c r="H26" t="n">
        <v>0</v>
      </c>
      <c r="I26" t="n">
        <v>1</v>
      </c>
      <c r="J26" t="n">
        <v>2</v>
      </c>
      <c r="K26" t="n">
        <v>0</v>
      </c>
      <c r="L26" t="n">
        <v>0</v>
      </c>
      <c r="M26" t="n">
        <v>0</v>
      </c>
      <c r="N26" t="n">
        <v>0</v>
      </c>
      <c r="O26" t="n">
        <v>2</v>
      </c>
      <c r="P26" t="n">
        <v>0</v>
      </c>
      <c r="Q26" t="n">
        <v>3</v>
      </c>
      <c r="R26" s="2" t="inlineStr">
        <is>
          <t>Granticka
Lunglav
Skinnlav</t>
        </is>
      </c>
      <c r="S26">
        <f>HYPERLINK("https://klasma.github.io/Logging_2580/artfynd/A 727-2025 artfynd.xlsx", "A 727-2025")</f>
        <v/>
      </c>
      <c r="T26">
        <f>HYPERLINK("https://klasma.github.io/Logging_2580/kartor/A 727-2025 karta.png", "A 727-2025")</f>
        <v/>
      </c>
      <c r="V26">
        <f>HYPERLINK("https://klasma.github.io/Logging_2580/klagomål/A 727-2025 FSC-klagomål.docx", "A 727-2025")</f>
        <v/>
      </c>
      <c r="W26">
        <f>HYPERLINK("https://klasma.github.io/Logging_2580/klagomålsmail/A 727-2025 FSC-klagomål mail.docx", "A 727-2025")</f>
        <v/>
      </c>
      <c r="X26">
        <f>HYPERLINK("https://klasma.github.io/Logging_2580/tillsyn/A 727-2025 tillsynsbegäran.docx", "A 727-2025")</f>
        <v/>
      </c>
      <c r="Y26">
        <f>HYPERLINK("https://klasma.github.io/Logging_2580/tillsynsmail/A 727-2025 tillsynsbegäran mail.docx", "A 727-2025")</f>
        <v/>
      </c>
    </row>
    <row r="27" ht="15" customHeight="1">
      <c r="A27" t="inlineStr">
        <is>
          <t>A 882-2025</t>
        </is>
      </c>
      <c r="B27" s="1" t="n">
        <v>45664</v>
      </c>
      <c r="C27" s="1" t="n">
        <v>45696</v>
      </c>
      <c r="D27" t="inlineStr">
        <is>
          <t>NORRBOTTENS LÄN</t>
        </is>
      </c>
      <c r="E27" t="inlineStr">
        <is>
          <t>LULEÅ</t>
        </is>
      </c>
      <c r="G27" t="n">
        <v>2.2</v>
      </c>
      <c r="H27" t="n">
        <v>1</v>
      </c>
      <c r="I27" t="n">
        <v>0</v>
      </c>
      <c r="J27" t="n">
        <v>2</v>
      </c>
      <c r="K27" t="n">
        <v>1</v>
      </c>
      <c r="L27" t="n">
        <v>0</v>
      </c>
      <c r="M27" t="n">
        <v>0</v>
      </c>
      <c r="N27" t="n">
        <v>0</v>
      </c>
      <c r="O27" t="n">
        <v>3</v>
      </c>
      <c r="P27" t="n">
        <v>1</v>
      </c>
      <c r="Q27" t="n">
        <v>3</v>
      </c>
      <c r="R27" s="2" t="inlineStr">
        <is>
          <t>Rynkskinn
Tretåig hackspett
Ullticka</t>
        </is>
      </c>
      <c r="S27">
        <f>HYPERLINK("https://klasma.github.io/Logging_2580/artfynd/A 882-2025 artfynd.xlsx", "A 882-2025")</f>
        <v/>
      </c>
      <c r="T27">
        <f>HYPERLINK("https://klasma.github.io/Logging_2580/kartor/A 882-2025 karta.png", "A 882-2025")</f>
        <v/>
      </c>
      <c r="V27">
        <f>HYPERLINK("https://klasma.github.io/Logging_2580/klagomål/A 882-2025 FSC-klagomål.docx", "A 882-2025")</f>
        <v/>
      </c>
      <c r="W27">
        <f>HYPERLINK("https://klasma.github.io/Logging_2580/klagomålsmail/A 882-2025 FSC-klagomål mail.docx", "A 882-2025")</f>
        <v/>
      </c>
      <c r="X27">
        <f>HYPERLINK("https://klasma.github.io/Logging_2580/tillsyn/A 882-2025 tillsynsbegäran.docx", "A 882-2025")</f>
        <v/>
      </c>
      <c r="Y27">
        <f>HYPERLINK("https://klasma.github.io/Logging_2580/tillsynsmail/A 882-2025 tillsynsbegäran mail.docx", "A 882-2025")</f>
        <v/>
      </c>
      <c r="Z27">
        <f>HYPERLINK("https://klasma.github.io/Logging_2580/fåglar/A 882-2025 prioriterade fågelarter.docx", "A 882-2025")</f>
        <v/>
      </c>
    </row>
    <row r="28" ht="15" customHeight="1">
      <c r="A28" t="inlineStr">
        <is>
          <t>A 881-2025</t>
        </is>
      </c>
      <c r="B28" s="1" t="n">
        <v>45664</v>
      </c>
      <c r="C28" s="1" t="n">
        <v>45696</v>
      </c>
      <c r="D28" t="inlineStr">
        <is>
          <t>NORRBOTTENS LÄN</t>
        </is>
      </c>
      <c r="E28" t="inlineStr">
        <is>
          <t>LULEÅ</t>
        </is>
      </c>
      <c r="G28" t="n">
        <v>13.2</v>
      </c>
      <c r="H28" t="n">
        <v>1</v>
      </c>
      <c r="I28" t="n">
        <v>0</v>
      </c>
      <c r="J28" t="n">
        <v>2</v>
      </c>
      <c r="K28" t="n">
        <v>0</v>
      </c>
      <c r="L28" t="n">
        <v>0</v>
      </c>
      <c r="M28" t="n">
        <v>0</v>
      </c>
      <c r="N28" t="n">
        <v>0</v>
      </c>
      <c r="O28" t="n">
        <v>2</v>
      </c>
      <c r="P28" t="n">
        <v>0</v>
      </c>
      <c r="Q28" t="n">
        <v>3</v>
      </c>
      <c r="R28" s="2" t="inlineStr">
        <is>
          <t>Granticka
Lunglav
Tjäder</t>
        </is>
      </c>
      <c r="S28">
        <f>HYPERLINK("https://klasma.github.io/Logging_2580/artfynd/A 881-2025 artfynd.xlsx", "A 881-2025")</f>
        <v/>
      </c>
      <c r="T28">
        <f>HYPERLINK("https://klasma.github.io/Logging_2580/kartor/A 881-2025 karta.png", "A 881-2025")</f>
        <v/>
      </c>
      <c r="V28">
        <f>HYPERLINK("https://klasma.github.io/Logging_2580/klagomål/A 881-2025 FSC-klagomål.docx", "A 881-2025")</f>
        <v/>
      </c>
      <c r="W28">
        <f>HYPERLINK("https://klasma.github.io/Logging_2580/klagomålsmail/A 881-2025 FSC-klagomål mail.docx", "A 881-2025")</f>
        <v/>
      </c>
      <c r="X28">
        <f>HYPERLINK("https://klasma.github.io/Logging_2580/tillsyn/A 881-2025 tillsynsbegäran.docx", "A 881-2025")</f>
        <v/>
      </c>
      <c r="Y28">
        <f>HYPERLINK("https://klasma.github.io/Logging_2580/tillsynsmail/A 881-2025 tillsynsbegäran mail.docx", "A 881-2025")</f>
        <v/>
      </c>
      <c r="Z28">
        <f>HYPERLINK("https://klasma.github.io/Logging_2580/fåglar/A 881-2025 prioriterade fågelarter.docx", "A 881-2025")</f>
        <v/>
      </c>
    </row>
    <row r="29" ht="15" customHeight="1">
      <c r="A29" t="inlineStr">
        <is>
          <t>A 47756-2019</t>
        </is>
      </c>
      <c r="B29" s="1" t="n">
        <v>43724</v>
      </c>
      <c r="C29" s="1" t="n">
        <v>45696</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45696</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45696</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45696</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45696</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45696</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45696</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45696</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45696</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45696</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45696</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45696</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45696</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45696</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45696</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45696</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45696</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45696</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45696</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45696</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45696</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45696</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45696</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45696</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45696</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45696</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45696</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45696</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45696</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45696</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45696</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45696</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45696</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45696</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45696</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45696</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45696</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739-2025</t>
        </is>
      </c>
      <c r="B66" s="1" t="n">
        <v>45664</v>
      </c>
      <c r="C66" s="1" t="n">
        <v>45696</v>
      </c>
      <c r="D66" t="inlineStr">
        <is>
          <t>NORRBOTTENS LÄN</t>
        </is>
      </c>
      <c r="E66" t="inlineStr">
        <is>
          <t>LULEÅ</t>
        </is>
      </c>
      <c r="G66" t="n">
        <v>1.8</v>
      </c>
      <c r="H66" t="n">
        <v>0</v>
      </c>
      <c r="I66" t="n">
        <v>0</v>
      </c>
      <c r="J66" t="n">
        <v>1</v>
      </c>
      <c r="K66" t="n">
        <v>0</v>
      </c>
      <c r="L66" t="n">
        <v>0</v>
      </c>
      <c r="M66" t="n">
        <v>0</v>
      </c>
      <c r="N66" t="n">
        <v>0</v>
      </c>
      <c r="O66" t="n">
        <v>1</v>
      </c>
      <c r="P66" t="n">
        <v>0</v>
      </c>
      <c r="Q66" t="n">
        <v>1</v>
      </c>
      <c r="R66" s="2" t="inlineStr">
        <is>
          <t>Garnlav</t>
        </is>
      </c>
      <c r="S66">
        <f>HYPERLINK("https://klasma.github.io/Logging_2580/artfynd/A 739-2025 artfynd.xlsx", "A 739-2025")</f>
        <v/>
      </c>
      <c r="T66">
        <f>HYPERLINK("https://klasma.github.io/Logging_2580/kartor/A 739-2025 karta.png", "A 739-2025")</f>
        <v/>
      </c>
      <c r="U66">
        <f>HYPERLINK("https://klasma.github.io/Logging_2580/knärot/A 739-2025 karta knärot.png", "A 739-2025")</f>
        <v/>
      </c>
      <c r="V66">
        <f>HYPERLINK("https://klasma.github.io/Logging_2580/klagomål/A 739-2025 FSC-klagomål.docx", "A 739-2025")</f>
        <v/>
      </c>
      <c r="W66">
        <f>HYPERLINK("https://klasma.github.io/Logging_2580/klagomålsmail/A 739-2025 FSC-klagomål mail.docx", "A 739-2025")</f>
        <v/>
      </c>
      <c r="X66">
        <f>HYPERLINK("https://klasma.github.io/Logging_2580/tillsyn/A 739-2025 tillsynsbegäran.docx", "A 739-2025")</f>
        <v/>
      </c>
      <c r="Y66">
        <f>HYPERLINK("https://klasma.github.io/Logging_2580/tillsynsmail/A 739-2025 tillsynsbegäran mail.docx", "A 739-2025")</f>
        <v/>
      </c>
    </row>
    <row r="67" ht="15" customHeight="1">
      <c r="A67" t="inlineStr">
        <is>
          <t>A 733-2025</t>
        </is>
      </c>
      <c r="B67" s="1" t="n">
        <v>45664</v>
      </c>
      <c r="C67" s="1" t="n">
        <v>45696</v>
      </c>
      <c r="D67" t="inlineStr">
        <is>
          <t>NORRBOTTENS LÄN</t>
        </is>
      </c>
      <c r="E67" t="inlineStr">
        <is>
          <t>LULEÅ</t>
        </is>
      </c>
      <c r="G67" t="n">
        <v>0.8</v>
      </c>
      <c r="H67" t="n">
        <v>0</v>
      </c>
      <c r="I67" t="n">
        <v>0</v>
      </c>
      <c r="J67" t="n">
        <v>1</v>
      </c>
      <c r="K67" t="n">
        <v>0</v>
      </c>
      <c r="L67" t="n">
        <v>0</v>
      </c>
      <c r="M67" t="n">
        <v>0</v>
      </c>
      <c r="N67" t="n">
        <v>0</v>
      </c>
      <c r="O67" t="n">
        <v>1</v>
      </c>
      <c r="P67" t="n">
        <v>0</v>
      </c>
      <c r="Q67" t="n">
        <v>1</v>
      </c>
      <c r="R67" s="2" t="inlineStr">
        <is>
          <t>Gränsticka</t>
        </is>
      </c>
      <c r="S67">
        <f>HYPERLINK("https://klasma.github.io/Logging_2580/artfynd/A 733-2025 artfynd.xlsx", "A 733-2025")</f>
        <v/>
      </c>
      <c r="T67">
        <f>HYPERLINK("https://klasma.github.io/Logging_2580/kartor/A 733-2025 karta.png", "A 733-2025")</f>
        <v/>
      </c>
      <c r="V67">
        <f>HYPERLINK("https://klasma.github.io/Logging_2580/klagomål/A 733-2025 FSC-klagomål.docx", "A 733-2025")</f>
        <v/>
      </c>
      <c r="W67">
        <f>HYPERLINK("https://klasma.github.io/Logging_2580/klagomålsmail/A 733-2025 FSC-klagomål mail.docx", "A 733-2025")</f>
        <v/>
      </c>
      <c r="X67">
        <f>HYPERLINK("https://klasma.github.io/Logging_2580/tillsyn/A 733-2025 tillsynsbegäran.docx", "A 733-2025")</f>
        <v/>
      </c>
      <c r="Y67">
        <f>HYPERLINK("https://klasma.github.io/Logging_2580/tillsynsmail/A 733-2025 tillsynsbegäran mail.docx", "A 733-2025")</f>
        <v/>
      </c>
    </row>
    <row r="68" ht="15" customHeight="1">
      <c r="A68" t="inlineStr">
        <is>
          <t>A 3578-2025</t>
        </is>
      </c>
      <c r="B68" s="1" t="n">
        <v>45680</v>
      </c>
      <c r="C68" s="1" t="n">
        <v>45696</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45696</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45696</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45696</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45696</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45696</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45696</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45696</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45696</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45696</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45696</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45696</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45696</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45696</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45696</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45696</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45696</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45696</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45696</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45696</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45696</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45696</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45696</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45696</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45696</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45696</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45696</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45696</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45696</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45696</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45696</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45696</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45696</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45696</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45696</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45696</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45696</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45696</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45696</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45696</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45696</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45696</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45696</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45696</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45696</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45696</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45696</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45696</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45696</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45696</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45696</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45696</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45696</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45696</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45696</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45696</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45696</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45696</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45696</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45696</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45696</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45696</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45696</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45696</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45696</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45696</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45696</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45696</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45696</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45696</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45696</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45696</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45696</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45696</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45696</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45696</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45696</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45696</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45696</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45696</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45696</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45696</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45696</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45696</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45696</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45696</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45696</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45696</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45696</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45696</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45696</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45696</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45696</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45696</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45696</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45696</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45696</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45696</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45696</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45696</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45696</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45696</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45696</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45696</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45696</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45696</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45696</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45696</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45696</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45696</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45696</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45696</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45696</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45696</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45696</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45696</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45696</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45696</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45696</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45696</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45696</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45696</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45696</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45696</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45696</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45696</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45696</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45696</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45696</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45696</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45696</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45696</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45696</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45696</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45696</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45696</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45696</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45696</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45696</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45696</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45696</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45696</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45696</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45696</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45696</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45696</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45696</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45696</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45696</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45696</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45696</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45696</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45696</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45696</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45696</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45696</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45696</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45696</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45696</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45696</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45696</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45696</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45696</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45696</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45696</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45696</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45696</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45696</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45696</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45696</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45696</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45696</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45696</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45696</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45696</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45696</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45696</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45696</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45696</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45696</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45696</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45696</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45696</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45696</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45696</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45696</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45696</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45696</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45696</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45696</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45696</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45696</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45696</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45696</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45696</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45696</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45696</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45696</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45696</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45696</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45696</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45696</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45696</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45696</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45696</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45696</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45696</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45696</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45696</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45696</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45696</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45696</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45696</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45696</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45696</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45696</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45696</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45696</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45696</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45696</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45696</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45696</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45696</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45696</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45696</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45696</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45696</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45696</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45696</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45696</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45696</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45696</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45696</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45696</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45696</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45696</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45696</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45696</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45696</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45696</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45696</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45696</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45696</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45696</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45696</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45696</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45696</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45696</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45696</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45696</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45696</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45696</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45696</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45696</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45696</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45696</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45696</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45696</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45696</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45696</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45696</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45696</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45696</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45696</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45696</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45696</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45696</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45696</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45696</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45696</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45696</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45696</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45696</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45696</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45696</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45696</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45696</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45696</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45696</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45696</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45696</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45696</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45696</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45696</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45696</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45696</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45696</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45696</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45696</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45696</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45696</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45696</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45696</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45696</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45696</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45696</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45696</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45696</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45696</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45696</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45696</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45696</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45696</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45696</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45696</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45696</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45696</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45696</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45696</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45696</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45696</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45696</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45696</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45696</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45696</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45696</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45696</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45696</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45696</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45696</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45696</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45696</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45696</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45696</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45696</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45696</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45696</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45696</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45696</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45696</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45696</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45696</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45696</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45696</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45696</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45696</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45696</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45696</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45696</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45696</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45696</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45696</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45696</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45696</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45696</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45696</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45696</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45696</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45696</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45696</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45696</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45696</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45696</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45696</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45696</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45696</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45696</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45696</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45696</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45696</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45696</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45696</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45696</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45696</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45696</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45696</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45696</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45696</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45696</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45696</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45696</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45696</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45696</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45696</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45696</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45696</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45696</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45696</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45696</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45696</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45696</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45696</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45696</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45696</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45696</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45696</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45696</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45696</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45696</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45696</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45696</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45696</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45696</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45696</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45696</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45696</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45696</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45696</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45696</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45696</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45696</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45696</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45696</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45696</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45696</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45696</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45696</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45696</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45696</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45696</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45696</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45696</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45696</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45696</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45696</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45696</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45696</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45696</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45696</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45696</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45696</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45696</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45696</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45696</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45696</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45696</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45696</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45696</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45696</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45696</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45696</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45696</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45696</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45696</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45696</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45696</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45696</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45696</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45696</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45696</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45696</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45696</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45696</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45696</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45696</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45696</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45696</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45696</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45696</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45696</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45696</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45696</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45696</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45696</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45696</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45696</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45696</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45696</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45696</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45696</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45696</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45696</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45696</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45696</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45696</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45696</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45696</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45696</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45696</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45696</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45696</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45696</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45696</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45696</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45696</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45696</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45696</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45696</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45696</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45696</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45696</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45696</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45696</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45696</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45696</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45696</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45696</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45696</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45696</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45696</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45696</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45696</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45696</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45696</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45696</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45696</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45696</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45696</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45696</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45696</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45696</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45696</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45696</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45696</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45696</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45696</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45696</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45696</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45696</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45696</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45696</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45696</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45696</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45696</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45696</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45696</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45696</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45696</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45696</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45696</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45696</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45696</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45696</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45696</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45696</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45696</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45696</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45696</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45696</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45696</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45696</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45696</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45696</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45696</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45696</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45696</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45696</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45696</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45696</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45696</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45696</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45696</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45696</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45696</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45696</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45696</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45696</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45696</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45696</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45696</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45696</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45696</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45696</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45696</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45696</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45696</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45696</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45696</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45696</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45696</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45696</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45696</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45696</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45696</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45696</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45696</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45696</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45696</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45696</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45696</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45696</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45696</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45696</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45696</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45696</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45696</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45696</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45696</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45696</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45696</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45696</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45696</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45696</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45696</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45696</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45696</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45696</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45696</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45696</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45696</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45696</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45696</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45696</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45696</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45696</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45696</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45696</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45696</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45696</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45696</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45696</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45696</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45696</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45696</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45696</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45696</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45696</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45696</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45696</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45696</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45696</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45696</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45696</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45696</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45696</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45696</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45696</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45696</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45696</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45696</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45696</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45696</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45696</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45696</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45696</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45696</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45696</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45696</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45696</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45696</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45696</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45696</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45696</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45696</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45696</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45696</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45696</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45696</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45696</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45696</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45696</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45696</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45696</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45696</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45696</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45696</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45696</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45696</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45696</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45696</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45696</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45696</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45696</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45696</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45696</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45696</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45696</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45696</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45696</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45696</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45696</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45696</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45696</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45696</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45696</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45696</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45696</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45696</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45696</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45696</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45696</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45696</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45696</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45696</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45696</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45696</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45696</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45696</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45696</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45696</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45696</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45696</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45696</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45696</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45696</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45696</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45696</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45696</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45696</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45696</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45696</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45696</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45696</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45696</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45696</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45696</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45696</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45696</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45696</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45696</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45696</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45696</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45696</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45696</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45696</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45696</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45696</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45696</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45696</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45696</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45696</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45696</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45696</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45696</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45696</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45696</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45696</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45696</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45696</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45696</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45696</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45696</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45696</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45696</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45696</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45696</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45696</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45696</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45696</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45696</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45696</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45696</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45696</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45696</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45696</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45696</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45696</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45696</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45696</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45696</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45696</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45696</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45696</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45696</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45696</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45696</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45696</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45696</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45696</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45696</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45696</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45696</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45696</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45696</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45696</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45696</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45696</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45696</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45696</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45696</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45696</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45696</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45696</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45696</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45696</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45696</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45696</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45696</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45696</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45696</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45696</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45696</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45696</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45696</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45696</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45696</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45696</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45696</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45696</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45696</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45696</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45696</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45696</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45696</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45696</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45696</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45696</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45696</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45696</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45696</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45696</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45696</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45696</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45696</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45696</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45696</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45696</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45696</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45696</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45696</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45696</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45696</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45696</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45696</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45696</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45696</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45696</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45696</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45696</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45696</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45696</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45696</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45696</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45696</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45696</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45696</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45696</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45696</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45696</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45696</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45696</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45696</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45696</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45696</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45696</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45696</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45696</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45696</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45696</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45696</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45696</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45696</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45696</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45696</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45696</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45696</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45696</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45696</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45696</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45696</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45696</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45696</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45696</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45696</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45696</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45696</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45696</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45696</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45696</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45696</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45696</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45696</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45696</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45696</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45696</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45696</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45696</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45696</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45696</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45696</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45696</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45696</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45696</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45696</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45696</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45696</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45696</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45696</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45696</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45696</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45696</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45696</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45696</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45696</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45696</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45696</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45696</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45696</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45696</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45696</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45696</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45696</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45696</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45696</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45696</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45696</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45696</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45696</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45696</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45696</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45696</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45696</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45696</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45696</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45696</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45696</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45696</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45696</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45696</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45696</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45696</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45696</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45696</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71-2025</t>
        </is>
      </c>
      <c r="B971" s="1" t="n">
        <v>45659</v>
      </c>
      <c r="C971" s="1" t="n">
        <v>45696</v>
      </c>
      <c r="D971" t="inlineStr">
        <is>
          <t>NORRBOTTENS LÄN</t>
        </is>
      </c>
      <c r="E971" t="inlineStr">
        <is>
          <t>LULEÅ</t>
        </is>
      </c>
      <c r="G971" t="n">
        <v>1.7</v>
      </c>
      <c r="H971" t="n">
        <v>0</v>
      </c>
      <c r="I971" t="n">
        <v>0</v>
      </c>
      <c r="J971" t="n">
        <v>0</v>
      </c>
      <c r="K971" t="n">
        <v>0</v>
      </c>
      <c r="L971" t="n">
        <v>0</v>
      </c>
      <c r="M971" t="n">
        <v>0</v>
      </c>
      <c r="N971" t="n">
        <v>0</v>
      </c>
      <c r="O971" t="n">
        <v>0</v>
      </c>
      <c r="P971" t="n">
        <v>0</v>
      </c>
      <c r="Q971" t="n">
        <v>0</v>
      </c>
      <c r="R971" s="2" t="inlineStr"/>
    </row>
    <row r="972" ht="15" customHeight="1">
      <c r="A972" t="inlineStr">
        <is>
          <t>A 92-2025</t>
        </is>
      </c>
      <c r="B972" s="1" t="n">
        <v>45659</v>
      </c>
      <c r="C972" s="1" t="n">
        <v>45696</v>
      </c>
      <c r="D972" t="inlineStr">
        <is>
          <t>NORRBOTTENS LÄN</t>
        </is>
      </c>
      <c r="E972" t="inlineStr">
        <is>
          <t>LULEÅ</t>
        </is>
      </c>
      <c r="G972" t="n">
        <v>5.2</v>
      </c>
      <c r="H972" t="n">
        <v>0</v>
      </c>
      <c r="I972" t="n">
        <v>0</v>
      </c>
      <c r="J972" t="n">
        <v>0</v>
      </c>
      <c r="K972" t="n">
        <v>0</v>
      </c>
      <c r="L972" t="n">
        <v>0</v>
      </c>
      <c r="M972" t="n">
        <v>0</v>
      </c>
      <c r="N972" t="n">
        <v>0</v>
      </c>
      <c r="O972" t="n">
        <v>0</v>
      </c>
      <c r="P972" t="n">
        <v>0</v>
      </c>
      <c r="Q972" t="n">
        <v>0</v>
      </c>
      <c r="R972" s="2" t="inlineStr"/>
    </row>
    <row r="973" ht="15" customHeight="1">
      <c r="A973" t="inlineStr">
        <is>
          <t>A 83-2025</t>
        </is>
      </c>
      <c r="B973" s="1" t="n">
        <v>45659</v>
      </c>
      <c r="C973" s="1" t="n">
        <v>45696</v>
      </c>
      <c r="D973" t="inlineStr">
        <is>
          <t>NORRBOTTENS LÄN</t>
        </is>
      </c>
      <c r="E973" t="inlineStr">
        <is>
          <t>LULEÅ</t>
        </is>
      </c>
      <c r="G973" t="n">
        <v>2.4</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45696</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45696</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145-2025</t>
        </is>
      </c>
      <c r="B976" s="1" t="n">
        <v>45659</v>
      </c>
      <c r="C976" s="1" t="n">
        <v>45696</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65-2025</t>
        </is>
      </c>
      <c r="B977" s="1" t="n">
        <v>45659</v>
      </c>
      <c r="C977" s="1" t="n">
        <v>45696</v>
      </c>
      <c r="D977" t="inlineStr">
        <is>
          <t>NORRBOTTENS LÄN</t>
        </is>
      </c>
      <c r="E977" t="inlineStr">
        <is>
          <t>LULEÅ</t>
        </is>
      </c>
      <c r="G977" t="n">
        <v>3.1</v>
      </c>
      <c r="H977" t="n">
        <v>0</v>
      </c>
      <c r="I977" t="n">
        <v>0</v>
      </c>
      <c r="J977" t="n">
        <v>0</v>
      </c>
      <c r="K977" t="n">
        <v>0</v>
      </c>
      <c r="L977" t="n">
        <v>0</v>
      </c>
      <c r="M977" t="n">
        <v>0</v>
      </c>
      <c r="N977" t="n">
        <v>0</v>
      </c>
      <c r="O977" t="n">
        <v>0</v>
      </c>
      <c r="P977" t="n">
        <v>0</v>
      </c>
      <c r="Q977" t="n">
        <v>0</v>
      </c>
      <c r="R977" s="2" t="inlineStr"/>
    </row>
    <row r="978" ht="15" customHeight="1">
      <c r="A978" t="inlineStr">
        <is>
          <t>A 81-2025</t>
        </is>
      </c>
      <c r="B978" s="1" t="n">
        <v>45659</v>
      </c>
      <c r="C978" s="1" t="n">
        <v>45696</v>
      </c>
      <c r="D978" t="inlineStr">
        <is>
          <t>NORRBOTTENS LÄN</t>
        </is>
      </c>
      <c r="E978" t="inlineStr">
        <is>
          <t>LULEÅ</t>
        </is>
      </c>
      <c r="G978" t="n">
        <v>17.1</v>
      </c>
      <c r="H978" t="n">
        <v>0</v>
      </c>
      <c r="I978" t="n">
        <v>0</v>
      </c>
      <c r="J978" t="n">
        <v>0</v>
      </c>
      <c r="K978" t="n">
        <v>0</v>
      </c>
      <c r="L978" t="n">
        <v>0</v>
      </c>
      <c r="M978" t="n">
        <v>0</v>
      </c>
      <c r="N978" t="n">
        <v>0</v>
      </c>
      <c r="O978" t="n">
        <v>0</v>
      </c>
      <c r="P978" t="n">
        <v>0</v>
      </c>
      <c r="Q978" t="n">
        <v>0</v>
      </c>
      <c r="R978" s="2" t="inlineStr"/>
    </row>
    <row r="979" ht="15" customHeight="1">
      <c r="A979" t="inlineStr">
        <is>
          <t>A 86-2025</t>
        </is>
      </c>
      <c r="B979" s="1" t="n">
        <v>45659</v>
      </c>
      <c r="C979" s="1" t="n">
        <v>45696</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96-2025</t>
        </is>
      </c>
      <c r="B980" s="1" t="n">
        <v>45659</v>
      </c>
      <c r="C980" s="1" t="n">
        <v>45696</v>
      </c>
      <c r="D980" t="inlineStr">
        <is>
          <t>NORRBOTTENS LÄN</t>
        </is>
      </c>
      <c r="E980" t="inlineStr">
        <is>
          <t>LULEÅ</t>
        </is>
      </c>
      <c r="G980" t="n">
        <v>4.8</v>
      </c>
      <c r="H980" t="n">
        <v>0</v>
      </c>
      <c r="I980" t="n">
        <v>0</v>
      </c>
      <c r="J980" t="n">
        <v>0</v>
      </c>
      <c r="K980" t="n">
        <v>0</v>
      </c>
      <c r="L980" t="n">
        <v>0</v>
      </c>
      <c r="M980" t="n">
        <v>0</v>
      </c>
      <c r="N980" t="n">
        <v>0</v>
      </c>
      <c r="O980" t="n">
        <v>0</v>
      </c>
      <c r="P980" t="n">
        <v>0</v>
      </c>
      <c r="Q980" t="n">
        <v>0</v>
      </c>
      <c r="R980" s="2" t="inlineStr"/>
    </row>
    <row r="981" ht="15" customHeight="1">
      <c r="A981" t="inlineStr">
        <is>
          <t>A 114-2025</t>
        </is>
      </c>
      <c r="B981" s="1" t="n">
        <v>45659</v>
      </c>
      <c r="C981" s="1" t="n">
        <v>45696</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45696</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376-2025</t>
        </is>
      </c>
      <c r="B983" s="1" t="n">
        <v>45661</v>
      </c>
      <c r="C983" s="1" t="n">
        <v>45696</v>
      </c>
      <c r="D983" t="inlineStr">
        <is>
          <t>NORRBOTTENS LÄN</t>
        </is>
      </c>
      <c r="E983" t="inlineStr">
        <is>
          <t>LULEÅ</t>
        </is>
      </c>
      <c r="G983" t="n">
        <v>2.9</v>
      </c>
      <c r="H983" t="n">
        <v>0</v>
      </c>
      <c r="I983" t="n">
        <v>0</v>
      </c>
      <c r="J983" t="n">
        <v>0</v>
      </c>
      <c r="K983" t="n">
        <v>0</v>
      </c>
      <c r="L983" t="n">
        <v>0</v>
      </c>
      <c r="M983" t="n">
        <v>0</v>
      </c>
      <c r="N983" t="n">
        <v>0</v>
      </c>
      <c r="O983" t="n">
        <v>0</v>
      </c>
      <c r="P983" t="n">
        <v>0</v>
      </c>
      <c r="Q983" t="n">
        <v>0</v>
      </c>
      <c r="R983" s="2" t="inlineStr"/>
    </row>
    <row r="984" ht="15" customHeight="1">
      <c r="A984" t="inlineStr">
        <is>
          <t>A 656-2025</t>
        </is>
      </c>
      <c r="B984" s="1" t="n">
        <v>45661</v>
      </c>
      <c r="C984" s="1" t="n">
        <v>45696</v>
      </c>
      <c r="D984" t="inlineStr">
        <is>
          <t>NORRBOTTENS LÄN</t>
        </is>
      </c>
      <c r="E984" t="inlineStr">
        <is>
          <t>LULEÅ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649-2025</t>
        </is>
      </c>
      <c r="B985" s="1" t="n">
        <v>45661</v>
      </c>
      <c r="C985" s="1" t="n">
        <v>45696</v>
      </c>
      <c r="D985" t="inlineStr">
        <is>
          <t>NORRBOTTENS LÄN</t>
        </is>
      </c>
      <c r="E985" t="inlineStr">
        <is>
          <t>LULEÅ</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700-2025</t>
        </is>
      </c>
      <c r="B986" s="1" t="n">
        <v>45663</v>
      </c>
      <c r="C986" s="1" t="n">
        <v>45696</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702-2025</t>
        </is>
      </c>
      <c r="B987" s="1" t="n">
        <v>45663</v>
      </c>
      <c r="C987" s="1" t="n">
        <v>45696</v>
      </c>
      <c r="D987" t="inlineStr">
        <is>
          <t>NORRBOTTENS LÄN</t>
        </is>
      </c>
      <c r="E987" t="inlineStr">
        <is>
          <t>LULEÅ</t>
        </is>
      </c>
      <c r="G987" t="n">
        <v>2.4</v>
      </c>
      <c r="H987" t="n">
        <v>0</v>
      </c>
      <c r="I987" t="n">
        <v>0</v>
      </c>
      <c r="J987" t="n">
        <v>0</v>
      </c>
      <c r="K987" t="n">
        <v>0</v>
      </c>
      <c r="L987" t="n">
        <v>0</v>
      </c>
      <c r="M987" t="n">
        <v>0</v>
      </c>
      <c r="N987" t="n">
        <v>0</v>
      </c>
      <c r="O987" t="n">
        <v>0</v>
      </c>
      <c r="P987" t="n">
        <v>0</v>
      </c>
      <c r="Q987" t="n">
        <v>0</v>
      </c>
      <c r="R987" s="2" t="inlineStr"/>
    </row>
    <row r="988" ht="15" customHeight="1">
      <c r="A988" t="inlineStr">
        <is>
          <t>A 695-2025</t>
        </is>
      </c>
      <c r="B988" s="1" t="n">
        <v>45663</v>
      </c>
      <c r="C988" s="1" t="n">
        <v>45696</v>
      </c>
      <c r="D988" t="inlineStr">
        <is>
          <t>NORRBOTTENS LÄN</t>
        </is>
      </c>
      <c r="E988" t="inlineStr">
        <is>
          <t>LULEÅ</t>
        </is>
      </c>
      <c r="G988" t="n">
        <v>2.8</v>
      </c>
      <c r="H988" t="n">
        <v>0</v>
      </c>
      <c r="I988" t="n">
        <v>0</v>
      </c>
      <c r="J988" t="n">
        <v>0</v>
      </c>
      <c r="K988" t="n">
        <v>0</v>
      </c>
      <c r="L988" t="n">
        <v>0</v>
      </c>
      <c r="M988" t="n">
        <v>0</v>
      </c>
      <c r="N988" t="n">
        <v>0</v>
      </c>
      <c r="O988" t="n">
        <v>0</v>
      </c>
      <c r="P988" t="n">
        <v>0</v>
      </c>
      <c r="Q988" t="n">
        <v>0</v>
      </c>
      <c r="R988" s="2" t="inlineStr"/>
    </row>
    <row r="989" ht="15" customHeight="1">
      <c r="A989" t="inlineStr">
        <is>
          <t>A 705-2025</t>
        </is>
      </c>
      <c r="B989" s="1" t="n">
        <v>45663</v>
      </c>
      <c r="C989" s="1" t="n">
        <v>45696</v>
      </c>
      <c r="D989" t="inlineStr">
        <is>
          <t>NORRBOTTENS LÄN</t>
        </is>
      </c>
      <c r="E989" t="inlineStr">
        <is>
          <t>LULEÅ</t>
        </is>
      </c>
      <c r="G989" t="n">
        <v>1.6</v>
      </c>
      <c r="H989" t="n">
        <v>0</v>
      </c>
      <c r="I989" t="n">
        <v>0</v>
      </c>
      <c r="J989" t="n">
        <v>0</v>
      </c>
      <c r="K989" t="n">
        <v>0</v>
      </c>
      <c r="L989" t="n">
        <v>0</v>
      </c>
      <c r="M989" t="n">
        <v>0</v>
      </c>
      <c r="N989" t="n">
        <v>0</v>
      </c>
      <c r="O989" t="n">
        <v>0</v>
      </c>
      <c r="P989" t="n">
        <v>0</v>
      </c>
      <c r="Q989" t="n">
        <v>0</v>
      </c>
      <c r="R989" s="2" t="inlineStr"/>
    </row>
    <row r="990" ht="15" customHeight="1">
      <c r="A990" t="inlineStr">
        <is>
          <t>A 704-2025</t>
        </is>
      </c>
      <c r="B990" s="1" t="n">
        <v>45663</v>
      </c>
      <c r="C990" s="1" t="n">
        <v>45696</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822-2025</t>
        </is>
      </c>
      <c r="B991" s="1" t="n">
        <v>45664</v>
      </c>
      <c r="C991" s="1" t="n">
        <v>45696</v>
      </c>
      <c r="D991" t="inlineStr">
        <is>
          <t>NORRBOTTENS LÄN</t>
        </is>
      </c>
      <c r="E991" t="inlineStr">
        <is>
          <t>LULEÅ</t>
        </is>
      </c>
      <c r="G991" t="n">
        <v>0.9</v>
      </c>
      <c r="H991" t="n">
        <v>0</v>
      </c>
      <c r="I991" t="n">
        <v>0</v>
      </c>
      <c r="J991" t="n">
        <v>0</v>
      </c>
      <c r="K991" t="n">
        <v>0</v>
      </c>
      <c r="L991" t="n">
        <v>0</v>
      </c>
      <c r="M991" t="n">
        <v>0</v>
      </c>
      <c r="N991" t="n">
        <v>0</v>
      </c>
      <c r="O991" t="n">
        <v>0</v>
      </c>
      <c r="P991" t="n">
        <v>0</v>
      </c>
      <c r="Q991" t="n">
        <v>0</v>
      </c>
      <c r="R991" s="2" t="inlineStr"/>
    </row>
    <row r="992" ht="15" customHeight="1">
      <c r="A992" t="inlineStr">
        <is>
          <t>A 731-2025</t>
        </is>
      </c>
      <c r="B992" s="1" t="n">
        <v>45664</v>
      </c>
      <c r="C992" s="1" t="n">
        <v>45696</v>
      </c>
      <c r="D992" t="inlineStr">
        <is>
          <t>NORRBOTTENS LÄN</t>
        </is>
      </c>
      <c r="E992" t="inlineStr">
        <is>
          <t>LULEÅ</t>
        </is>
      </c>
      <c r="G992" t="n">
        <v>0.4</v>
      </c>
      <c r="H992" t="n">
        <v>0</v>
      </c>
      <c r="I992" t="n">
        <v>0</v>
      </c>
      <c r="J992" t="n">
        <v>0</v>
      </c>
      <c r="K992" t="n">
        <v>0</v>
      </c>
      <c r="L992" t="n">
        <v>0</v>
      </c>
      <c r="M992" t="n">
        <v>0</v>
      </c>
      <c r="N992" t="n">
        <v>0</v>
      </c>
      <c r="O992" t="n">
        <v>0</v>
      </c>
      <c r="P992" t="n">
        <v>0</v>
      </c>
      <c r="Q992" t="n">
        <v>0</v>
      </c>
      <c r="R992" s="2" t="inlineStr"/>
    </row>
    <row r="993" ht="15" customHeight="1">
      <c r="A993" t="inlineStr">
        <is>
          <t>A 806-2025</t>
        </is>
      </c>
      <c r="B993" s="1" t="n">
        <v>45664</v>
      </c>
      <c r="C993" s="1" t="n">
        <v>45696</v>
      </c>
      <c r="D993" t="inlineStr">
        <is>
          <t>NORRBOTTENS LÄN</t>
        </is>
      </c>
      <c r="E993" t="inlineStr">
        <is>
          <t>LULEÅ</t>
        </is>
      </c>
      <c r="G993" t="n">
        <v>0.6</v>
      </c>
      <c r="H993" t="n">
        <v>0</v>
      </c>
      <c r="I993" t="n">
        <v>0</v>
      </c>
      <c r="J993" t="n">
        <v>0</v>
      </c>
      <c r="K993" t="n">
        <v>0</v>
      </c>
      <c r="L993" t="n">
        <v>0</v>
      </c>
      <c r="M993" t="n">
        <v>0</v>
      </c>
      <c r="N993" t="n">
        <v>0</v>
      </c>
      <c r="O993" t="n">
        <v>0</v>
      </c>
      <c r="P993" t="n">
        <v>0</v>
      </c>
      <c r="Q993" t="n">
        <v>0</v>
      </c>
      <c r="R993" s="2" t="inlineStr"/>
    </row>
    <row r="994" ht="15" customHeight="1">
      <c r="A994" t="inlineStr">
        <is>
          <t>A 825-2025</t>
        </is>
      </c>
      <c r="B994" s="1" t="n">
        <v>45664</v>
      </c>
      <c r="C994" s="1" t="n">
        <v>45696</v>
      </c>
      <c r="D994" t="inlineStr">
        <is>
          <t>NORRBOTTENS LÄN</t>
        </is>
      </c>
      <c r="E994" t="inlineStr">
        <is>
          <t>LULEÅ</t>
        </is>
      </c>
      <c r="G994" t="n">
        <v>3.3</v>
      </c>
      <c r="H994" t="n">
        <v>0</v>
      </c>
      <c r="I994" t="n">
        <v>0</v>
      </c>
      <c r="J994" t="n">
        <v>0</v>
      </c>
      <c r="K994" t="n">
        <v>0</v>
      </c>
      <c r="L994" t="n">
        <v>0</v>
      </c>
      <c r="M994" t="n">
        <v>0</v>
      </c>
      <c r="N994" t="n">
        <v>0</v>
      </c>
      <c r="O994" t="n">
        <v>0</v>
      </c>
      <c r="P994" t="n">
        <v>0</v>
      </c>
      <c r="Q994" t="n">
        <v>0</v>
      </c>
      <c r="R994" s="2" t="inlineStr"/>
    </row>
    <row r="995" ht="15" customHeight="1">
      <c r="A995" t="inlineStr">
        <is>
          <t>A 884-2025</t>
        </is>
      </c>
      <c r="B995" s="1" t="n">
        <v>45664</v>
      </c>
      <c r="C995" s="1" t="n">
        <v>45696</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814-2025</t>
        </is>
      </c>
      <c r="B996" s="1" t="n">
        <v>45664</v>
      </c>
      <c r="C996" s="1" t="n">
        <v>45696</v>
      </c>
      <c r="D996" t="inlineStr">
        <is>
          <t>NORRBOTTENS LÄN</t>
        </is>
      </c>
      <c r="E996" t="inlineStr">
        <is>
          <t>LULEÅ</t>
        </is>
      </c>
      <c r="G996" t="n">
        <v>3.4</v>
      </c>
      <c r="H996" t="n">
        <v>0</v>
      </c>
      <c r="I996" t="n">
        <v>0</v>
      </c>
      <c r="J996" t="n">
        <v>0</v>
      </c>
      <c r="K996" t="n">
        <v>0</v>
      </c>
      <c r="L996" t="n">
        <v>0</v>
      </c>
      <c r="M996" t="n">
        <v>0</v>
      </c>
      <c r="N996" t="n">
        <v>0</v>
      </c>
      <c r="O996" t="n">
        <v>0</v>
      </c>
      <c r="P996" t="n">
        <v>0</v>
      </c>
      <c r="Q996" t="n">
        <v>0</v>
      </c>
      <c r="R996" s="2" t="inlineStr"/>
    </row>
    <row r="997" ht="15" customHeight="1">
      <c r="A997" t="inlineStr">
        <is>
          <t>A 877-2025</t>
        </is>
      </c>
      <c r="B997" s="1" t="n">
        <v>45664</v>
      </c>
      <c r="C997" s="1" t="n">
        <v>45696</v>
      </c>
      <c r="D997" t="inlineStr">
        <is>
          <t>NORRBOTTENS LÄN</t>
        </is>
      </c>
      <c r="E997" t="inlineStr">
        <is>
          <t>LULEÅ</t>
        </is>
      </c>
      <c r="G997" t="n">
        <v>1.9</v>
      </c>
      <c r="H997" t="n">
        <v>0</v>
      </c>
      <c r="I997" t="n">
        <v>0</v>
      </c>
      <c r="J997" t="n">
        <v>0</v>
      </c>
      <c r="K997" t="n">
        <v>0</v>
      </c>
      <c r="L997" t="n">
        <v>0</v>
      </c>
      <c r="M997" t="n">
        <v>0</v>
      </c>
      <c r="N997" t="n">
        <v>0</v>
      </c>
      <c r="O997" t="n">
        <v>0</v>
      </c>
      <c r="P997" t="n">
        <v>0</v>
      </c>
      <c r="Q997" t="n">
        <v>0</v>
      </c>
      <c r="R997" s="2" t="inlineStr"/>
    </row>
    <row r="998" ht="15" customHeight="1">
      <c r="A998" t="inlineStr">
        <is>
          <t>A 804-2025</t>
        </is>
      </c>
      <c r="B998" s="1" t="n">
        <v>45664</v>
      </c>
      <c r="C998" s="1" t="n">
        <v>45696</v>
      </c>
      <c r="D998" t="inlineStr">
        <is>
          <t>NORRBOTTENS LÄN</t>
        </is>
      </c>
      <c r="E998" t="inlineStr">
        <is>
          <t>LULEÅ</t>
        </is>
      </c>
      <c r="G998" t="n">
        <v>2.1</v>
      </c>
      <c r="H998" t="n">
        <v>0</v>
      </c>
      <c r="I998" t="n">
        <v>0</v>
      </c>
      <c r="J998" t="n">
        <v>0</v>
      </c>
      <c r="K998" t="n">
        <v>0</v>
      </c>
      <c r="L998" t="n">
        <v>0</v>
      </c>
      <c r="M998" t="n">
        <v>0</v>
      </c>
      <c r="N998" t="n">
        <v>0</v>
      </c>
      <c r="O998" t="n">
        <v>0</v>
      </c>
      <c r="P998" t="n">
        <v>0</v>
      </c>
      <c r="Q998" t="n">
        <v>0</v>
      </c>
      <c r="R998" s="2" t="inlineStr"/>
    </row>
    <row r="999" ht="15" customHeight="1">
      <c r="A999" t="inlineStr">
        <is>
          <t>A 817-2025</t>
        </is>
      </c>
      <c r="B999" s="1" t="n">
        <v>45664</v>
      </c>
      <c r="C999" s="1" t="n">
        <v>45696</v>
      </c>
      <c r="D999" t="inlineStr">
        <is>
          <t>NORRBOTTENS LÄN</t>
        </is>
      </c>
      <c r="E999" t="inlineStr">
        <is>
          <t>LULEÅ</t>
        </is>
      </c>
      <c r="G999" t="n">
        <v>2.6</v>
      </c>
      <c r="H999" t="n">
        <v>0</v>
      </c>
      <c r="I999" t="n">
        <v>0</v>
      </c>
      <c r="J999" t="n">
        <v>0</v>
      </c>
      <c r="K999" t="n">
        <v>0</v>
      </c>
      <c r="L999" t="n">
        <v>0</v>
      </c>
      <c r="M999" t="n">
        <v>0</v>
      </c>
      <c r="N999" t="n">
        <v>0</v>
      </c>
      <c r="O999" t="n">
        <v>0</v>
      </c>
      <c r="P999" t="n">
        <v>0</v>
      </c>
      <c r="Q999" t="n">
        <v>0</v>
      </c>
      <c r="R999" s="2" t="inlineStr"/>
    </row>
    <row r="1000" ht="15" customHeight="1">
      <c r="A1000" t="inlineStr">
        <is>
          <t>A 736-2025</t>
        </is>
      </c>
      <c r="B1000" s="1" t="n">
        <v>45664</v>
      </c>
      <c r="C1000" s="1" t="n">
        <v>45696</v>
      </c>
      <c r="D1000" t="inlineStr">
        <is>
          <t>NORRBOTTENS LÄN</t>
        </is>
      </c>
      <c r="E1000" t="inlineStr">
        <is>
          <t>LULEÅ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1017-2025</t>
        </is>
      </c>
      <c r="B1001" s="1" t="n">
        <v>45665</v>
      </c>
      <c r="C1001" s="1" t="n">
        <v>45696</v>
      </c>
      <c r="D1001" t="inlineStr">
        <is>
          <t>NORRBOTTENS LÄN</t>
        </is>
      </c>
      <c r="E1001" t="inlineStr">
        <is>
          <t>LULEÅ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1002-2025</t>
        </is>
      </c>
      <c r="B1002" s="1" t="n">
        <v>45665</v>
      </c>
      <c r="C1002" s="1" t="n">
        <v>45696</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1058-2025</t>
        </is>
      </c>
      <c r="B1003" s="1" t="n">
        <v>45665</v>
      </c>
      <c r="C1003" s="1" t="n">
        <v>45696</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1010-2025</t>
        </is>
      </c>
      <c r="B1004" s="1" t="n">
        <v>45665</v>
      </c>
      <c r="C1004" s="1" t="n">
        <v>45696</v>
      </c>
      <c r="D1004" t="inlineStr">
        <is>
          <t>NORRBOTTENS LÄN</t>
        </is>
      </c>
      <c r="E1004" t="inlineStr">
        <is>
          <t>LULEÅ</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1572-2025</t>
        </is>
      </c>
      <c r="B1005" s="1" t="n">
        <v>45670</v>
      </c>
      <c r="C1005" s="1" t="n">
        <v>45696</v>
      </c>
      <c r="D1005" t="inlineStr">
        <is>
          <t>NORRBOTTENS LÄN</t>
        </is>
      </c>
      <c r="E1005" t="inlineStr">
        <is>
          <t>LULEÅ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1685-2025</t>
        </is>
      </c>
      <c r="B1006" s="1" t="n">
        <v>45670</v>
      </c>
      <c r="C1006" s="1" t="n">
        <v>45696</v>
      </c>
      <c r="D1006" t="inlineStr">
        <is>
          <t>NORRBOTTENS LÄN</t>
        </is>
      </c>
      <c r="E1006" t="inlineStr">
        <is>
          <t>LULEÅ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1513-2025</t>
        </is>
      </c>
      <c r="B1007" s="1" t="n">
        <v>45670</v>
      </c>
      <c r="C1007" s="1" t="n">
        <v>45696</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1683-2025</t>
        </is>
      </c>
      <c r="B1008" s="1" t="n">
        <v>45670</v>
      </c>
      <c r="C1008" s="1" t="n">
        <v>45696</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45696</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45696</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3184-2025</t>
        </is>
      </c>
      <c r="B1011" s="1" t="n">
        <v>45679</v>
      </c>
      <c r="C1011" s="1" t="n">
        <v>45696</v>
      </c>
      <c r="D1011" t="inlineStr">
        <is>
          <t>NORRBOTTENS LÄN</t>
        </is>
      </c>
      <c r="E1011" t="inlineStr">
        <is>
          <t>LULEÅ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45696</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45696</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3871-2025</t>
        </is>
      </c>
      <c r="B1014" s="1" t="n">
        <v>45683</v>
      </c>
      <c r="C1014" s="1" t="n">
        <v>45696</v>
      </c>
      <c r="D1014" t="inlineStr">
        <is>
          <t>NORRBOTTENS LÄN</t>
        </is>
      </c>
      <c r="E1014" t="inlineStr">
        <is>
          <t>LULEÅ</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3895-2025</t>
        </is>
      </c>
      <c r="B1015" s="1" t="n">
        <v>45683</v>
      </c>
      <c r="C1015" s="1" t="n">
        <v>45696</v>
      </c>
      <c r="D1015" t="inlineStr">
        <is>
          <t>NORRBOTTENS LÄN</t>
        </is>
      </c>
      <c r="E1015" t="inlineStr">
        <is>
          <t>LULEÅ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3902-2025</t>
        </is>
      </c>
      <c r="B1016" s="1" t="n">
        <v>45683</v>
      </c>
      <c r="C1016" s="1" t="n">
        <v>45696</v>
      </c>
      <c r="D1016" t="inlineStr">
        <is>
          <t>NORRBOTTENS LÄN</t>
        </is>
      </c>
      <c r="E1016" t="inlineStr">
        <is>
          <t>LULEÅ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45696</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45696</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4172-2025</t>
        </is>
      </c>
      <c r="B1019" s="1" t="n">
        <v>45685</v>
      </c>
      <c r="C1019" s="1" t="n">
        <v>45696</v>
      </c>
      <c r="D1019" t="inlineStr">
        <is>
          <t>NORRBOTTENS LÄN</t>
        </is>
      </c>
      <c r="E1019" t="inlineStr">
        <is>
          <t>LULEÅ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4176-2025</t>
        </is>
      </c>
      <c r="B1020" s="1" t="n">
        <v>45685</v>
      </c>
      <c r="C1020" s="1" t="n">
        <v>45696</v>
      </c>
      <c r="D1020" t="inlineStr">
        <is>
          <t>NORRBOTTENS LÄN</t>
        </is>
      </c>
      <c r="E1020" t="inlineStr">
        <is>
          <t>LULEÅ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45696</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45696</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4547-2025</t>
        </is>
      </c>
      <c r="B1023" s="1" t="n">
        <v>45687</v>
      </c>
      <c r="C1023" s="1" t="n">
        <v>45696</v>
      </c>
      <c r="D1023" t="inlineStr">
        <is>
          <t>NORRBOTTENS LÄN</t>
        </is>
      </c>
      <c r="E1023" t="inlineStr">
        <is>
          <t>LULEÅ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4921-2025</t>
        </is>
      </c>
      <c r="B1024" s="1" t="n">
        <v>45688</v>
      </c>
      <c r="C1024" s="1" t="n">
        <v>45696</v>
      </c>
      <c r="D1024" t="inlineStr">
        <is>
          <t>NORRBOTTENS LÄN</t>
        </is>
      </c>
      <c r="E1024" t="inlineStr">
        <is>
          <t>LULEÅ</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4941-2025</t>
        </is>
      </c>
      <c r="B1025" s="1" t="n">
        <v>45688</v>
      </c>
      <c r="C1025" s="1" t="n">
        <v>45696</v>
      </c>
      <c r="D1025" t="inlineStr">
        <is>
          <t>NORRBOTTENS LÄN</t>
        </is>
      </c>
      <c r="E1025" t="inlineStr">
        <is>
          <t>LULEÅ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45696</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4940-2025</t>
        </is>
      </c>
      <c r="B1027" s="1" t="n">
        <v>45688</v>
      </c>
      <c r="C1027" s="1" t="n">
        <v>45696</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45696</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5051-2025</t>
        </is>
      </c>
      <c r="B1029" s="1" t="n">
        <v>45691</v>
      </c>
      <c r="C1029" s="1" t="n">
        <v>45696</v>
      </c>
      <c r="D1029" t="inlineStr">
        <is>
          <t>NORRBOTTENS LÄN</t>
        </is>
      </c>
      <c r="E1029" t="inlineStr">
        <is>
          <t>LULEÅ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5131-2025</t>
        </is>
      </c>
      <c r="B1030" s="1" t="n">
        <v>45691</v>
      </c>
      <c r="C1030" s="1" t="n">
        <v>45696</v>
      </c>
      <c r="D1030" t="inlineStr">
        <is>
          <t>NORRBOTTENS LÄN</t>
        </is>
      </c>
      <c r="E1030" t="inlineStr">
        <is>
          <t>LULEÅ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5038-2025</t>
        </is>
      </c>
      <c r="B1031" s="1" t="n">
        <v>45691</v>
      </c>
      <c r="C1031" s="1" t="n">
        <v>45696</v>
      </c>
      <c r="D1031" t="inlineStr">
        <is>
          <t>NORRBOTTENS LÄN</t>
        </is>
      </c>
      <c r="E1031" t="inlineStr">
        <is>
          <t>LULEÅ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5050-2025</t>
        </is>
      </c>
      <c r="B1032" s="1" t="n">
        <v>45691</v>
      </c>
      <c r="C1032" s="1" t="n">
        <v>45696</v>
      </c>
      <c r="D1032" t="inlineStr">
        <is>
          <t>NORRBOTTENS LÄN</t>
        </is>
      </c>
      <c r="E1032" t="inlineStr">
        <is>
          <t>LULEÅ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5058-2025</t>
        </is>
      </c>
      <c r="B1033" s="1" t="n">
        <v>45691</v>
      </c>
      <c r="C1033" s="1" t="n">
        <v>45696</v>
      </c>
      <c r="D1033" t="inlineStr">
        <is>
          <t>NORRBOTTENS LÄN</t>
        </is>
      </c>
      <c r="E1033" t="inlineStr">
        <is>
          <t>LULEÅ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5132-2025</t>
        </is>
      </c>
      <c r="B1034" s="1" t="n">
        <v>45691</v>
      </c>
      <c r="C1034" s="1" t="n">
        <v>45696</v>
      </c>
      <c r="D1034" t="inlineStr">
        <is>
          <t>NORRBOTTENS LÄN</t>
        </is>
      </c>
      <c r="E1034" t="inlineStr">
        <is>
          <t>LULEÅ</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5342-2025</t>
        </is>
      </c>
      <c r="B1035" s="1" t="n">
        <v>45692</v>
      </c>
      <c r="C1035" s="1" t="n">
        <v>45696</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5727-2025</t>
        </is>
      </c>
      <c r="B1036" s="1" t="n">
        <v>45694</v>
      </c>
      <c r="C1036" s="1" t="n">
        <v>45696</v>
      </c>
      <c r="D1036" t="inlineStr">
        <is>
          <t>NORRBOTTENS LÄN</t>
        </is>
      </c>
      <c r="E1036" t="inlineStr">
        <is>
          <t>LULEÅ</t>
        </is>
      </c>
      <c r="G1036" t="n">
        <v>5.4</v>
      </c>
      <c r="H1036" t="n">
        <v>0</v>
      </c>
      <c r="I1036" t="n">
        <v>0</v>
      </c>
      <c r="J1036" t="n">
        <v>0</v>
      </c>
      <c r="K1036" t="n">
        <v>0</v>
      </c>
      <c r="L1036" t="n">
        <v>0</v>
      </c>
      <c r="M1036" t="n">
        <v>0</v>
      </c>
      <c r="N1036" t="n">
        <v>0</v>
      </c>
      <c r="O1036" t="n">
        <v>0</v>
      </c>
      <c r="P1036" t="n">
        <v>0</v>
      </c>
      <c r="Q1036" t="n">
        <v>0</v>
      </c>
      <c r="R1036" s="2" t="inlineStr"/>
    </row>
    <row r="1037">
      <c r="A1037" t="inlineStr">
        <is>
          <t>A 5822-2025</t>
        </is>
      </c>
      <c r="B1037" s="1" t="n">
        <v>45694</v>
      </c>
      <c r="C1037" s="1" t="n">
        <v>45696</v>
      </c>
      <c r="D1037" t="inlineStr">
        <is>
          <t>NORRBOTTENS LÄN</t>
        </is>
      </c>
      <c r="E1037" t="inlineStr">
        <is>
          <t>LULEÅ</t>
        </is>
      </c>
      <c r="G1037" t="n">
        <v>2.5</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2025-02-08T17:03:33Z</dcterms:created>
  <dcterms:modified xmlns:dcterms="http://purl.org/dc/terms/" xmlns:xsi="http://www.w3.org/2001/XMLSchema-instance" xsi:type="dcterms:W3CDTF">2025-02-08T17:03:34Z</dcterms:modified>
</cp:coreProperties>
</file>