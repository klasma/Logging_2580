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45990</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58682-2025</t>
        </is>
      </c>
      <c r="B8" s="1" t="n">
        <v>45986</v>
      </c>
      <c r="C8" s="1" t="n">
        <v>45990</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45990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45990</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45990</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45990</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882-2025</t>
        </is>
      </c>
      <c r="B13" s="1" t="n">
        <v>45664</v>
      </c>
      <c r="C13" s="1" t="n">
        <v>45990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45990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45990</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45990</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45990</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45990</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45990</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45990</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15192-2022</t>
        </is>
      </c>
      <c r="B21" s="1" t="n">
        <v>44658.62614583333</v>
      </c>
      <c r="C21" s="1" t="n">
        <v>45990</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43961-2025</t>
        </is>
      </c>
      <c r="B22" s="1" t="n">
        <v>45915.39149305555</v>
      </c>
      <c r="C22" s="1" t="n">
        <v>45990</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49421-2025</t>
        </is>
      </c>
      <c r="B23" s="1" t="n">
        <v>45938.72043981482</v>
      </c>
      <c r="C23" s="1" t="n">
        <v>45990</v>
      </c>
      <c r="D23" t="inlineStr">
        <is>
          <t>NORRBOTTENS LÄN</t>
        </is>
      </c>
      <c r="E23" t="inlineStr">
        <is>
          <t>LULEÅ</t>
        </is>
      </c>
      <c r="G23" t="n">
        <v>2.8</v>
      </c>
      <c r="H23" t="n">
        <v>0</v>
      </c>
      <c r="I23" t="n">
        <v>0</v>
      </c>
      <c r="J23" t="n">
        <v>2</v>
      </c>
      <c r="K23" t="n">
        <v>0</v>
      </c>
      <c r="L23" t="n">
        <v>0</v>
      </c>
      <c r="M23" t="n">
        <v>0</v>
      </c>
      <c r="N23" t="n">
        <v>0</v>
      </c>
      <c r="O23" t="n">
        <v>2</v>
      </c>
      <c r="P23" t="n">
        <v>0</v>
      </c>
      <c r="Q23" t="n">
        <v>2</v>
      </c>
      <c r="R23" s="2" t="inlineStr">
        <is>
          <t>Gammelgransskål
Harticka</t>
        </is>
      </c>
      <c r="S23">
        <f>HYPERLINK("https://klasma.github.io/Logging_2580/artfynd/A 49421-2025 artfynd.xlsx", "A 49421-2025")</f>
        <v/>
      </c>
      <c r="T23">
        <f>HYPERLINK("https://klasma.github.io/Logging_2580/kartor/A 49421-2025 karta.png", "A 49421-2025")</f>
        <v/>
      </c>
      <c r="V23">
        <f>HYPERLINK("https://klasma.github.io/Logging_2580/klagomål/A 49421-2025 FSC-klagomål.docx", "A 49421-2025")</f>
        <v/>
      </c>
      <c r="W23">
        <f>HYPERLINK("https://klasma.github.io/Logging_2580/klagomålsmail/A 49421-2025 FSC-klagomål mail.docx", "A 49421-2025")</f>
        <v/>
      </c>
      <c r="X23">
        <f>HYPERLINK("https://klasma.github.io/Logging_2580/tillsyn/A 49421-2025 tillsynsbegäran.docx", "A 49421-2025")</f>
        <v/>
      </c>
      <c r="Y23">
        <f>HYPERLINK("https://klasma.github.io/Logging_2580/tillsynsmail/A 49421-2025 tillsynsbegäran mail.docx", "A 49421-2025")</f>
        <v/>
      </c>
    </row>
    <row r="24" ht="15" customHeight="1">
      <c r="A24" t="inlineStr">
        <is>
          <t>A 19871-2024</t>
        </is>
      </c>
      <c r="B24" s="1" t="n">
        <v>45433</v>
      </c>
      <c r="C24" s="1" t="n">
        <v>45990</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45990</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14184-2025</t>
        </is>
      </c>
      <c r="B26" s="1" t="n">
        <v>45740.54351851852</v>
      </c>
      <c r="C26" s="1" t="n">
        <v>45990</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50085-2021</t>
        </is>
      </c>
      <c r="B27" s="1" t="n">
        <v>44456</v>
      </c>
      <c r="C27" s="1" t="n">
        <v>45990</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63825-2020</t>
        </is>
      </c>
      <c r="B28" s="1" t="n">
        <v>44165</v>
      </c>
      <c r="C28" s="1" t="n">
        <v>45990</v>
      </c>
      <c r="D28" t="inlineStr">
        <is>
          <t>NORRBOTTENS LÄN</t>
        </is>
      </c>
      <c r="E28" t="inlineStr">
        <is>
          <t>LULEÅ</t>
        </is>
      </c>
      <c r="G28" t="n">
        <v>3.8</v>
      </c>
      <c r="H28" t="n">
        <v>0</v>
      </c>
      <c r="I28" t="n">
        <v>0</v>
      </c>
      <c r="J28" t="n">
        <v>1</v>
      </c>
      <c r="K28" t="n">
        <v>0</v>
      </c>
      <c r="L28" t="n">
        <v>0</v>
      </c>
      <c r="M28" t="n">
        <v>0</v>
      </c>
      <c r="N28" t="n">
        <v>0</v>
      </c>
      <c r="O28" t="n">
        <v>1</v>
      </c>
      <c r="P28" t="n">
        <v>0</v>
      </c>
      <c r="Q28" t="n">
        <v>1</v>
      </c>
      <c r="R28" s="2" t="inlineStr">
        <is>
          <t>Igelkott</t>
        </is>
      </c>
      <c r="S28">
        <f>HYPERLINK("https://klasma.github.io/Logging_2580/artfynd/A 63825-2020 artfynd.xlsx", "A 63825-2020")</f>
        <v/>
      </c>
      <c r="T28">
        <f>HYPERLINK("https://klasma.github.io/Logging_2580/kartor/A 63825-2020 karta.png", "A 63825-2020")</f>
        <v/>
      </c>
      <c r="V28">
        <f>HYPERLINK("https://klasma.github.io/Logging_2580/klagomål/A 63825-2020 FSC-klagomål.docx", "A 63825-2020")</f>
        <v/>
      </c>
      <c r="W28">
        <f>HYPERLINK("https://klasma.github.io/Logging_2580/klagomålsmail/A 63825-2020 FSC-klagomål mail.docx", "A 63825-2020")</f>
        <v/>
      </c>
      <c r="X28">
        <f>HYPERLINK("https://klasma.github.io/Logging_2580/tillsyn/A 63825-2020 tillsynsbegäran.docx", "A 63825-2020")</f>
        <v/>
      </c>
      <c r="Y28">
        <f>HYPERLINK("https://klasma.github.io/Logging_2580/tillsynsmail/A 63825-2020 tillsynsbegäran mail.docx", "A 63825-2020")</f>
        <v/>
      </c>
    </row>
    <row r="29" ht="15" customHeight="1">
      <c r="A29" t="inlineStr">
        <is>
          <t>A 44253-2022</t>
        </is>
      </c>
      <c r="B29" s="1" t="n">
        <v>44839.5678125</v>
      </c>
      <c r="C29" s="1" t="n">
        <v>45990</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45990</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45990</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3578-2025</t>
        </is>
      </c>
      <c r="B32" s="1" t="n">
        <v>45680</v>
      </c>
      <c r="C32" s="1" t="n">
        <v>45990</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29381-2025</t>
        </is>
      </c>
      <c r="B33" s="1" t="n">
        <v>45824.59027777778</v>
      </c>
      <c r="C33" s="1" t="n">
        <v>45990</v>
      </c>
      <c r="D33" t="inlineStr">
        <is>
          <t>NORRBOTTENS LÄN</t>
        </is>
      </c>
      <c r="E33" t="inlineStr">
        <is>
          <t>LULEÅ</t>
        </is>
      </c>
      <c r="G33" t="n">
        <v>1.5</v>
      </c>
      <c r="H33" t="n">
        <v>1</v>
      </c>
      <c r="I33" t="n">
        <v>0</v>
      </c>
      <c r="J33" t="n">
        <v>1</v>
      </c>
      <c r="K33" t="n">
        <v>0</v>
      </c>
      <c r="L33" t="n">
        <v>0</v>
      </c>
      <c r="M33" t="n">
        <v>0</v>
      </c>
      <c r="N33" t="n">
        <v>0</v>
      </c>
      <c r="O33" t="n">
        <v>1</v>
      </c>
      <c r="P33" t="n">
        <v>0</v>
      </c>
      <c r="Q33" t="n">
        <v>1</v>
      </c>
      <c r="R33" s="2" t="inlineStr">
        <is>
          <t>Havsörn</t>
        </is>
      </c>
      <c r="S33">
        <f>HYPERLINK("https://klasma.github.io/Logging_2580/artfynd/A 29381-2025 artfynd.xlsx", "A 29381-2025")</f>
        <v/>
      </c>
      <c r="T33">
        <f>HYPERLINK("https://klasma.github.io/Logging_2580/kartor/A 29381-2025 karta.png", "A 29381-2025")</f>
        <v/>
      </c>
      <c r="V33">
        <f>HYPERLINK("https://klasma.github.io/Logging_2580/klagomål/A 29381-2025 FSC-klagomål.docx", "A 29381-2025")</f>
        <v/>
      </c>
      <c r="W33">
        <f>HYPERLINK("https://klasma.github.io/Logging_2580/klagomålsmail/A 29381-2025 FSC-klagomål mail.docx", "A 29381-2025")</f>
        <v/>
      </c>
      <c r="X33">
        <f>HYPERLINK("https://klasma.github.io/Logging_2580/tillsyn/A 29381-2025 tillsynsbegäran.docx", "A 29381-2025")</f>
        <v/>
      </c>
      <c r="Y33">
        <f>HYPERLINK("https://klasma.github.io/Logging_2580/tillsynsmail/A 29381-2025 tillsynsbegäran mail.docx", "A 29381-2025")</f>
        <v/>
      </c>
      <c r="Z33">
        <f>HYPERLINK("https://klasma.github.io/Logging_2580/fåglar/A 29381-2025 prioriterade fågelarter.docx", "A 29381-2025")</f>
        <v/>
      </c>
    </row>
    <row r="34" ht="15" customHeight="1">
      <c r="A34" t="inlineStr">
        <is>
          <t>A 32148-2025</t>
        </is>
      </c>
      <c r="B34" s="1" t="n">
        <v>45835.52969907408</v>
      </c>
      <c r="C34" s="1" t="n">
        <v>45990</v>
      </c>
      <c r="D34" t="inlineStr">
        <is>
          <t>NORRBOTTENS LÄN</t>
        </is>
      </c>
      <c r="E34" t="inlineStr">
        <is>
          <t>LULEÅ</t>
        </is>
      </c>
      <c r="F34" t="inlineStr">
        <is>
          <t>Sveaskog</t>
        </is>
      </c>
      <c r="G34" t="n">
        <v>2.2</v>
      </c>
      <c r="H34" t="n">
        <v>0</v>
      </c>
      <c r="I34" t="n">
        <v>0</v>
      </c>
      <c r="J34" t="n">
        <v>1</v>
      </c>
      <c r="K34" t="n">
        <v>0</v>
      </c>
      <c r="L34" t="n">
        <v>0</v>
      </c>
      <c r="M34" t="n">
        <v>0</v>
      </c>
      <c r="N34" t="n">
        <v>0</v>
      </c>
      <c r="O34" t="n">
        <v>1</v>
      </c>
      <c r="P34" t="n">
        <v>0</v>
      </c>
      <c r="Q34" t="n">
        <v>1</v>
      </c>
      <c r="R34" s="2" t="inlineStr">
        <is>
          <t>Tallticka</t>
        </is>
      </c>
      <c r="S34">
        <f>HYPERLINK("https://klasma.github.io/Logging_2580/artfynd/A 32148-2025 artfynd.xlsx", "A 32148-2025")</f>
        <v/>
      </c>
      <c r="T34">
        <f>HYPERLINK("https://klasma.github.io/Logging_2580/kartor/A 32148-2025 karta.png", "A 32148-2025")</f>
        <v/>
      </c>
      <c r="V34">
        <f>HYPERLINK("https://klasma.github.io/Logging_2580/klagomål/A 32148-2025 FSC-klagomål.docx", "A 32148-2025")</f>
        <v/>
      </c>
      <c r="W34">
        <f>HYPERLINK("https://klasma.github.io/Logging_2580/klagomålsmail/A 32148-2025 FSC-klagomål mail.docx", "A 32148-2025")</f>
        <v/>
      </c>
      <c r="X34">
        <f>HYPERLINK("https://klasma.github.io/Logging_2580/tillsyn/A 32148-2025 tillsynsbegäran.docx", "A 32148-2025")</f>
        <v/>
      </c>
      <c r="Y34">
        <f>HYPERLINK("https://klasma.github.io/Logging_2580/tillsynsmail/A 32148-2025 tillsynsbegäran mail.docx", "A 32148-2025")</f>
        <v/>
      </c>
    </row>
    <row r="35" ht="15" customHeight="1">
      <c r="A35" t="inlineStr">
        <is>
          <t>A 31900-2025</t>
        </is>
      </c>
      <c r="B35" s="1" t="n">
        <v>45834</v>
      </c>
      <c r="C35" s="1" t="n">
        <v>45990</v>
      </c>
      <c r="D35" t="inlineStr">
        <is>
          <t>NORRBOTTENS LÄN</t>
        </is>
      </c>
      <c r="E35" t="inlineStr">
        <is>
          <t>LULEÅ</t>
        </is>
      </c>
      <c r="G35" t="n">
        <v>1.9</v>
      </c>
      <c r="H35" t="n">
        <v>0</v>
      </c>
      <c r="I35" t="n">
        <v>1</v>
      </c>
      <c r="J35" t="n">
        <v>0</v>
      </c>
      <c r="K35" t="n">
        <v>0</v>
      </c>
      <c r="L35" t="n">
        <v>0</v>
      </c>
      <c r="M35" t="n">
        <v>0</v>
      </c>
      <c r="N35" t="n">
        <v>0</v>
      </c>
      <c r="O35" t="n">
        <v>0</v>
      </c>
      <c r="P35" t="n">
        <v>0</v>
      </c>
      <c r="Q35" t="n">
        <v>1</v>
      </c>
      <c r="R35" s="2" t="inlineStr">
        <is>
          <t>Strutbräken</t>
        </is>
      </c>
      <c r="S35">
        <f>HYPERLINK("https://klasma.github.io/Logging_2580/artfynd/A 31900-2025 artfynd.xlsx", "A 31900-2025")</f>
        <v/>
      </c>
      <c r="T35">
        <f>HYPERLINK("https://klasma.github.io/Logging_2580/kartor/A 31900-2025 karta.png", "A 31900-2025")</f>
        <v/>
      </c>
      <c r="V35">
        <f>HYPERLINK("https://klasma.github.io/Logging_2580/klagomål/A 31900-2025 FSC-klagomål.docx", "A 31900-2025")</f>
        <v/>
      </c>
      <c r="W35">
        <f>HYPERLINK("https://klasma.github.io/Logging_2580/klagomålsmail/A 31900-2025 FSC-klagomål mail.docx", "A 31900-2025")</f>
        <v/>
      </c>
      <c r="X35">
        <f>HYPERLINK("https://klasma.github.io/Logging_2580/tillsyn/A 31900-2025 tillsynsbegäran.docx", "A 31900-2025")</f>
        <v/>
      </c>
      <c r="Y35">
        <f>HYPERLINK("https://klasma.github.io/Logging_2580/tillsynsmail/A 31900-2025 tillsynsbegäran mail.docx", "A 31900-2025")</f>
        <v/>
      </c>
    </row>
    <row r="36" ht="15" customHeight="1">
      <c r="A36" t="inlineStr">
        <is>
          <t>A 33514-2025</t>
        </is>
      </c>
      <c r="B36" s="1" t="n">
        <v>45841.52672453703</v>
      </c>
      <c r="C36" s="1" t="n">
        <v>45990</v>
      </c>
      <c r="D36" t="inlineStr">
        <is>
          <t>NORRBOTTENS LÄN</t>
        </is>
      </c>
      <c r="E36" t="inlineStr">
        <is>
          <t>LULEÅ</t>
        </is>
      </c>
      <c r="G36" t="n">
        <v>10</v>
      </c>
      <c r="H36" t="n">
        <v>1</v>
      </c>
      <c r="I36" t="n">
        <v>0</v>
      </c>
      <c r="J36" t="n">
        <v>0</v>
      </c>
      <c r="K36" t="n">
        <v>0</v>
      </c>
      <c r="L36" t="n">
        <v>0</v>
      </c>
      <c r="M36" t="n">
        <v>0</v>
      </c>
      <c r="N36" t="n">
        <v>0</v>
      </c>
      <c r="O36" t="n">
        <v>0</v>
      </c>
      <c r="P36" t="n">
        <v>0</v>
      </c>
      <c r="Q36" t="n">
        <v>1</v>
      </c>
      <c r="R36" s="2" t="inlineStr">
        <is>
          <t>Huggorm</t>
        </is>
      </c>
      <c r="S36">
        <f>HYPERLINK("https://klasma.github.io/Logging_2580/artfynd/A 33514-2025 artfynd.xlsx", "A 33514-2025")</f>
        <v/>
      </c>
      <c r="T36">
        <f>HYPERLINK("https://klasma.github.io/Logging_2580/kartor/A 33514-2025 karta.png", "A 33514-2025")</f>
        <v/>
      </c>
      <c r="V36">
        <f>HYPERLINK("https://klasma.github.io/Logging_2580/klagomål/A 33514-2025 FSC-klagomål.docx", "A 33514-2025")</f>
        <v/>
      </c>
      <c r="W36">
        <f>HYPERLINK("https://klasma.github.io/Logging_2580/klagomålsmail/A 33514-2025 FSC-klagomål mail.docx", "A 33514-2025")</f>
        <v/>
      </c>
      <c r="X36">
        <f>HYPERLINK("https://klasma.github.io/Logging_2580/tillsyn/A 33514-2025 tillsynsbegäran.docx", "A 33514-2025")</f>
        <v/>
      </c>
      <c r="Y36">
        <f>HYPERLINK("https://klasma.github.io/Logging_2580/tillsynsmail/A 33514-2025 tillsynsbegäran mail.docx", "A 33514-2025")</f>
        <v/>
      </c>
    </row>
    <row r="37" ht="15" customHeight="1">
      <c r="A37" t="inlineStr">
        <is>
          <t>A 43978-2025</t>
        </is>
      </c>
      <c r="B37" s="1" t="n">
        <v>45915</v>
      </c>
      <c r="C37" s="1" t="n">
        <v>45990</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45990</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59466-2023</t>
        </is>
      </c>
      <c r="B39" s="1" t="n">
        <v>45254.4122337963</v>
      </c>
      <c r="C39" s="1" t="n">
        <v>45990</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59395-2024</t>
        </is>
      </c>
      <c r="B40" s="1" t="n">
        <v>45638</v>
      </c>
      <c r="C40" s="1" t="n">
        <v>45990</v>
      </c>
      <c r="D40" t="inlineStr">
        <is>
          <t>NORRBOTTENS LÄN</t>
        </is>
      </c>
      <c r="E40" t="inlineStr">
        <is>
          <t>LULEÅ</t>
        </is>
      </c>
      <c r="F40" t="inlineStr">
        <is>
          <t>Sveaskog</t>
        </is>
      </c>
      <c r="G40" t="n">
        <v>18.3</v>
      </c>
      <c r="H40" t="n">
        <v>0</v>
      </c>
      <c r="I40" t="n">
        <v>1</v>
      </c>
      <c r="J40" t="n">
        <v>0</v>
      </c>
      <c r="K40" t="n">
        <v>0</v>
      </c>
      <c r="L40" t="n">
        <v>0</v>
      </c>
      <c r="M40" t="n">
        <v>0</v>
      </c>
      <c r="N40" t="n">
        <v>0</v>
      </c>
      <c r="O40" t="n">
        <v>0</v>
      </c>
      <c r="P40" t="n">
        <v>0</v>
      </c>
      <c r="Q40" t="n">
        <v>1</v>
      </c>
      <c r="R40" s="2" t="inlineStr">
        <is>
          <t>Stuplav</t>
        </is>
      </c>
      <c r="S40">
        <f>HYPERLINK("https://klasma.github.io/Logging_2580/artfynd/A 59395-2024 artfynd.xlsx", "A 59395-2024")</f>
        <v/>
      </c>
      <c r="T40">
        <f>HYPERLINK("https://klasma.github.io/Logging_2580/kartor/A 59395-2024 karta.png", "A 59395-2024")</f>
        <v/>
      </c>
      <c r="V40">
        <f>HYPERLINK("https://klasma.github.io/Logging_2580/klagomål/A 59395-2024 FSC-klagomål.docx", "A 59395-2024")</f>
        <v/>
      </c>
      <c r="W40">
        <f>HYPERLINK("https://klasma.github.io/Logging_2580/klagomålsmail/A 59395-2024 FSC-klagomål mail.docx", "A 59395-2024")</f>
        <v/>
      </c>
      <c r="X40">
        <f>HYPERLINK("https://klasma.github.io/Logging_2580/tillsyn/A 59395-2024 tillsynsbegäran.docx", "A 59395-2024")</f>
        <v/>
      </c>
      <c r="Y40">
        <f>HYPERLINK("https://klasma.github.io/Logging_2580/tillsynsmail/A 59395-2024 tillsynsbegäran mail.docx", "A 59395-2024")</f>
        <v/>
      </c>
    </row>
    <row r="41" ht="15" customHeight="1">
      <c r="A41" t="inlineStr">
        <is>
          <t>A 60002-2024</t>
        </is>
      </c>
      <c r="B41" s="1" t="n">
        <v>45642.41423611111</v>
      </c>
      <c r="C41" s="1" t="n">
        <v>45990</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38889-2025</t>
        </is>
      </c>
      <c r="B42" s="1" t="n">
        <v>45887.58668981482</v>
      </c>
      <c r="C42" s="1" t="n">
        <v>45990</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51900-2025</t>
        </is>
      </c>
      <c r="B43" s="1" t="n">
        <v>45952</v>
      </c>
      <c r="C43" s="1" t="n">
        <v>45990</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49423-2025</t>
        </is>
      </c>
      <c r="B44" s="1" t="n">
        <v>45938</v>
      </c>
      <c r="C44" s="1" t="n">
        <v>45990</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11855-2025</t>
        </is>
      </c>
      <c r="B45" s="1" t="n">
        <v>45727</v>
      </c>
      <c r="C45" s="1" t="n">
        <v>45990</v>
      </c>
      <c r="D45" t="inlineStr">
        <is>
          <t>NORRBOTTENS LÄN</t>
        </is>
      </c>
      <c r="E45" t="inlineStr">
        <is>
          <t>LULEÅ</t>
        </is>
      </c>
      <c r="G45" t="n">
        <v>3.9</v>
      </c>
      <c r="H45" t="n">
        <v>0</v>
      </c>
      <c r="I45" t="n">
        <v>0</v>
      </c>
      <c r="J45" t="n">
        <v>1</v>
      </c>
      <c r="K45" t="n">
        <v>0</v>
      </c>
      <c r="L45" t="n">
        <v>0</v>
      </c>
      <c r="M45" t="n">
        <v>0</v>
      </c>
      <c r="N45" t="n">
        <v>0</v>
      </c>
      <c r="O45" t="n">
        <v>1</v>
      </c>
      <c r="P45" t="n">
        <v>0</v>
      </c>
      <c r="Q45" t="n">
        <v>1</v>
      </c>
      <c r="R45" s="2" t="inlineStr">
        <is>
          <t>Violettgrå tagellav</t>
        </is>
      </c>
      <c r="S45">
        <f>HYPERLINK("https://klasma.github.io/Logging_2580/artfynd/A 11855-2025 artfynd.xlsx", "A 11855-2025")</f>
        <v/>
      </c>
      <c r="T45">
        <f>HYPERLINK("https://klasma.github.io/Logging_2580/kartor/A 11855-2025 karta.png", "A 11855-2025")</f>
        <v/>
      </c>
      <c r="V45">
        <f>HYPERLINK("https://klasma.github.io/Logging_2580/klagomål/A 11855-2025 FSC-klagomål.docx", "A 11855-2025")</f>
        <v/>
      </c>
      <c r="W45">
        <f>HYPERLINK("https://klasma.github.io/Logging_2580/klagomålsmail/A 11855-2025 FSC-klagomål mail.docx", "A 11855-2025")</f>
        <v/>
      </c>
      <c r="X45">
        <f>HYPERLINK("https://klasma.github.io/Logging_2580/tillsyn/A 11855-2025 tillsynsbegäran.docx", "A 11855-2025")</f>
        <v/>
      </c>
      <c r="Y45">
        <f>HYPERLINK("https://klasma.github.io/Logging_2580/tillsynsmail/A 11855-2025 tillsynsbegäran mail.docx", "A 11855-2025")</f>
        <v/>
      </c>
    </row>
    <row r="46" ht="15" customHeight="1">
      <c r="A46" t="inlineStr">
        <is>
          <t>A 55720-2024</t>
        </is>
      </c>
      <c r="B46" s="1" t="n">
        <v>45622.7453125</v>
      </c>
      <c r="C46" s="1" t="n">
        <v>45990</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6527-2021</t>
        </is>
      </c>
      <c r="B47" s="1" t="n">
        <v>44236</v>
      </c>
      <c r="C47" s="1" t="n">
        <v>45990</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60585-2024</t>
        </is>
      </c>
      <c r="B48" s="1" t="n">
        <v>45644</v>
      </c>
      <c r="C48" s="1" t="n">
        <v>45990</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45990</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45990</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38333-2024</t>
        </is>
      </c>
      <c r="B51" s="1" t="n">
        <v>45545</v>
      </c>
      <c r="C51" s="1" t="n">
        <v>45990</v>
      </c>
      <c r="D51" t="inlineStr">
        <is>
          <t>NORRBOTTENS LÄN</t>
        </is>
      </c>
      <c r="E51" t="inlineStr">
        <is>
          <t>LULEÅ</t>
        </is>
      </c>
      <c r="F51" t="inlineStr">
        <is>
          <t>Sveaskog</t>
        </is>
      </c>
      <c r="G51" t="n">
        <v>2.9</v>
      </c>
      <c r="H51" t="n">
        <v>1</v>
      </c>
      <c r="I51" t="n">
        <v>0</v>
      </c>
      <c r="J51" t="n">
        <v>0</v>
      </c>
      <c r="K51" t="n">
        <v>1</v>
      </c>
      <c r="L51" t="n">
        <v>0</v>
      </c>
      <c r="M51" t="n">
        <v>0</v>
      </c>
      <c r="N51" t="n">
        <v>0</v>
      </c>
      <c r="O51" t="n">
        <v>1</v>
      </c>
      <c r="P51" t="n">
        <v>1</v>
      </c>
      <c r="Q51" t="n">
        <v>1</v>
      </c>
      <c r="R51" s="2" t="inlineStr">
        <is>
          <t>Knärot</t>
        </is>
      </c>
      <c r="S51">
        <f>HYPERLINK("https://klasma.github.io/Logging_2580/artfynd/A 38333-2024 artfynd.xlsx", "A 38333-2024")</f>
        <v/>
      </c>
      <c r="T51">
        <f>HYPERLINK("https://klasma.github.io/Logging_2580/kartor/A 38333-2024 karta.png", "A 38333-2024")</f>
        <v/>
      </c>
      <c r="U51">
        <f>HYPERLINK("https://klasma.github.io/Logging_2580/knärot/A 38333-2024 karta knärot.png", "A 38333-2024")</f>
        <v/>
      </c>
      <c r="V51">
        <f>HYPERLINK("https://klasma.github.io/Logging_2580/klagomål/A 38333-2024 FSC-klagomål.docx", "A 38333-2024")</f>
        <v/>
      </c>
      <c r="W51">
        <f>HYPERLINK("https://klasma.github.io/Logging_2580/klagomålsmail/A 38333-2024 FSC-klagomål mail.docx", "A 38333-2024")</f>
        <v/>
      </c>
      <c r="X51">
        <f>HYPERLINK("https://klasma.github.io/Logging_2580/tillsyn/A 38333-2024 tillsynsbegäran.docx", "A 38333-2024")</f>
        <v/>
      </c>
      <c r="Y51">
        <f>HYPERLINK("https://klasma.github.io/Logging_2580/tillsynsmail/A 38333-2024 tillsynsbegäran mail.docx", "A 38333-2024")</f>
        <v/>
      </c>
    </row>
    <row r="52" ht="15" customHeight="1">
      <c r="A52" t="inlineStr">
        <is>
          <t>A 17428-2023</t>
        </is>
      </c>
      <c r="B52" s="1" t="n">
        <v>45035.9266087963</v>
      </c>
      <c r="C52" s="1" t="n">
        <v>45990</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739-2025</t>
        </is>
      </c>
      <c r="B53" s="1" t="n">
        <v>45664</v>
      </c>
      <c r="C53" s="1" t="n">
        <v>45990</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25528-2024</t>
        </is>
      </c>
      <c r="B54" s="1" t="n">
        <v>45463</v>
      </c>
      <c r="C54" s="1" t="n">
        <v>45990</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48323-2022</t>
        </is>
      </c>
      <c r="B55" s="1" t="n">
        <v>44854</v>
      </c>
      <c r="C55" s="1" t="n">
        <v>45990</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45990</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45990</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45990</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45990</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45990</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45990</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45990</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45990</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45990</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45990</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45990</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45990</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68701-2020</t>
        </is>
      </c>
      <c r="B68" s="1" t="n">
        <v>44186</v>
      </c>
      <c r="C68" s="1" t="n">
        <v>45990</v>
      </c>
      <c r="D68" t="inlineStr">
        <is>
          <t>NORRBOTTENS LÄN</t>
        </is>
      </c>
      <c r="E68" t="inlineStr">
        <is>
          <t>LULEÅ</t>
        </is>
      </c>
      <c r="G68" t="n">
        <v>1.6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45990</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45990</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45990</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45990</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45990</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45990</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45990</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45990</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45990</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45990</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45990</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45990</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45990</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45990</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45990</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45990</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64527-2020</t>
        </is>
      </c>
      <c r="B85" s="1" t="n">
        <v>44166</v>
      </c>
      <c r="C85" s="1" t="n">
        <v>45990</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45990</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45990</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45990</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45990</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68269-2020</t>
        </is>
      </c>
      <c r="B90" s="1" t="n">
        <v>44183</v>
      </c>
      <c r="C90" s="1" t="n">
        <v>45990</v>
      </c>
      <c r="D90" t="inlineStr">
        <is>
          <t>NORRBOTTENS LÄN</t>
        </is>
      </c>
      <c r="E90" t="inlineStr">
        <is>
          <t>LULEÅ</t>
        </is>
      </c>
      <c r="G90" t="n">
        <v>1.8</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45990</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59558-2021</t>
        </is>
      </c>
      <c r="B92" s="1" t="n">
        <v>44491.60335648148</v>
      </c>
      <c r="C92" s="1" t="n">
        <v>45990</v>
      </c>
      <c r="D92" t="inlineStr">
        <is>
          <t>NORRBOTTENS LÄN</t>
        </is>
      </c>
      <c r="E92" t="inlineStr">
        <is>
          <t>LULEÅ</t>
        </is>
      </c>
      <c r="G92" t="n">
        <v>1.4</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45990</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45990</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45990</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45990</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45990</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64678-2020</t>
        </is>
      </c>
      <c r="B98" s="1" t="n">
        <v>44166</v>
      </c>
      <c r="C98" s="1" t="n">
        <v>45990</v>
      </c>
      <c r="D98" t="inlineStr">
        <is>
          <t>NORRBOTTENS LÄN</t>
        </is>
      </c>
      <c r="E98" t="inlineStr">
        <is>
          <t>LULEÅ</t>
        </is>
      </c>
      <c r="G98" t="n">
        <v>2.9</v>
      </c>
      <c r="H98" t="n">
        <v>0</v>
      </c>
      <c r="I98" t="n">
        <v>0</v>
      </c>
      <c r="J98" t="n">
        <v>0</v>
      </c>
      <c r="K98" t="n">
        <v>0</v>
      </c>
      <c r="L98" t="n">
        <v>0</v>
      </c>
      <c r="M98" t="n">
        <v>0</v>
      </c>
      <c r="N98" t="n">
        <v>0</v>
      </c>
      <c r="O98" t="n">
        <v>0</v>
      </c>
      <c r="P98" t="n">
        <v>0</v>
      </c>
      <c r="Q98" t="n">
        <v>0</v>
      </c>
      <c r="R98" s="2" t="inlineStr"/>
    </row>
    <row r="99" ht="15" customHeight="1">
      <c r="A99" t="inlineStr">
        <is>
          <t>A 34495-2021</t>
        </is>
      </c>
      <c r="B99" s="1" t="n">
        <v>44379</v>
      </c>
      <c r="C99" s="1" t="n">
        <v>45990</v>
      </c>
      <c r="D99" t="inlineStr">
        <is>
          <t>NORRBOTTENS LÄN</t>
        </is>
      </c>
      <c r="E99" t="inlineStr">
        <is>
          <t>LULEÅ</t>
        </is>
      </c>
      <c r="G99" t="n">
        <v>2</v>
      </c>
      <c r="H99" t="n">
        <v>0</v>
      </c>
      <c r="I99" t="n">
        <v>0</v>
      </c>
      <c r="J99" t="n">
        <v>0</v>
      </c>
      <c r="K99" t="n">
        <v>0</v>
      </c>
      <c r="L99" t="n">
        <v>0</v>
      </c>
      <c r="M99" t="n">
        <v>0</v>
      </c>
      <c r="N99" t="n">
        <v>0</v>
      </c>
      <c r="O99" t="n">
        <v>0</v>
      </c>
      <c r="P99" t="n">
        <v>0</v>
      </c>
      <c r="Q99" t="n">
        <v>0</v>
      </c>
      <c r="R99" s="2" t="inlineStr"/>
    </row>
    <row r="100" ht="15" customHeight="1">
      <c r="A100" t="inlineStr">
        <is>
          <t>A 33147-2021</t>
        </is>
      </c>
      <c r="B100" s="1" t="n">
        <v>44376.67407407407</v>
      </c>
      <c r="C100" s="1" t="n">
        <v>45990</v>
      </c>
      <c r="D100" t="inlineStr">
        <is>
          <t>NORRBOTTENS LÄN</t>
        </is>
      </c>
      <c r="E100" t="inlineStr">
        <is>
          <t>LULEÅ</t>
        </is>
      </c>
      <c r="F100" t="inlineStr">
        <is>
          <t>Sveaskog</t>
        </is>
      </c>
      <c r="G100" t="n">
        <v>24.6</v>
      </c>
      <c r="H100" t="n">
        <v>0</v>
      </c>
      <c r="I100" t="n">
        <v>0</v>
      </c>
      <c r="J100" t="n">
        <v>0</v>
      </c>
      <c r="K100" t="n">
        <v>0</v>
      </c>
      <c r="L100" t="n">
        <v>0</v>
      </c>
      <c r="M100" t="n">
        <v>0</v>
      </c>
      <c r="N100" t="n">
        <v>0</v>
      </c>
      <c r="O100" t="n">
        <v>0</v>
      </c>
      <c r="P100" t="n">
        <v>0</v>
      </c>
      <c r="Q100" t="n">
        <v>0</v>
      </c>
      <c r="R100" s="2" t="inlineStr"/>
    </row>
    <row r="101" ht="15" customHeight="1">
      <c r="A101" t="inlineStr">
        <is>
          <t>A 16987-2022</t>
        </is>
      </c>
      <c r="B101" s="1" t="n">
        <v>44676.60796296296</v>
      </c>
      <c r="C101" s="1" t="n">
        <v>45990</v>
      </c>
      <c r="D101" t="inlineStr">
        <is>
          <t>NORRBOTTENS LÄN</t>
        </is>
      </c>
      <c r="E101" t="inlineStr">
        <is>
          <t>LULEÅ</t>
        </is>
      </c>
      <c r="G101" t="n">
        <v>29.9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45990</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15047-2022</t>
        </is>
      </c>
      <c r="B103" s="1" t="n">
        <v>44657</v>
      </c>
      <c r="C103" s="1" t="n">
        <v>45990</v>
      </c>
      <c r="D103" t="inlineStr">
        <is>
          <t>NORRBOTTENS LÄN</t>
        </is>
      </c>
      <c r="E103" t="inlineStr">
        <is>
          <t>LULEÅ</t>
        </is>
      </c>
      <c r="G103" t="n">
        <v>3.2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45990</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45990</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32653-2022</t>
        </is>
      </c>
      <c r="B106" s="1" t="n">
        <v>44783</v>
      </c>
      <c r="C106" s="1" t="n">
        <v>45990</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68307-2021</t>
        </is>
      </c>
      <c r="B107" s="1" t="n">
        <v>44526</v>
      </c>
      <c r="C107" s="1" t="n">
        <v>45990</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9582-2022</t>
        </is>
      </c>
      <c r="B108" s="1" t="n">
        <v>44617</v>
      </c>
      <c r="C108" s="1" t="n">
        <v>45990</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73907-2021</t>
        </is>
      </c>
      <c r="B109" s="1" t="n">
        <v>44552</v>
      </c>
      <c r="C109" s="1" t="n">
        <v>45990</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32378-2021</t>
        </is>
      </c>
      <c r="B110" s="1" t="n">
        <v>44371.61725694445</v>
      </c>
      <c r="C110" s="1" t="n">
        <v>45990</v>
      </c>
      <c r="D110" t="inlineStr">
        <is>
          <t>NORRBOTTENS LÄN</t>
        </is>
      </c>
      <c r="E110" t="inlineStr">
        <is>
          <t>LULEÅ</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45990</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9932-2022</t>
        </is>
      </c>
      <c r="B112" s="1" t="n">
        <v>44620</v>
      </c>
      <c r="C112" s="1" t="n">
        <v>45990</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44688-2022</t>
        </is>
      </c>
      <c r="B113" s="1" t="n">
        <v>44839</v>
      </c>
      <c r="C113" s="1" t="n">
        <v>45990</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45990</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45990</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45990</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45990</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45990</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45990</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45990</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45990</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44987-2022</t>
        </is>
      </c>
      <c r="B122" s="1" t="n">
        <v>44841.59989583334</v>
      </c>
      <c r="C122" s="1" t="n">
        <v>45990</v>
      </c>
      <c r="D122" t="inlineStr">
        <is>
          <t>NORRBOTTENS LÄN</t>
        </is>
      </c>
      <c r="E122" t="inlineStr">
        <is>
          <t>LULEÅ</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35766-2022</t>
        </is>
      </c>
      <c r="B123" s="1" t="n">
        <v>44800</v>
      </c>
      <c r="C123" s="1" t="n">
        <v>45990</v>
      </c>
      <c r="D123" t="inlineStr">
        <is>
          <t>NORRBOTTENS LÄN</t>
        </is>
      </c>
      <c r="E123" t="inlineStr">
        <is>
          <t>LULEÅ</t>
        </is>
      </c>
      <c r="G123" t="n">
        <v>0.7</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45990</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45990</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1144-2021</t>
        </is>
      </c>
      <c r="B126" s="1" t="n">
        <v>44207</v>
      </c>
      <c r="C126" s="1" t="n">
        <v>45990</v>
      </c>
      <c r="D126" t="inlineStr">
        <is>
          <t>NORRBOTTENS LÄN</t>
        </is>
      </c>
      <c r="E126" t="inlineStr">
        <is>
          <t>LULEÅ</t>
        </is>
      </c>
      <c r="G126" t="n">
        <v>3.2</v>
      </c>
      <c r="H126" t="n">
        <v>0</v>
      </c>
      <c r="I126" t="n">
        <v>0</v>
      </c>
      <c r="J126" t="n">
        <v>0</v>
      </c>
      <c r="K126" t="n">
        <v>0</v>
      </c>
      <c r="L126" t="n">
        <v>0</v>
      </c>
      <c r="M126" t="n">
        <v>0</v>
      </c>
      <c r="N126" t="n">
        <v>0</v>
      </c>
      <c r="O126" t="n">
        <v>0</v>
      </c>
      <c r="P126" t="n">
        <v>0</v>
      </c>
      <c r="Q126" t="n">
        <v>0</v>
      </c>
      <c r="R126" s="2" t="inlineStr"/>
    </row>
    <row r="127" ht="15" customHeight="1">
      <c r="A127" t="inlineStr">
        <is>
          <t>A 1147-2021</t>
        </is>
      </c>
      <c r="B127" s="1" t="n">
        <v>44207</v>
      </c>
      <c r="C127" s="1" t="n">
        <v>45990</v>
      </c>
      <c r="D127" t="inlineStr">
        <is>
          <t>NORRBOTTENS LÄN</t>
        </is>
      </c>
      <c r="E127" t="inlineStr">
        <is>
          <t>LULEÅ</t>
        </is>
      </c>
      <c r="G127" t="n">
        <v>6.5</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45990</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45990</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56465-2021</t>
        </is>
      </c>
      <c r="B130" s="1" t="n">
        <v>44480</v>
      </c>
      <c r="C130" s="1" t="n">
        <v>45990</v>
      </c>
      <c r="D130" t="inlineStr">
        <is>
          <t>NORRBOTTENS LÄN</t>
        </is>
      </c>
      <c r="E130" t="inlineStr">
        <is>
          <t>LULEÅ</t>
        </is>
      </c>
      <c r="G130" t="n">
        <v>6.6</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45990</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45990</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45990</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8834-2021</t>
        </is>
      </c>
      <c r="B134" s="1" t="n">
        <v>44245</v>
      </c>
      <c r="C134" s="1" t="n">
        <v>45990</v>
      </c>
      <c r="D134" t="inlineStr">
        <is>
          <t>NORRBOTTENS LÄN</t>
        </is>
      </c>
      <c r="E134" t="inlineStr">
        <is>
          <t>LULEÅ</t>
        </is>
      </c>
      <c r="G134" t="n">
        <v>7.7</v>
      </c>
      <c r="H134" t="n">
        <v>0</v>
      </c>
      <c r="I134" t="n">
        <v>0</v>
      </c>
      <c r="J134" t="n">
        <v>0</v>
      </c>
      <c r="K134" t="n">
        <v>0</v>
      </c>
      <c r="L134" t="n">
        <v>0</v>
      </c>
      <c r="M134" t="n">
        <v>0</v>
      </c>
      <c r="N134" t="n">
        <v>0</v>
      </c>
      <c r="O134" t="n">
        <v>0</v>
      </c>
      <c r="P134" t="n">
        <v>0</v>
      </c>
      <c r="Q134" t="n">
        <v>0</v>
      </c>
      <c r="R134" s="2" t="inlineStr"/>
    </row>
    <row r="135" ht="15" customHeight="1">
      <c r="A135" t="inlineStr">
        <is>
          <t>A 66925-2020</t>
        </is>
      </c>
      <c r="B135" s="1" t="n">
        <v>44176</v>
      </c>
      <c r="C135" s="1" t="n">
        <v>45990</v>
      </c>
      <c r="D135" t="inlineStr">
        <is>
          <t>NORRBOTTENS LÄN</t>
        </is>
      </c>
      <c r="E135" t="inlineStr">
        <is>
          <t>LULEÅ</t>
        </is>
      </c>
      <c r="G135" t="n">
        <v>1.8</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45990</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45990</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45990</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45990</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74441-2021</t>
        </is>
      </c>
      <c r="B140" s="1" t="n">
        <v>44558</v>
      </c>
      <c r="C140" s="1" t="n">
        <v>45990</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74445-2021</t>
        </is>
      </c>
      <c r="B141" s="1" t="n">
        <v>44558</v>
      </c>
      <c r="C141" s="1" t="n">
        <v>45990</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45990</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11848-2021</t>
        </is>
      </c>
      <c r="B143" s="1" t="n">
        <v>44264</v>
      </c>
      <c r="C143" s="1" t="n">
        <v>45990</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9282-2023</t>
        </is>
      </c>
      <c r="B144" s="1" t="n">
        <v>44977</v>
      </c>
      <c r="C144" s="1" t="n">
        <v>45990</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6718-2024</t>
        </is>
      </c>
      <c r="B145" s="1" t="n">
        <v>45342</v>
      </c>
      <c r="C145" s="1" t="n">
        <v>45990</v>
      </c>
      <c r="D145" t="inlineStr">
        <is>
          <t>NORRBOTTENS LÄN</t>
        </is>
      </c>
      <c r="E145" t="inlineStr">
        <is>
          <t>LULEÅ</t>
        </is>
      </c>
      <c r="G145" t="n">
        <v>1</v>
      </c>
      <c r="H145" t="n">
        <v>0</v>
      </c>
      <c r="I145" t="n">
        <v>0</v>
      </c>
      <c r="J145" t="n">
        <v>0</v>
      </c>
      <c r="K145" t="n">
        <v>0</v>
      </c>
      <c r="L145" t="n">
        <v>0</v>
      </c>
      <c r="M145" t="n">
        <v>0</v>
      </c>
      <c r="N145" t="n">
        <v>0</v>
      </c>
      <c r="O145" t="n">
        <v>0</v>
      </c>
      <c r="P145" t="n">
        <v>0</v>
      </c>
      <c r="Q145" t="n">
        <v>0</v>
      </c>
      <c r="R145" s="2" t="inlineStr"/>
    </row>
    <row r="146" ht="15" customHeight="1">
      <c r="A146" t="inlineStr">
        <is>
          <t>A 26582-2024</t>
        </is>
      </c>
      <c r="B146" s="1" t="n">
        <v>45469.66545138889</v>
      </c>
      <c r="C146" s="1" t="n">
        <v>45990</v>
      </c>
      <c r="D146" t="inlineStr">
        <is>
          <t>NORRBOTTENS LÄN</t>
        </is>
      </c>
      <c r="E146" t="inlineStr">
        <is>
          <t>LULEÅ</t>
        </is>
      </c>
      <c r="G146" t="n">
        <v>4.8</v>
      </c>
      <c r="H146" t="n">
        <v>0</v>
      </c>
      <c r="I146" t="n">
        <v>0</v>
      </c>
      <c r="J146" t="n">
        <v>0</v>
      </c>
      <c r="K146" t="n">
        <v>0</v>
      </c>
      <c r="L146" t="n">
        <v>0</v>
      </c>
      <c r="M146" t="n">
        <v>0</v>
      </c>
      <c r="N146" t="n">
        <v>0</v>
      </c>
      <c r="O146" t="n">
        <v>0</v>
      </c>
      <c r="P146" t="n">
        <v>0</v>
      </c>
      <c r="Q146" t="n">
        <v>0</v>
      </c>
      <c r="R146" s="2" t="inlineStr"/>
    </row>
    <row r="147" ht="15" customHeight="1">
      <c r="A147" t="inlineStr">
        <is>
          <t>A 10815-2024</t>
        </is>
      </c>
      <c r="B147" s="1" t="n">
        <v>45369</v>
      </c>
      <c r="C147" s="1" t="n">
        <v>45990</v>
      </c>
      <c r="D147" t="inlineStr">
        <is>
          <t>NORRBOTTENS LÄN</t>
        </is>
      </c>
      <c r="E147" t="inlineStr">
        <is>
          <t>LULEÅ</t>
        </is>
      </c>
      <c r="G147" t="n">
        <v>2.5</v>
      </c>
      <c r="H147" t="n">
        <v>0</v>
      </c>
      <c r="I147" t="n">
        <v>0</v>
      </c>
      <c r="J147" t="n">
        <v>0</v>
      </c>
      <c r="K147" t="n">
        <v>0</v>
      </c>
      <c r="L147" t="n">
        <v>0</v>
      </c>
      <c r="M147" t="n">
        <v>0</v>
      </c>
      <c r="N147" t="n">
        <v>0</v>
      </c>
      <c r="O147" t="n">
        <v>0</v>
      </c>
      <c r="P147" t="n">
        <v>0</v>
      </c>
      <c r="Q147" t="n">
        <v>0</v>
      </c>
      <c r="R147" s="2" t="inlineStr"/>
    </row>
    <row r="148" ht="15" customHeight="1">
      <c r="A148" t="inlineStr">
        <is>
          <t>A 22007-2024</t>
        </is>
      </c>
      <c r="B148" s="1" t="n">
        <v>45443</v>
      </c>
      <c r="C148" s="1" t="n">
        <v>45990</v>
      </c>
      <c r="D148" t="inlineStr">
        <is>
          <t>NORRBOTTENS LÄN</t>
        </is>
      </c>
      <c r="E148" t="inlineStr">
        <is>
          <t>LULEÅ</t>
        </is>
      </c>
      <c r="G148" t="n">
        <v>1.4</v>
      </c>
      <c r="H148" t="n">
        <v>0</v>
      </c>
      <c r="I148" t="n">
        <v>0</v>
      </c>
      <c r="J148" t="n">
        <v>0</v>
      </c>
      <c r="K148" t="n">
        <v>0</v>
      </c>
      <c r="L148" t="n">
        <v>0</v>
      </c>
      <c r="M148" t="n">
        <v>0</v>
      </c>
      <c r="N148" t="n">
        <v>0</v>
      </c>
      <c r="O148" t="n">
        <v>0</v>
      </c>
      <c r="P148" t="n">
        <v>0</v>
      </c>
      <c r="Q148" t="n">
        <v>0</v>
      </c>
      <c r="R148" s="2" t="inlineStr"/>
    </row>
    <row r="149" ht="15" customHeight="1">
      <c r="A149" t="inlineStr">
        <is>
          <t>A 3128-2023</t>
        </is>
      </c>
      <c r="B149" s="1" t="n">
        <v>44946</v>
      </c>
      <c r="C149" s="1" t="n">
        <v>45990</v>
      </c>
      <c r="D149" t="inlineStr">
        <is>
          <t>NORRBOTTENS LÄN</t>
        </is>
      </c>
      <c r="E149" t="inlineStr">
        <is>
          <t>LULEÅ</t>
        </is>
      </c>
      <c r="G149" t="n">
        <v>5</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45990</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45990</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45990</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45990</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57821-2022</t>
        </is>
      </c>
      <c r="B154" s="1" t="n">
        <v>44897</v>
      </c>
      <c r="C154" s="1" t="n">
        <v>45990</v>
      </c>
      <c r="D154" t="inlineStr">
        <is>
          <t>NORRBOTTENS LÄN</t>
        </is>
      </c>
      <c r="E154" t="inlineStr">
        <is>
          <t>LULEÅ</t>
        </is>
      </c>
      <c r="G154" t="n">
        <v>8.6</v>
      </c>
      <c r="H154" t="n">
        <v>0</v>
      </c>
      <c r="I154" t="n">
        <v>0</v>
      </c>
      <c r="J154" t="n">
        <v>0</v>
      </c>
      <c r="K154" t="n">
        <v>0</v>
      </c>
      <c r="L154" t="n">
        <v>0</v>
      </c>
      <c r="M154" t="n">
        <v>0</v>
      </c>
      <c r="N154" t="n">
        <v>0</v>
      </c>
      <c r="O154" t="n">
        <v>0</v>
      </c>
      <c r="P154" t="n">
        <v>0</v>
      </c>
      <c r="Q154" t="n">
        <v>0</v>
      </c>
      <c r="R154" s="2" t="inlineStr"/>
    </row>
    <row r="155" ht="15" customHeight="1">
      <c r="A155" t="inlineStr">
        <is>
          <t>A 42422-2024</t>
        </is>
      </c>
      <c r="B155" s="1" t="n">
        <v>45565.38912037037</v>
      </c>
      <c r="C155" s="1" t="n">
        <v>45990</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42426-2024</t>
        </is>
      </c>
      <c r="B156" s="1" t="n">
        <v>45565.39958333333</v>
      </c>
      <c r="C156" s="1" t="n">
        <v>45990</v>
      </c>
      <c r="D156" t="inlineStr">
        <is>
          <t>NORRBOTTENS LÄN</t>
        </is>
      </c>
      <c r="E156" t="inlineStr">
        <is>
          <t>LULEÅ</t>
        </is>
      </c>
      <c r="G156" t="n">
        <v>0.5</v>
      </c>
      <c r="H156" t="n">
        <v>0</v>
      </c>
      <c r="I156" t="n">
        <v>0</v>
      </c>
      <c r="J156" t="n">
        <v>0</v>
      </c>
      <c r="K156" t="n">
        <v>0</v>
      </c>
      <c r="L156" t="n">
        <v>0</v>
      </c>
      <c r="M156" t="n">
        <v>0</v>
      </c>
      <c r="N156" t="n">
        <v>0</v>
      </c>
      <c r="O156" t="n">
        <v>0</v>
      </c>
      <c r="P156" t="n">
        <v>0</v>
      </c>
      <c r="Q156" t="n">
        <v>0</v>
      </c>
      <c r="R156" s="2" t="inlineStr"/>
    </row>
    <row r="157" ht="15" customHeight="1">
      <c r="A157" t="inlineStr">
        <is>
          <t>A 10608-2025</t>
        </is>
      </c>
      <c r="B157" s="1" t="n">
        <v>45721</v>
      </c>
      <c r="C157" s="1" t="n">
        <v>45990</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11716-2023</t>
        </is>
      </c>
      <c r="B158" s="1" t="n">
        <v>44992</v>
      </c>
      <c r="C158" s="1" t="n">
        <v>45990</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16296-2025</t>
        </is>
      </c>
      <c r="B159" s="1" t="n">
        <v>45751.34513888889</v>
      </c>
      <c r="C159" s="1" t="n">
        <v>45990</v>
      </c>
      <c r="D159" t="inlineStr">
        <is>
          <t>NORRBOTTENS LÄN</t>
        </is>
      </c>
      <c r="E159" t="inlineStr">
        <is>
          <t>LULEÅ</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61504-2024</t>
        </is>
      </c>
      <c r="B160" s="1" t="n">
        <v>45646.56238425926</v>
      </c>
      <c r="C160" s="1" t="n">
        <v>45990</v>
      </c>
      <c r="D160" t="inlineStr">
        <is>
          <t>NORRBOTTENS LÄN</t>
        </is>
      </c>
      <c r="E160" t="inlineStr">
        <is>
          <t>LULEÅ</t>
        </is>
      </c>
      <c r="G160" t="n">
        <v>3.1</v>
      </c>
      <c r="H160" t="n">
        <v>0</v>
      </c>
      <c r="I160" t="n">
        <v>0</v>
      </c>
      <c r="J160" t="n">
        <v>0</v>
      </c>
      <c r="K160" t="n">
        <v>0</v>
      </c>
      <c r="L160" t="n">
        <v>0</v>
      </c>
      <c r="M160" t="n">
        <v>0</v>
      </c>
      <c r="N160" t="n">
        <v>0</v>
      </c>
      <c r="O160" t="n">
        <v>0</v>
      </c>
      <c r="P160" t="n">
        <v>0</v>
      </c>
      <c r="Q160" t="n">
        <v>0</v>
      </c>
      <c r="R160" s="2" t="inlineStr"/>
    </row>
    <row r="161" ht="15" customHeight="1">
      <c r="A161" t="inlineStr">
        <is>
          <t>A 61510-2024</t>
        </is>
      </c>
      <c r="B161" s="1" t="n">
        <v>45646.56674768519</v>
      </c>
      <c r="C161" s="1" t="n">
        <v>45990</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46374-2024</t>
        </is>
      </c>
      <c r="B162" s="1" t="n">
        <v>45582</v>
      </c>
      <c r="C162" s="1" t="n">
        <v>45990</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29237-2024</t>
        </is>
      </c>
      <c r="B163" s="1" t="n">
        <v>45482.92732638889</v>
      </c>
      <c r="C163" s="1" t="n">
        <v>45990</v>
      </c>
      <c r="D163" t="inlineStr">
        <is>
          <t>NORRBOTTENS LÄN</t>
        </is>
      </c>
      <c r="E163" t="inlineStr">
        <is>
          <t>LULEÅ</t>
        </is>
      </c>
      <c r="G163" t="n">
        <v>10.3</v>
      </c>
      <c r="H163" t="n">
        <v>0</v>
      </c>
      <c r="I163" t="n">
        <v>0</v>
      </c>
      <c r="J163" t="n">
        <v>0</v>
      </c>
      <c r="K163" t="n">
        <v>0</v>
      </c>
      <c r="L163" t="n">
        <v>0</v>
      </c>
      <c r="M163" t="n">
        <v>0</v>
      </c>
      <c r="N163" t="n">
        <v>0</v>
      </c>
      <c r="O163" t="n">
        <v>0</v>
      </c>
      <c r="P163" t="n">
        <v>0</v>
      </c>
      <c r="Q163" t="n">
        <v>0</v>
      </c>
      <c r="R163" s="2" t="inlineStr"/>
    </row>
    <row r="164" ht="15" customHeight="1">
      <c r="A164" t="inlineStr">
        <is>
          <t>A 34910-2023</t>
        </is>
      </c>
      <c r="B164" s="1" t="n">
        <v>45142.4560300926</v>
      </c>
      <c r="C164" s="1" t="n">
        <v>45990</v>
      </c>
      <c r="D164" t="inlineStr">
        <is>
          <t>NORRBOTTENS LÄN</t>
        </is>
      </c>
      <c r="E164" t="inlineStr">
        <is>
          <t>LULEÅ</t>
        </is>
      </c>
      <c r="G164" t="n">
        <v>18.9</v>
      </c>
      <c r="H164" t="n">
        <v>0</v>
      </c>
      <c r="I164" t="n">
        <v>0</v>
      </c>
      <c r="J164" t="n">
        <v>0</v>
      </c>
      <c r="K164" t="n">
        <v>0</v>
      </c>
      <c r="L164" t="n">
        <v>0</v>
      </c>
      <c r="M164" t="n">
        <v>0</v>
      </c>
      <c r="N164" t="n">
        <v>0</v>
      </c>
      <c r="O164" t="n">
        <v>0</v>
      </c>
      <c r="P164" t="n">
        <v>0</v>
      </c>
      <c r="Q164" t="n">
        <v>0</v>
      </c>
      <c r="R164" s="2" t="inlineStr"/>
    </row>
    <row r="165" ht="15" customHeight="1">
      <c r="A165" t="inlineStr">
        <is>
          <t>A 63801-2023</t>
        </is>
      </c>
      <c r="B165" s="1" t="n">
        <v>45278.42126157408</v>
      </c>
      <c r="C165" s="1" t="n">
        <v>45990</v>
      </c>
      <c r="D165" t="inlineStr">
        <is>
          <t>NORRBOTTENS LÄN</t>
        </is>
      </c>
      <c r="E165" t="inlineStr">
        <is>
          <t>LULEÅ</t>
        </is>
      </c>
      <c r="G165" t="n">
        <v>1.2</v>
      </c>
      <c r="H165" t="n">
        <v>0</v>
      </c>
      <c r="I165" t="n">
        <v>0</v>
      </c>
      <c r="J165" t="n">
        <v>0</v>
      </c>
      <c r="K165" t="n">
        <v>0</v>
      </c>
      <c r="L165" t="n">
        <v>0</v>
      </c>
      <c r="M165" t="n">
        <v>0</v>
      </c>
      <c r="N165" t="n">
        <v>0</v>
      </c>
      <c r="O165" t="n">
        <v>0</v>
      </c>
      <c r="P165" t="n">
        <v>0</v>
      </c>
      <c r="Q165" t="n">
        <v>0</v>
      </c>
      <c r="R165" s="2" t="inlineStr"/>
    </row>
    <row r="166" ht="15" customHeight="1">
      <c r="A166" t="inlineStr">
        <is>
          <t>A 11178-2023</t>
        </is>
      </c>
      <c r="B166" s="1" t="n">
        <v>44987</v>
      </c>
      <c r="C166" s="1" t="n">
        <v>45990</v>
      </c>
      <c r="D166" t="inlineStr">
        <is>
          <t>NORRBOTTENS LÄN</t>
        </is>
      </c>
      <c r="E166" t="inlineStr">
        <is>
          <t>LULEÅ</t>
        </is>
      </c>
      <c r="G166" t="n">
        <v>4.7</v>
      </c>
      <c r="H166" t="n">
        <v>0</v>
      </c>
      <c r="I166" t="n">
        <v>0</v>
      </c>
      <c r="J166" t="n">
        <v>0</v>
      </c>
      <c r="K166" t="n">
        <v>0</v>
      </c>
      <c r="L166" t="n">
        <v>0</v>
      </c>
      <c r="M166" t="n">
        <v>0</v>
      </c>
      <c r="N166" t="n">
        <v>0</v>
      </c>
      <c r="O166" t="n">
        <v>0</v>
      </c>
      <c r="P166" t="n">
        <v>0</v>
      </c>
      <c r="Q166" t="n">
        <v>0</v>
      </c>
      <c r="R166" s="2" t="inlineStr"/>
    </row>
    <row r="167" ht="15" customHeight="1">
      <c r="A167" t="inlineStr">
        <is>
          <t>A 13846-2024</t>
        </is>
      </c>
      <c r="B167" s="1" t="n">
        <v>45390</v>
      </c>
      <c r="C167" s="1" t="n">
        <v>45990</v>
      </c>
      <c r="D167" t="inlineStr">
        <is>
          <t>NORRBOTTENS LÄN</t>
        </is>
      </c>
      <c r="E167" t="inlineStr">
        <is>
          <t>LULEÅ</t>
        </is>
      </c>
      <c r="G167" t="n">
        <v>16.4</v>
      </c>
      <c r="H167" t="n">
        <v>0</v>
      </c>
      <c r="I167" t="n">
        <v>0</v>
      </c>
      <c r="J167" t="n">
        <v>0</v>
      </c>
      <c r="K167" t="n">
        <v>0</v>
      </c>
      <c r="L167" t="n">
        <v>0</v>
      </c>
      <c r="M167" t="n">
        <v>0</v>
      </c>
      <c r="N167" t="n">
        <v>0</v>
      </c>
      <c r="O167" t="n">
        <v>0</v>
      </c>
      <c r="P167" t="n">
        <v>0</v>
      </c>
      <c r="Q167" t="n">
        <v>0</v>
      </c>
      <c r="R167" s="2" t="inlineStr"/>
    </row>
    <row r="168" ht="15" customHeight="1">
      <c r="A168" t="inlineStr">
        <is>
          <t>A 54739-2024</t>
        </is>
      </c>
      <c r="B168" s="1" t="n">
        <v>45618.44335648148</v>
      </c>
      <c r="C168" s="1" t="n">
        <v>45990</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45701.49048611111</v>
      </c>
      <c r="C169" s="1" t="n">
        <v>45990</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45573.59376157408</v>
      </c>
      <c r="C170" s="1" t="n">
        <v>45990</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4768-2024</t>
        </is>
      </c>
      <c r="B171" s="1" t="n">
        <v>45328</v>
      </c>
      <c r="C171" s="1" t="n">
        <v>45990</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25340-2024</t>
        </is>
      </c>
      <c r="B172" s="1" t="n">
        <v>45462</v>
      </c>
      <c r="C172" s="1" t="n">
        <v>45990</v>
      </c>
      <c r="D172" t="inlineStr">
        <is>
          <t>NORRBOTTENS LÄN</t>
        </is>
      </c>
      <c r="E172" t="inlineStr">
        <is>
          <t>LULEÅ</t>
        </is>
      </c>
      <c r="G172" t="n">
        <v>3.6</v>
      </c>
      <c r="H172" t="n">
        <v>0</v>
      </c>
      <c r="I172" t="n">
        <v>0</v>
      </c>
      <c r="J172" t="n">
        <v>0</v>
      </c>
      <c r="K172" t="n">
        <v>0</v>
      </c>
      <c r="L172" t="n">
        <v>0</v>
      </c>
      <c r="M172" t="n">
        <v>0</v>
      </c>
      <c r="N172" t="n">
        <v>0</v>
      </c>
      <c r="O172" t="n">
        <v>0</v>
      </c>
      <c r="P172" t="n">
        <v>0</v>
      </c>
      <c r="Q172" t="n">
        <v>0</v>
      </c>
      <c r="R172" s="2" t="inlineStr"/>
    </row>
    <row r="173" ht="15" customHeight="1">
      <c r="A173" t="inlineStr">
        <is>
          <t>A 17421-2023</t>
        </is>
      </c>
      <c r="B173" s="1" t="n">
        <v>45035.92607638889</v>
      </c>
      <c r="C173" s="1" t="n">
        <v>45990</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30787-2024</t>
        </is>
      </c>
      <c r="B174" s="1" t="n">
        <v>45496.95108796296</v>
      </c>
      <c r="C174" s="1" t="n">
        <v>45990</v>
      </c>
      <c r="D174" t="inlineStr">
        <is>
          <t>NORRBOTTENS LÄN</t>
        </is>
      </c>
      <c r="E174" t="inlineStr">
        <is>
          <t>LULEÅ</t>
        </is>
      </c>
      <c r="F174" t="inlineStr">
        <is>
          <t>Naturvårdsverket</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14187-2025</t>
        </is>
      </c>
      <c r="B175" s="1" t="n">
        <v>45740.54577546296</v>
      </c>
      <c r="C175" s="1" t="n">
        <v>45990</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49742-2022</t>
        </is>
      </c>
      <c r="B176" s="1" t="n">
        <v>44859</v>
      </c>
      <c r="C176" s="1" t="n">
        <v>45990</v>
      </c>
      <c r="D176" t="inlineStr">
        <is>
          <t>NORRBOTTENS LÄN</t>
        </is>
      </c>
      <c r="E176" t="inlineStr">
        <is>
          <t>LULEÅ</t>
        </is>
      </c>
      <c r="G176" t="n">
        <v>2.3</v>
      </c>
      <c r="H176" t="n">
        <v>0</v>
      </c>
      <c r="I176" t="n">
        <v>0</v>
      </c>
      <c r="J176" t="n">
        <v>0</v>
      </c>
      <c r="K176" t="n">
        <v>0</v>
      </c>
      <c r="L176" t="n">
        <v>0</v>
      </c>
      <c r="M176" t="n">
        <v>0</v>
      </c>
      <c r="N176" t="n">
        <v>0</v>
      </c>
      <c r="O176" t="n">
        <v>0</v>
      </c>
      <c r="P176" t="n">
        <v>0</v>
      </c>
      <c r="Q176" t="n">
        <v>0</v>
      </c>
      <c r="R176" s="2" t="inlineStr"/>
    </row>
    <row r="177" ht="15" customHeight="1">
      <c r="A177" t="inlineStr">
        <is>
          <t>A 48409-2023</t>
        </is>
      </c>
      <c r="B177" s="1" t="n">
        <v>45205</v>
      </c>
      <c r="C177" s="1" t="n">
        <v>45990</v>
      </c>
      <c r="D177" t="inlineStr">
        <is>
          <t>NORRBOTTENS LÄN</t>
        </is>
      </c>
      <c r="E177" t="inlineStr">
        <is>
          <t>LULEÅ</t>
        </is>
      </c>
      <c r="G177" t="n">
        <v>7.9</v>
      </c>
      <c r="H177" t="n">
        <v>0</v>
      </c>
      <c r="I177" t="n">
        <v>0</v>
      </c>
      <c r="J177" t="n">
        <v>0</v>
      </c>
      <c r="K177" t="n">
        <v>0</v>
      </c>
      <c r="L177" t="n">
        <v>0</v>
      </c>
      <c r="M177" t="n">
        <v>0</v>
      </c>
      <c r="N177" t="n">
        <v>0</v>
      </c>
      <c r="O177" t="n">
        <v>0</v>
      </c>
      <c r="P177" t="n">
        <v>0</v>
      </c>
      <c r="Q177" t="n">
        <v>0</v>
      </c>
      <c r="R177" s="2" t="inlineStr"/>
    </row>
    <row r="178" ht="15" customHeight="1">
      <c r="A178" t="inlineStr">
        <is>
          <t>A 48410-2023</t>
        </is>
      </c>
      <c r="B178" s="1" t="n">
        <v>45205</v>
      </c>
      <c r="C178" s="1" t="n">
        <v>45990</v>
      </c>
      <c r="D178" t="inlineStr">
        <is>
          <t>NORRBOTTENS LÄN</t>
        </is>
      </c>
      <c r="E178" t="inlineStr">
        <is>
          <t>LULEÅ</t>
        </is>
      </c>
      <c r="G178" t="n">
        <v>6.7</v>
      </c>
      <c r="H178" t="n">
        <v>0</v>
      </c>
      <c r="I178" t="n">
        <v>0</v>
      </c>
      <c r="J178" t="n">
        <v>0</v>
      </c>
      <c r="K178" t="n">
        <v>0</v>
      </c>
      <c r="L178" t="n">
        <v>0</v>
      </c>
      <c r="M178" t="n">
        <v>0</v>
      </c>
      <c r="N178" t="n">
        <v>0</v>
      </c>
      <c r="O178" t="n">
        <v>0</v>
      </c>
      <c r="P178" t="n">
        <v>0</v>
      </c>
      <c r="Q178" t="n">
        <v>0</v>
      </c>
      <c r="R178" s="2" t="inlineStr"/>
    </row>
    <row r="179" ht="15" customHeight="1">
      <c r="A179" t="inlineStr">
        <is>
          <t>A 736-2025</t>
        </is>
      </c>
      <c r="B179" s="1" t="n">
        <v>45664</v>
      </c>
      <c r="C179" s="1" t="n">
        <v>45990</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19238-2025</t>
        </is>
      </c>
      <c r="B180" s="1" t="n">
        <v>45769.47217592593</v>
      </c>
      <c r="C180" s="1" t="n">
        <v>45990</v>
      </c>
      <c r="D180" t="inlineStr">
        <is>
          <t>NORRBOTTENS LÄN</t>
        </is>
      </c>
      <c r="E180" t="inlineStr">
        <is>
          <t>LULEÅ</t>
        </is>
      </c>
      <c r="G180" t="n">
        <v>4.9</v>
      </c>
      <c r="H180" t="n">
        <v>0</v>
      </c>
      <c r="I180" t="n">
        <v>0</v>
      </c>
      <c r="J180" t="n">
        <v>0</v>
      </c>
      <c r="K180" t="n">
        <v>0</v>
      </c>
      <c r="L180" t="n">
        <v>0</v>
      </c>
      <c r="M180" t="n">
        <v>0</v>
      </c>
      <c r="N180" t="n">
        <v>0</v>
      </c>
      <c r="O180" t="n">
        <v>0</v>
      </c>
      <c r="P180" t="n">
        <v>0</v>
      </c>
      <c r="Q180" t="n">
        <v>0</v>
      </c>
      <c r="R180" s="2" t="inlineStr"/>
    </row>
    <row r="181" ht="15" customHeight="1">
      <c r="A181" t="inlineStr">
        <is>
          <t>A 14216-2025</t>
        </is>
      </c>
      <c r="B181" s="1" t="n">
        <v>45740.58505787037</v>
      </c>
      <c r="C181" s="1" t="n">
        <v>45990</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25798-2024</t>
        </is>
      </c>
      <c r="B182" s="1" t="n">
        <v>45463</v>
      </c>
      <c r="C182" s="1" t="n">
        <v>45990</v>
      </c>
      <c r="D182" t="inlineStr">
        <is>
          <t>NORRBOTTENS LÄN</t>
        </is>
      </c>
      <c r="E182" t="inlineStr">
        <is>
          <t>LULEÅ</t>
        </is>
      </c>
      <c r="G182" t="n">
        <v>4.9</v>
      </c>
      <c r="H182" t="n">
        <v>0</v>
      </c>
      <c r="I182" t="n">
        <v>0</v>
      </c>
      <c r="J182" t="n">
        <v>0</v>
      </c>
      <c r="K182" t="n">
        <v>0</v>
      </c>
      <c r="L182" t="n">
        <v>0</v>
      </c>
      <c r="M182" t="n">
        <v>0</v>
      </c>
      <c r="N182" t="n">
        <v>0</v>
      </c>
      <c r="O182" t="n">
        <v>0</v>
      </c>
      <c r="P182" t="n">
        <v>0</v>
      </c>
      <c r="Q182" t="n">
        <v>0</v>
      </c>
      <c r="R182" s="2" t="inlineStr"/>
    </row>
    <row r="183" ht="15" customHeight="1">
      <c r="A183" t="inlineStr">
        <is>
          <t>A 804-2025</t>
        </is>
      </c>
      <c r="B183" s="1" t="n">
        <v>45664</v>
      </c>
      <c r="C183" s="1" t="n">
        <v>45990</v>
      </c>
      <c r="D183" t="inlineStr">
        <is>
          <t>NORRBOTTENS LÄN</t>
        </is>
      </c>
      <c r="E183" t="inlineStr">
        <is>
          <t>LULEÅ</t>
        </is>
      </c>
      <c r="G183" t="n">
        <v>2.1</v>
      </c>
      <c r="H183" t="n">
        <v>0</v>
      </c>
      <c r="I183" t="n">
        <v>0</v>
      </c>
      <c r="J183" t="n">
        <v>0</v>
      </c>
      <c r="K183" t="n">
        <v>0</v>
      </c>
      <c r="L183" t="n">
        <v>0</v>
      </c>
      <c r="M183" t="n">
        <v>0</v>
      </c>
      <c r="N183" t="n">
        <v>0</v>
      </c>
      <c r="O183" t="n">
        <v>0</v>
      </c>
      <c r="P183" t="n">
        <v>0</v>
      </c>
      <c r="Q183" t="n">
        <v>0</v>
      </c>
      <c r="R183" s="2" t="inlineStr"/>
    </row>
    <row r="184" ht="15" customHeight="1">
      <c r="A184" t="inlineStr">
        <is>
          <t>A 814-2025</t>
        </is>
      </c>
      <c r="B184" s="1" t="n">
        <v>45664</v>
      </c>
      <c r="C184" s="1" t="n">
        <v>45990</v>
      </c>
      <c r="D184" t="inlineStr">
        <is>
          <t>NORRBOTTENS LÄN</t>
        </is>
      </c>
      <c r="E184" t="inlineStr">
        <is>
          <t>LULEÅ</t>
        </is>
      </c>
      <c r="G184" t="n">
        <v>3.4</v>
      </c>
      <c r="H184" t="n">
        <v>0</v>
      </c>
      <c r="I184" t="n">
        <v>0</v>
      </c>
      <c r="J184" t="n">
        <v>0</v>
      </c>
      <c r="K184" t="n">
        <v>0</v>
      </c>
      <c r="L184" t="n">
        <v>0</v>
      </c>
      <c r="M184" t="n">
        <v>0</v>
      </c>
      <c r="N184" t="n">
        <v>0</v>
      </c>
      <c r="O184" t="n">
        <v>0</v>
      </c>
      <c r="P184" t="n">
        <v>0</v>
      </c>
      <c r="Q184" t="n">
        <v>0</v>
      </c>
      <c r="R184" s="2" t="inlineStr"/>
    </row>
    <row r="185" ht="15" customHeight="1">
      <c r="A185" t="inlineStr">
        <is>
          <t>A 44680-2021</t>
        </is>
      </c>
      <c r="B185" s="1" t="n">
        <v>44435</v>
      </c>
      <c r="C185" s="1" t="n">
        <v>45990</v>
      </c>
      <c r="D185" t="inlineStr">
        <is>
          <t>NORRBOTTENS LÄN</t>
        </is>
      </c>
      <c r="E185" t="inlineStr">
        <is>
          <t>LULEÅ</t>
        </is>
      </c>
      <c r="G185" t="n">
        <v>6.1</v>
      </c>
      <c r="H185" t="n">
        <v>0</v>
      </c>
      <c r="I185" t="n">
        <v>0</v>
      </c>
      <c r="J185" t="n">
        <v>0</v>
      </c>
      <c r="K185" t="n">
        <v>0</v>
      </c>
      <c r="L185" t="n">
        <v>0</v>
      </c>
      <c r="M185" t="n">
        <v>0</v>
      </c>
      <c r="N185" t="n">
        <v>0</v>
      </c>
      <c r="O185" t="n">
        <v>0</v>
      </c>
      <c r="P185" t="n">
        <v>0</v>
      </c>
      <c r="Q185" t="n">
        <v>0</v>
      </c>
      <c r="R185" s="2" t="inlineStr"/>
    </row>
    <row r="186" ht="15" customHeight="1">
      <c r="A186" t="inlineStr">
        <is>
          <t>A 48379-2022</t>
        </is>
      </c>
      <c r="B186" s="1" t="n">
        <v>44854</v>
      </c>
      <c r="C186" s="1" t="n">
        <v>45990</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42854-2024</t>
        </is>
      </c>
      <c r="B187" s="1" t="n">
        <v>45566.64958333333</v>
      </c>
      <c r="C187" s="1" t="n">
        <v>45990</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40697-2024</t>
        </is>
      </c>
      <c r="B188" s="1" t="n">
        <v>45558.41288194444</v>
      </c>
      <c r="C188" s="1" t="n">
        <v>45990</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4919-2025</t>
        </is>
      </c>
      <c r="B189" s="1" t="n">
        <v>45688.68407407407</v>
      </c>
      <c r="C189" s="1" t="n">
        <v>45990</v>
      </c>
      <c r="D189" t="inlineStr">
        <is>
          <t>NORRBOTTENS LÄN</t>
        </is>
      </c>
      <c r="E189" t="inlineStr">
        <is>
          <t>LULEÅ</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63828-2020</t>
        </is>
      </c>
      <c r="B190" s="1" t="n">
        <v>44165</v>
      </c>
      <c r="C190" s="1" t="n">
        <v>45990</v>
      </c>
      <c r="D190" t="inlineStr">
        <is>
          <t>NORRBOTTENS LÄN</t>
        </is>
      </c>
      <c r="E190" t="inlineStr">
        <is>
          <t>LULEÅ</t>
        </is>
      </c>
      <c r="G190" t="n">
        <v>5.3</v>
      </c>
      <c r="H190" t="n">
        <v>0</v>
      </c>
      <c r="I190" t="n">
        <v>0</v>
      </c>
      <c r="J190" t="n">
        <v>0</v>
      </c>
      <c r="K190" t="n">
        <v>0</v>
      </c>
      <c r="L190" t="n">
        <v>0</v>
      </c>
      <c r="M190" t="n">
        <v>0</v>
      </c>
      <c r="N190" t="n">
        <v>0</v>
      </c>
      <c r="O190" t="n">
        <v>0</v>
      </c>
      <c r="P190" t="n">
        <v>0</v>
      </c>
      <c r="Q190" t="n">
        <v>0</v>
      </c>
      <c r="R190" s="2" t="inlineStr"/>
    </row>
    <row r="191" ht="15" customHeight="1">
      <c r="A191" t="inlineStr">
        <is>
          <t>A 49401-2022</t>
        </is>
      </c>
      <c r="B191" s="1" t="n">
        <v>44861</v>
      </c>
      <c r="C191" s="1" t="n">
        <v>45990</v>
      </c>
      <c r="D191" t="inlineStr">
        <is>
          <t>NORRBOTTENS LÄN</t>
        </is>
      </c>
      <c r="E191" t="inlineStr">
        <is>
          <t>LULEÅ</t>
        </is>
      </c>
      <c r="G191" t="n">
        <v>8.4</v>
      </c>
      <c r="H191" t="n">
        <v>0</v>
      </c>
      <c r="I191" t="n">
        <v>0</v>
      </c>
      <c r="J191" t="n">
        <v>0</v>
      </c>
      <c r="K191" t="n">
        <v>0</v>
      </c>
      <c r="L191" t="n">
        <v>0</v>
      </c>
      <c r="M191" t="n">
        <v>0</v>
      </c>
      <c r="N191" t="n">
        <v>0</v>
      </c>
      <c r="O191" t="n">
        <v>0</v>
      </c>
      <c r="P191" t="n">
        <v>0</v>
      </c>
      <c r="Q191" t="n">
        <v>0</v>
      </c>
      <c r="R191" s="2" t="inlineStr"/>
    </row>
    <row r="192" ht="15" customHeight="1">
      <c r="A192" t="inlineStr">
        <is>
          <t>A 6731-2025</t>
        </is>
      </c>
      <c r="B192" s="1" t="n">
        <v>45700.59357638889</v>
      </c>
      <c r="C192" s="1" t="n">
        <v>45990</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49727-2022</t>
        </is>
      </c>
      <c r="B193" s="1" t="n">
        <v>44859</v>
      </c>
      <c r="C193" s="1" t="n">
        <v>45990</v>
      </c>
      <c r="D193" t="inlineStr">
        <is>
          <t>NORRBOTTENS LÄN</t>
        </is>
      </c>
      <c r="E193" t="inlineStr">
        <is>
          <t>LULEÅ</t>
        </is>
      </c>
      <c r="G193" t="n">
        <v>3.5</v>
      </c>
      <c r="H193" t="n">
        <v>0</v>
      </c>
      <c r="I193" t="n">
        <v>0</v>
      </c>
      <c r="J193" t="n">
        <v>0</v>
      </c>
      <c r="K193" t="n">
        <v>0</v>
      </c>
      <c r="L193" t="n">
        <v>0</v>
      </c>
      <c r="M193" t="n">
        <v>0</v>
      </c>
      <c r="N193" t="n">
        <v>0</v>
      </c>
      <c r="O193" t="n">
        <v>0</v>
      </c>
      <c r="P193" t="n">
        <v>0</v>
      </c>
      <c r="Q193" t="n">
        <v>0</v>
      </c>
      <c r="R193" s="2" t="inlineStr"/>
    </row>
    <row r="194" ht="15" customHeight="1">
      <c r="A194" t="inlineStr">
        <is>
          <t>A 38712-2025</t>
        </is>
      </c>
      <c r="B194" s="1" t="n">
        <v>45886.34465277778</v>
      </c>
      <c r="C194" s="1" t="n">
        <v>45990</v>
      </c>
      <c r="D194" t="inlineStr">
        <is>
          <t>NORRBOTTENS LÄN</t>
        </is>
      </c>
      <c r="E194" t="inlineStr">
        <is>
          <t>LULEÅ</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4921-2025</t>
        </is>
      </c>
      <c r="B195" s="1" t="n">
        <v>45688.68416666667</v>
      </c>
      <c r="C195" s="1" t="n">
        <v>45990</v>
      </c>
      <c r="D195" t="inlineStr">
        <is>
          <t>NORRBOTTENS LÄN</t>
        </is>
      </c>
      <c r="E195" t="inlineStr">
        <is>
          <t>LULEÅ</t>
        </is>
      </c>
      <c r="G195" t="n">
        <v>2.7</v>
      </c>
      <c r="H195" t="n">
        <v>0</v>
      </c>
      <c r="I195" t="n">
        <v>0</v>
      </c>
      <c r="J195" t="n">
        <v>0</v>
      </c>
      <c r="K195" t="n">
        <v>0</v>
      </c>
      <c r="L195" t="n">
        <v>0</v>
      </c>
      <c r="M195" t="n">
        <v>0</v>
      </c>
      <c r="N195" t="n">
        <v>0</v>
      </c>
      <c r="O195" t="n">
        <v>0</v>
      </c>
      <c r="P195" t="n">
        <v>0</v>
      </c>
      <c r="Q195" t="n">
        <v>0</v>
      </c>
      <c r="R195" s="2" t="inlineStr"/>
    </row>
    <row r="196" ht="15" customHeight="1">
      <c r="A196" t="inlineStr">
        <is>
          <t>A 339-2025</t>
        </is>
      </c>
      <c r="B196" s="1" t="n">
        <v>45660.6911574074</v>
      </c>
      <c r="C196" s="1" t="n">
        <v>45990</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52698-2024</t>
        </is>
      </c>
      <c r="B197" s="1" t="n">
        <v>45610</v>
      </c>
      <c r="C197" s="1" t="n">
        <v>45990</v>
      </c>
      <c r="D197" t="inlineStr">
        <is>
          <t>NORRBOTTENS LÄN</t>
        </is>
      </c>
      <c r="E197" t="inlineStr">
        <is>
          <t>LULEÅ</t>
        </is>
      </c>
      <c r="G197" t="n">
        <v>8.9</v>
      </c>
      <c r="H197" t="n">
        <v>0</v>
      </c>
      <c r="I197" t="n">
        <v>0</v>
      </c>
      <c r="J197" t="n">
        <v>0</v>
      </c>
      <c r="K197" t="n">
        <v>0</v>
      </c>
      <c r="L197" t="n">
        <v>0</v>
      </c>
      <c r="M197" t="n">
        <v>0</v>
      </c>
      <c r="N197" t="n">
        <v>0</v>
      </c>
      <c r="O197" t="n">
        <v>0</v>
      </c>
      <c r="P197" t="n">
        <v>0</v>
      </c>
      <c r="Q197" t="n">
        <v>0</v>
      </c>
      <c r="R197" s="2" t="inlineStr"/>
    </row>
    <row r="198" ht="15" customHeight="1">
      <c r="A198" t="inlineStr">
        <is>
          <t>A 4920-2025</t>
        </is>
      </c>
      <c r="B198" s="1" t="n">
        <v>45688.68412037037</v>
      </c>
      <c r="C198" s="1" t="n">
        <v>45990</v>
      </c>
      <c r="D198" t="inlineStr">
        <is>
          <t>NORRBOTTENS LÄN</t>
        </is>
      </c>
      <c r="E198" t="inlineStr">
        <is>
          <t>LULEÅ</t>
        </is>
      </c>
      <c r="G198" t="n">
        <v>6.4</v>
      </c>
      <c r="H198" t="n">
        <v>0</v>
      </c>
      <c r="I198" t="n">
        <v>0</v>
      </c>
      <c r="J198" t="n">
        <v>0</v>
      </c>
      <c r="K198" t="n">
        <v>0</v>
      </c>
      <c r="L198" t="n">
        <v>0</v>
      </c>
      <c r="M198" t="n">
        <v>0</v>
      </c>
      <c r="N198" t="n">
        <v>0</v>
      </c>
      <c r="O198" t="n">
        <v>0</v>
      </c>
      <c r="P198" t="n">
        <v>0</v>
      </c>
      <c r="Q198" t="n">
        <v>0</v>
      </c>
      <c r="R198" s="2" t="inlineStr"/>
    </row>
    <row r="199" ht="15" customHeight="1">
      <c r="A199" t="inlineStr">
        <is>
          <t>A 38685-2025</t>
        </is>
      </c>
      <c r="B199" s="1" t="n">
        <v>45884.65607638889</v>
      </c>
      <c r="C199" s="1" t="n">
        <v>45990</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45990</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5137-2024</t>
        </is>
      </c>
      <c r="B201" s="1" t="n">
        <v>45330.46430555556</v>
      </c>
      <c r="C201" s="1" t="n">
        <v>45990</v>
      </c>
      <c r="D201" t="inlineStr">
        <is>
          <t>NORRBOTTENS LÄN</t>
        </is>
      </c>
      <c r="E201" t="inlineStr">
        <is>
          <t>LULEÅ</t>
        </is>
      </c>
      <c r="G201" t="n">
        <v>2.3</v>
      </c>
      <c r="H201" t="n">
        <v>0</v>
      </c>
      <c r="I201" t="n">
        <v>0</v>
      </c>
      <c r="J201" t="n">
        <v>0</v>
      </c>
      <c r="K201" t="n">
        <v>0</v>
      </c>
      <c r="L201" t="n">
        <v>0</v>
      </c>
      <c r="M201" t="n">
        <v>0</v>
      </c>
      <c r="N201" t="n">
        <v>0</v>
      </c>
      <c r="O201" t="n">
        <v>0</v>
      </c>
      <c r="P201" t="n">
        <v>0</v>
      </c>
      <c r="Q201" t="n">
        <v>0</v>
      </c>
      <c r="R201" s="2" t="inlineStr"/>
    </row>
    <row r="202" ht="15" customHeight="1">
      <c r="A202" t="inlineStr">
        <is>
          <t>A 8229-2024</t>
        </is>
      </c>
      <c r="B202" s="1" t="n">
        <v>45351</v>
      </c>
      <c r="C202" s="1" t="n">
        <v>45990</v>
      </c>
      <c r="D202" t="inlineStr">
        <is>
          <t>NORRBOTTENS LÄN</t>
        </is>
      </c>
      <c r="E202" t="inlineStr">
        <is>
          <t>LULEÅ</t>
        </is>
      </c>
      <c r="G202" t="n">
        <v>14.8</v>
      </c>
      <c r="H202" t="n">
        <v>0</v>
      </c>
      <c r="I202" t="n">
        <v>0</v>
      </c>
      <c r="J202" t="n">
        <v>0</v>
      </c>
      <c r="K202" t="n">
        <v>0</v>
      </c>
      <c r="L202" t="n">
        <v>0</v>
      </c>
      <c r="M202" t="n">
        <v>0</v>
      </c>
      <c r="N202" t="n">
        <v>0</v>
      </c>
      <c r="O202" t="n">
        <v>0</v>
      </c>
      <c r="P202" t="n">
        <v>0</v>
      </c>
      <c r="Q202" t="n">
        <v>0</v>
      </c>
      <c r="R202" s="2" t="inlineStr"/>
    </row>
    <row r="203" ht="15" customHeight="1">
      <c r="A203" t="inlineStr">
        <is>
          <t>A 51668-2022</t>
        </is>
      </c>
      <c r="B203" s="1" t="n">
        <v>44867</v>
      </c>
      <c r="C203" s="1" t="n">
        <v>45990</v>
      </c>
      <c r="D203" t="inlineStr">
        <is>
          <t>NORRBOTTENS LÄN</t>
        </is>
      </c>
      <c r="E203" t="inlineStr">
        <is>
          <t>LULEÅ</t>
        </is>
      </c>
      <c r="G203" t="n">
        <v>2.6</v>
      </c>
      <c r="H203" t="n">
        <v>0</v>
      </c>
      <c r="I203" t="n">
        <v>0</v>
      </c>
      <c r="J203" t="n">
        <v>0</v>
      </c>
      <c r="K203" t="n">
        <v>0</v>
      </c>
      <c r="L203" t="n">
        <v>0</v>
      </c>
      <c r="M203" t="n">
        <v>0</v>
      </c>
      <c r="N203" t="n">
        <v>0</v>
      </c>
      <c r="O203" t="n">
        <v>0</v>
      </c>
      <c r="P203" t="n">
        <v>0</v>
      </c>
      <c r="Q203" t="n">
        <v>0</v>
      </c>
      <c r="R203" s="2" t="inlineStr"/>
    </row>
    <row r="204" ht="15" customHeight="1">
      <c r="A204" t="inlineStr">
        <is>
          <t>A 38683-2025</t>
        </is>
      </c>
      <c r="B204" s="1" t="n">
        <v>45884.65483796296</v>
      </c>
      <c r="C204" s="1" t="n">
        <v>45990</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35090-2023</t>
        </is>
      </c>
      <c r="B205" s="1" t="n">
        <v>45145</v>
      </c>
      <c r="C205" s="1" t="n">
        <v>45990</v>
      </c>
      <c r="D205" t="inlineStr">
        <is>
          <t>NORRBOTTENS LÄN</t>
        </is>
      </c>
      <c r="E205" t="inlineStr">
        <is>
          <t>LULEÅ</t>
        </is>
      </c>
      <c r="G205" t="n">
        <v>3</v>
      </c>
      <c r="H205" t="n">
        <v>0</v>
      </c>
      <c r="I205" t="n">
        <v>0</v>
      </c>
      <c r="J205" t="n">
        <v>0</v>
      </c>
      <c r="K205" t="n">
        <v>0</v>
      </c>
      <c r="L205" t="n">
        <v>0</v>
      </c>
      <c r="M205" t="n">
        <v>0</v>
      </c>
      <c r="N205" t="n">
        <v>0</v>
      </c>
      <c r="O205" t="n">
        <v>0</v>
      </c>
      <c r="P205" t="n">
        <v>0</v>
      </c>
      <c r="Q205" t="n">
        <v>0</v>
      </c>
      <c r="R205" s="2" t="inlineStr"/>
    </row>
    <row r="206" ht="15" customHeight="1">
      <c r="A206" t="inlineStr">
        <is>
          <t>A 59609-2024</t>
        </is>
      </c>
      <c r="B206" s="1" t="n">
        <v>45638.75081018519</v>
      </c>
      <c r="C206" s="1" t="n">
        <v>45990</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53754-2023</t>
        </is>
      </c>
      <c r="B207" s="1" t="n">
        <v>45230</v>
      </c>
      <c r="C207" s="1" t="n">
        <v>45990</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46587-2023</t>
        </is>
      </c>
      <c r="B208" s="1" t="n">
        <v>45194</v>
      </c>
      <c r="C208" s="1" t="n">
        <v>45990</v>
      </c>
      <c r="D208" t="inlineStr">
        <is>
          <t>NORRBOTTENS LÄN</t>
        </is>
      </c>
      <c r="E208" t="inlineStr">
        <is>
          <t>LULEÅ</t>
        </is>
      </c>
      <c r="G208" t="n">
        <v>15.3</v>
      </c>
      <c r="H208" t="n">
        <v>0</v>
      </c>
      <c r="I208" t="n">
        <v>0</v>
      </c>
      <c r="J208" t="n">
        <v>0</v>
      </c>
      <c r="K208" t="n">
        <v>0</v>
      </c>
      <c r="L208" t="n">
        <v>0</v>
      </c>
      <c r="M208" t="n">
        <v>0</v>
      </c>
      <c r="N208" t="n">
        <v>0</v>
      </c>
      <c r="O208" t="n">
        <v>0</v>
      </c>
      <c r="P208" t="n">
        <v>0</v>
      </c>
      <c r="Q208" t="n">
        <v>0</v>
      </c>
      <c r="R208" s="2" t="inlineStr"/>
    </row>
    <row r="209" ht="15" customHeight="1">
      <c r="A209" t="inlineStr">
        <is>
          <t>A 39269-2025</t>
        </is>
      </c>
      <c r="B209" s="1" t="n">
        <v>45889.38579861111</v>
      </c>
      <c r="C209" s="1" t="n">
        <v>45990</v>
      </c>
      <c r="D209" t="inlineStr">
        <is>
          <t>NORRBOTTENS LÄN</t>
        </is>
      </c>
      <c r="E209" t="inlineStr">
        <is>
          <t>LULEÅ</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29417-2025</t>
        </is>
      </c>
      <c r="B210" s="1" t="n">
        <v>45824.63576388889</v>
      </c>
      <c r="C210" s="1" t="n">
        <v>45990</v>
      </c>
      <c r="D210" t="inlineStr">
        <is>
          <t>NORRBOTTENS LÄN</t>
        </is>
      </c>
      <c r="E210" t="inlineStr">
        <is>
          <t>LULEÅ</t>
        </is>
      </c>
      <c r="G210" t="n">
        <v>1.9</v>
      </c>
      <c r="H210" t="n">
        <v>0</v>
      </c>
      <c r="I210" t="n">
        <v>0</v>
      </c>
      <c r="J210" t="n">
        <v>0</v>
      </c>
      <c r="K210" t="n">
        <v>0</v>
      </c>
      <c r="L210" t="n">
        <v>0</v>
      </c>
      <c r="M210" t="n">
        <v>0</v>
      </c>
      <c r="N210" t="n">
        <v>0</v>
      </c>
      <c r="O210" t="n">
        <v>0</v>
      </c>
      <c r="P210" t="n">
        <v>0</v>
      </c>
      <c r="Q210" t="n">
        <v>0</v>
      </c>
      <c r="R210" s="2" t="inlineStr"/>
    </row>
    <row r="211" ht="15" customHeight="1">
      <c r="A211" t="inlineStr">
        <is>
          <t>A 4941-2025</t>
        </is>
      </c>
      <c r="B211" s="1" t="n">
        <v>45688.6995949074</v>
      </c>
      <c r="C211" s="1" t="n">
        <v>45990</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23534-2025</t>
        </is>
      </c>
      <c r="B212" s="1" t="n">
        <v>45792</v>
      </c>
      <c r="C212" s="1" t="n">
        <v>45990</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51277-2024</t>
        </is>
      </c>
      <c r="B213" s="1" t="n">
        <v>45603.74953703704</v>
      </c>
      <c r="C213" s="1" t="n">
        <v>45990</v>
      </c>
      <c r="D213" t="inlineStr">
        <is>
          <t>NORRBOTTENS LÄN</t>
        </is>
      </c>
      <c r="E213" t="inlineStr">
        <is>
          <t>LULEÅ</t>
        </is>
      </c>
      <c r="G213" t="n">
        <v>1.5</v>
      </c>
      <c r="H213" t="n">
        <v>0</v>
      </c>
      <c r="I213" t="n">
        <v>0</v>
      </c>
      <c r="J213" t="n">
        <v>0</v>
      </c>
      <c r="K213" t="n">
        <v>0</v>
      </c>
      <c r="L213" t="n">
        <v>0</v>
      </c>
      <c r="M213" t="n">
        <v>0</v>
      </c>
      <c r="N213" t="n">
        <v>0</v>
      </c>
      <c r="O213" t="n">
        <v>0</v>
      </c>
      <c r="P213" t="n">
        <v>0</v>
      </c>
      <c r="Q213" t="n">
        <v>0</v>
      </c>
      <c r="R213" s="2" t="inlineStr"/>
    </row>
    <row r="214" ht="15" customHeight="1">
      <c r="A214" t="inlineStr">
        <is>
          <t>A 4547-2025</t>
        </is>
      </c>
      <c r="B214" s="1" t="n">
        <v>45687.40212962963</v>
      </c>
      <c r="C214" s="1" t="n">
        <v>45990</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39644-2025</t>
        </is>
      </c>
      <c r="B215" s="1" t="n">
        <v>45890.61241898148</v>
      </c>
      <c r="C215" s="1" t="n">
        <v>45990</v>
      </c>
      <c r="D215" t="inlineStr">
        <is>
          <t>NORRBOTTENS LÄN</t>
        </is>
      </c>
      <c r="E215" t="inlineStr">
        <is>
          <t>LULEÅ</t>
        </is>
      </c>
      <c r="G215" t="n">
        <v>4.6</v>
      </c>
      <c r="H215" t="n">
        <v>0</v>
      </c>
      <c r="I215" t="n">
        <v>0</v>
      </c>
      <c r="J215" t="n">
        <v>0</v>
      </c>
      <c r="K215" t="n">
        <v>0</v>
      </c>
      <c r="L215" t="n">
        <v>0</v>
      </c>
      <c r="M215" t="n">
        <v>0</v>
      </c>
      <c r="N215" t="n">
        <v>0</v>
      </c>
      <c r="O215" t="n">
        <v>0</v>
      </c>
      <c r="P215" t="n">
        <v>0</v>
      </c>
      <c r="Q215" t="n">
        <v>0</v>
      </c>
      <c r="R215" s="2" t="inlineStr"/>
    </row>
    <row r="216" ht="15" customHeight="1">
      <c r="A216" t="inlineStr">
        <is>
          <t>A 11901-2025</t>
        </is>
      </c>
      <c r="B216" s="1" t="n">
        <v>45727</v>
      </c>
      <c r="C216" s="1" t="n">
        <v>45990</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39550-2025</t>
        </is>
      </c>
      <c r="B217" s="1" t="n">
        <v>45890</v>
      </c>
      <c r="C217" s="1" t="n">
        <v>45990</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39531-2025</t>
        </is>
      </c>
      <c r="B218" s="1" t="n">
        <v>45890.44831018519</v>
      </c>
      <c r="C218" s="1" t="n">
        <v>45990</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40464-2025</t>
        </is>
      </c>
      <c r="B219" s="1" t="n">
        <v>45895.65347222222</v>
      </c>
      <c r="C219" s="1" t="n">
        <v>45990</v>
      </c>
      <c r="D219" t="inlineStr">
        <is>
          <t>NORRBOTTENS LÄN</t>
        </is>
      </c>
      <c r="E219" t="inlineStr">
        <is>
          <t>LULEÅ</t>
        </is>
      </c>
      <c r="G219" t="n">
        <v>6.9</v>
      </c>
      <c r="H219" t="n">
        <v>0</v>
      </c>
      <c r="I219" t="n">
        <v>0</v>
      </c>
      <c r="J219" t="n">
        <v>0</v>
      </c>
      <c r="K219" t="n">
        <v>0</v>
      </c>
      <c r="L219" t="n">
        <v>0</v>
      </c>
      <c r="M219" t="n">
        <v>0</v>
      </c>
      <c r="N219" t="n">
        <v>0</v>
      </c>
      <c r="O219" t="n">
        <v>0</v>
      </c>
      <c r="P219" t="n">
        <v>0</v>
      </c>
      <c r="Q219" t="n">
        <v>0</v>
      </c>
      <c r="R219" s="2" t="inlineStr"/>
    </row>
    <row r="220" ht="15" customHeight="1">
      <c r="A220" t="inlineStr">
        <is>
          <t>A 7393-2023</t>
        </is>
      </c>
      <c r="B220" s="1" t="n">
        <v>44966</v>
      </c>
      <c r="C220" s="1" t="n">
        <v>45990</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27107-2025</t>
        </is>
      </c>
      <c r="B221" s="1" t="n">
        <v>45811</v>
      </c>
      <c r="C221" s="1" t="n">
        <v>45990</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13068-2024</t>
        </is>
      </c>
      <c r="B222" s="1" t="n">
        <v>45385</v>
      </c>
      <c r="C222" s="1" t="n">
        <v>45990</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45990</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27463-2025</t>
        </is>
      </c>
      <c r="B224" s="1" t="n">
        <v>45813.34618055556</v>
      </c>
      <c r="C224" s="1" t="n">
        <v>45990</v>
      </c>
      <c r="D224" t="inlineStr">
        <is>
          <t>NORRBOTTENS LÄN</t>
        </is>
      </c>
      <c r="E224" t="inlineStr">
        <is>
          <t>LULEÅ</t>
        </is>
      </c>
      <c r="F224" t="inlineStr">
        <is>
          <t>Naturvårdsverket</t>
        </is>
      </c>
      <c r="G224" t="n">
        <v>8.6</v>
      </c>
      <c r="H224" t="n">
        <v>0</v>
      </c>
      <c r="I224" t="n">
        <v>0</v>
      </c>
      <c r="J224" t="n">
        <v>0</v>
      </c>
      <c r="K224" t="n">
        <v>0</v>
      </c>
      <c r="L224" t="n">
        <v>0</v>
      </c>
      <c r="M224" t="n">
        <v>0</v>
      </c>
      <c r="N224" t="n">
        <v>0</v>
      </c>
      <c r="O224" t="n">
        <v>0</v>
      </c>
      <c r="P224" t="n">
        <v>0</v>
      </c>
      <c r="Q224" t="n">
        <v>0</v>
      </c>
      <c r="R224" s="2" t="inlineStr"/>
    </row>
    <row r="225" ht="15" customHeight="1">
      <c r="A225" t="inlineStr">
        <is>
          <t>A 22017-2024</t>
        </is>
      </c>
      <c r="B225" s="1" t="n">
        <v>45443</v>
      </c>
      <c r="C225" s="1" t="n">
        <v>45990</v>
      </c>
      <c r="D225" t="inlineStr">
        <is>
          <t>NORRBOTTENS LÄN</t>
        </is>
      </c>
      <c r="E225" t="inlineStr">
        <is>
          <t>LULEÅ</t>
        </is>
      </c>
      <c r="G225" t="n">
        <v>0.2</v>
      </c>
      <c r="H225" t="n">
        <v>0</v>
      </c>
      <c r="I225" t="n">
        <v>0</v>
      </c>
      <c r="J225" t="n">
        <v>0</v>
      </c>
      <c r="K225" t="n">
        <v>0</v>
      </c>
      <c r="L225" t="n">
        <v>0</v>
      </c>
      <c r="M225" t="n">
        <v>0</v>
      </c>
      <c r="N225" t="n">
        <v>0</v>
      </c>
      <c r="O225" t="n">
        <v>0</v>
      </c>
      <c r="P225" t="n">
        <v>0</v>
      </c>
      <c r="Q225" t="n">
        <v>0</v>
      </c>
      <c r="R225" s="2" t="inlineStr"/>
    </row>
    <row r="226" ht="15" customHeight="1">
      <c r="A226" t="inlineStr">
        <is>
          <t>A 27526-2025</t>
        </is>
      </c>
      <c r="B226" s="1" t="n">
        <v>45813</v>
      </c>
      <c r="C226" s="1" t="n">
        <v>45990</v>
      </c>
      <c r="D226" t="inlineStr">
        <is>
          <t>NORRBOTTENS LÄN</t>
        </is>
      </c>
      <c r="E226" t="inlineStr">
        <is>
          <t>LULEÅ</t>
        </is>
      </c>
      <c r="G226" t="n">
        <v>5.7</v>
      </c>
      <c r="H226" t="n">
        <v>0</v>
      </c>
      <c r="I226" t="n">
        <v>0</v>
      </c>
      <c r="J226" t="n">
        <v>0</v>
      </c>
      <c r="K226" t="n">
        <v>0</v>
      </c>
      <c r="L226" t="n">
        <v>0</v>
      </c>
      <c r="M226" t="n">
        <v>0</v>
      </c>
      <c r="N226" t="n">
        <v>0</v>
      </c>
      <c r="O226" t="n">
        <v>0</v>
      </c>
      <c r="P226" t="n">
        <v>0</v>
      </c>
      <c r="Q226" t="n">
        <v>0</v>
      </c>
      <c r="R226" s="2" t="inlineStr"/>
    </row>
    <row r="227" ht="15" customHeight="1">
      <c r="A227" t="inlineStr">
        <is>
          <t>A 40695-2025</t>
        </is>
      </c>
      <c r="B227" s="1" t="n">
        <v>45897.28637731481</v>
      </c>
      <c r="C227" s="1" t="n">
        <v>45990</v>
      </c>
      <c r="D227" t="inlineStr">
        <is>
          <t>NORRBOTTENS LÄN</t>
        </is>
      </c>
      <c r="E227" t="inlineStr">
        <is>
          <t>LULEÅ</t>
        </is>
      </c>
      <c r="G227" t="n">
        <v>2.4</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45990</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822-2025</t>
        </is>
      </c>
      <c r="B229" s="1" t="n">
        <v>45664</v>
      </c>
      <c r="C229" s="1" t="n">
        <v>45990</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40641-2025</t>
        </is>
      </c>
      <c r="B230" s="1" t="n">
        <v>45896</v>
      </c>
      <c r="C230" s="1" t="n">
        <v>45990</v>
      </c>
      <c r="D230" t="inlineStr">
        <is>
          <t>NORRBOTTENS LÄN</t>
        </is>
      </c>
      <c r="E230" t="inlineStr">
        <is>
          <t>LULEÅ</t>
        </is>
      </c>
      <c r="G230" t="n">
        <v>4.2</v>
      </c>
      <c r="H230" t="n">
        <v>0</v>
      </c>
      <c r="I230" t="n">
        <v>0</v>
      </c>
      <c r="J230" t="n">
        <v>0</v>
      </c>
      <c r="K230" t="n">
        <v>0</v>
      </c>
      <c r="L230" t="n">
        <v>0</v>
      </c>
      <c r="M230" t="n">
        <v>0</v>
      </c>
      <c r="N230" t="n">
        <v>0</v>
      </c>
      <c r="O230" t="n">
        <v>0</v>
      </c>
      <c r="P230" t="n">
        <v>0</v>
      </c>
      <c r="Q230" t="n">
        <v>0</v>
      </c>
      <c r="R230" s="2" t="inlineStr"/>
    </row>
    <row r="231" ht="15" customHeight="1">
      <c r="A231" t="inlineStr">
        <is>
          <t>A 47918-2024</t>
        </is>
      </c>
      <c r="B231" s="1" t="n">
        <v>45589.34434027778</v>
      </c>
      <c r="C231" s="1" t="n">
        <v>45990</v>
      </c>
      <c r="D231" t="inlineStr">
        <is>
          <t>NORRBOTTENS LÄN</t>
        </is>
      </c>
      <c r="E231" t="inlineStr">
        <is>
          <t>LULEÅ</t>
        </is>
      </c>
      <c r="F231" t="inlineStr">
        <is>
          <t>Naturvårdsverket</t>
        </is>
      </c>
      <c r="G231" t="n">
        <v>6.2</v>
      </c>
      <c r="H231" t="n">
        <v>0</v>
      </c>
      <c r="I231" t="n">
        <v>0</v>
      </c>
      <c r="J231" t="n">
        <v>0</v>
      </c>
      <c r="K231" t="n">
        <v>0</v>
      </c>
      <c r="L231" t="n">
        <v>0</v>
      </c>
      <c r="M231" t="n">
        <v>0</v>
      </c>
      <c r="N231" t="n">
        <v>0</v>
      </c>
      <c r="O231" t="n">
        <v>0</v>
      </c>
      <c r="P231" t="n">
        <v>0</v>
      </c>
      <c r="Q231" t="n">
        <v>0</v>
      </c>
      <c r="R231" s="2" t="inlineStr"/>
    </row>
    <row r="232" ht="15" customHeight="1">
      <c r="A232" t="inlineStr">
        <is>
          <t>A 25676-2024</t>
        </is>
      </c>
      <c r="B232" s="1" t="n">
        <v>45463</v>
      </c>
      <c r="C232" s="1" t="n">
        <v>45990</v>
      </c>
      <c r="D232" t="inlineStr">
        <is>
          <t>NORRBOTTENS LÄN</t>
        </is>
      </c>
      <c r="E232" t="inlineStr">
        <is>
          <t>LULEÅ</t>
        </is>
      </c>
      <c r="G232" t="n">
        <v>0.5</v>
      </c>
      <c r="H232" t="n">
        <v>0</v>
      </c>
      <c r="I232" t="n">
        <v>0</v>
      </c>
      <c r="J232" t="n">
        <v>0</v>
      </c>
      <c r="K232" t="n">
        <v>0</v>
      </c>
      <c r="L232" t="n">
        <v>0</v>
      </c>
      <c r="M232" t="n">
        <v>0</v>
      </c>
      <c r="N232" t="n">
        <v>0</v>
      </c>
      <c r="O232" t="n">
        <v>0</v>
      </c>
      <c r="P232" t="n">
        <v>0</v>
      </c>
      <c r="Q232" t="n">
        <v>0</v>
      </c>
      <c r="R232" s="2" t="inlineStr"/>
    </row>
    <row r="233" ht="15" customHeight="1">
      <c r="A233" t="inlineStr">
        <is>
          <t>A 26594-2024</t>
        </is>
      </c>
      <c r="B233" s="1" t="n">
        <v>45469.68552083334</v>
      </c>
      <c r="C233" s="1" t="n">
        <v>45990</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58547-2024</t>
        </is>
      </c>
      <c r="B234" s="1" t="n">
        <v>45635.45822916667</v>
      </c>
      <c r="C234" s="1" t="n">
        <v>45990</v>
      </c>
      <c r="D234" t="inlineStr">
        <is>
          <t>NORRBOTTENS LÄN</t>
        </is>
      </c>
      <c r="E234" t="inlineStr">
        <is>
          <t>LULEÅ</t>
        </is>
      </c>
      <c r="G234" t="n">
        <v>8</v>
      </c>
      <c r="H234" t="n">
        <v>0</v>
      </c>
      <c r="I234" t="n">
        <v>0</v>
      </c>
      <c r="J234" t="n">
        <v>0</v>
      </c>
      <c r="K234" t="n">
        <v>0</v>
      </c>
      <c r="L234" t="n">
        <v>0</v>
      </c>
      <c r="M234" t="n">
        <v>0</v>
      </c>
      <c r="N234" t="n">
        <v>0</v>
      </c>
      <c r="O234" t="n">
        <v>0</v>
      </c>
      <c r="P234" t="n">
        <v>0</v>
      </c>
      <c r="Q234" t="n">
        <v>0</v>
      </c>
      <c r="R234" s="2" t="inlineStr"/>
    </row>
    <row r="235" ht="15" customHeight="1">
      <c r="A235" t="inlineStr">
        <is>
          <t>A 24752-2025</t>
        </is>
      </c>
      <c r="B235" s="1" t="n">
        <v>45799.3653587963</v>
      </c>
      <c r="C235" s="1" t="n">
        <v>45990</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40644-2025</t>
        </is>
      </c>
      <c r="B236" s="1" t="n">
        <v>45896.6166087963</v>
      </c>
      <c r="C236" s="1" t="n">
        <v>45990</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45990</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28344-2025</t>
        </is>
      </c>
      <c r="B238" s="1" t="n">
        <v>45817</v>
      </c>
      <c r="C238" s="1" t="n">
        <v>45990</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42024-2024</t>
        </is>
      </c>
      <c r="B239" s="1" t="n">
        <v>45561.72005787037</v>
      </c>
      <c r="C239" s="1" t="n">
        <v>45990</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18166-2023</t>
        </is>
      </c>
      <c r="B240" s="1" t="n">
        <v>45040.94335648148</v>
      </c>
      <c r="C240" s="1" t="n">
        <v>45990</v>
      </c>
      <c r="D240" t="inlineStr">
        <is>
          <t>NORRBOTTENS LÄN</t>
        </is>
      </c>
      <c r="E240" t="inlineStr">
        <is>
          <t>LULEÅ</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35902-2025</t>
        </is>
      </c>
      <c r="B241" s="1" t="n">
        <v>45862.48990740741</v>
      </c>
      <c r="C241" s="1" t="n">
        <v>45990</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35912-2025</t>
        </is>
      </c>
      <c r="B242" s="1" t="n">
        <v>45862.53150462963</v>
      </c>
      <c r="C242" s="1" t="n">
        <v>45990</v>
      </c>
      <c r="D242" t="inlineStr">
        <is>
          <t>NORRBOTTENS LÄN</t>
        </is>
      </c>
      <c r="E242" t="inlineStr">
        <is>
          <t>LULEÅ</t>
        </is>
      </c>
      <c r="G242" t="n">
        <v>5.5</v>
      </c>
      <c r="H242" t="n">
        <v>0</v>
      </c>
      <c r="I242" t="n">
        <v>0</v>
      </c>
      <c r="J242" t="n">
        <v>0</v>
      </c>
      <c r="K242" t="n">
        <v>0</v>
      </c>
      <c r="L242" t="n">
        <v>0</v>
      </c>
      <c r="M242" t="n">
        <v>0</v>
      </c>
      <c r="N242" t="n">
        <v>0</v>
      </c>
      <c r="O242" t="n">
        <v>0</v>
      </c>
      <c r="P242" t="n">
        <v>0</v>
      </c>
      <c r="Q242" t="n">
        <v>0</v>
      </c>
      <c r="R242" s="2" t="inlineStr"/>
    </row>
    <row r="243" ht="15" customHeight="1">
      <c r="A243" t="inlineStr">
        <is>
          <t>A 17897-2025</t>
        </is>
      </c>
      <c r="B243" s="1" t="n">
        <v>45758.69814814815</v>
      </c>
      <c r="C243" s="1" t="n">
        <v>45990</v>
      </c>
      <c r="D243" t="inlineStr">
        <is>
          <t>NORRBOTTENS LÄN</t>
        </is>
      </c>
      <c r="E243" t="inlineStr">
        <is>
          <t>LULEÅ</t>
        </is>
      </c>
      <c r="G243" t="n">
        <v>9.9</v>
      </c>
      <c r="H243" t="n">
        <v>0</v>
      </c>
      <c r="I243" t="n">
        <v>0</v>
      </c>
      <c r="J243" t="n">
        <v>0</v>
      </c>
      <c r="K243" t="n">
        <v>0</v>
      </c>
      <c r="L243" t="n">
        <v>0</v>
      </c>
      <c r="M243" t="n">
        <v>0</v>
      </c>
      <c r="N243" t="n">
        <v>0</v>
      </c>
      <c r="O243" t="n">
        <v>0</v>
      </c>
      <c r="P243" t="n">
        <v>0</v>
      </c>
      <c r="Q243" t="n">
        <v>0</v>
      </c>
      <c r="R243" s="2" t="inlineStr"/>
    </row>
    <row r="244" ht="15" customHeight="1">
      <c r="A244" t="inlineStr">
        <is>
          <t>A 42496-2024</t>
        </is>
      </c>
      <c r="B244" s="1" t="n">
        <v>45565.49769675926</v>
      </c>
      <c r="C244" s="1" t="n">
        <v>45990</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19594-2025</t>
        </is>
      </c>
      <c r="B245" s="1" t="n">
        <v>45770.57881944445</v>
      </c>
      <c r="C245" s="1" t="n">
        <v>45990</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656-2025</t>
        </is>
      </c>
      <c r="B246" s="1" t="n">
        <v>45661</v>
      </c>
      <c r="C246" s="1" t="n">
        <v>45990</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19526-2025</t>
        </is>
      </c>
      <c r="B247" s="1" t="n">
        <v>45770.46388888889</v>
      </c>
      <c r="C247" s="1" t="n">
        <v>45990</v>
      </c>
      <c r="D247" t="inlineStr">
        <is>
          <t>NORRBOTTENS LÄN</t>
        </is>
      </c>
      <c r="E247" t="inlineStr">
        <is>
          <t>LULEÅ</t>
        </is>
      </c>
      <c r="G247" t="n">
        <v>10.6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45990</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25578-2024</t>
        </is>
      </c>
      <c r="B249" s="1" t="n">
        <v>45463</v>
      </c>
      <c r="C249" s="1" t="n">
        <v>45990</v>
      </c>
      <c r="D249" t="inlineStr">
        <is>
          <t>NORRBOTTENS LÄN</t>
        </is>
      </c>
      <c r="E249" t="inlineStr">
        <is>
          <t>LULEÅ</t>
        </is>
      </c>
      <c r="G249" t="n">
        <v>7.9</v>
      </c>
      <c r="H249" t="n">
        <v>0</v>
      </c>
      <c r="I249" t="n">
        <v>0</v>
      </c>
      <c r="J249" t="n">
        <v>0</v>
      </c>
      <c r="K249" t="n">
        <v>0</v>
      </c>
      <c r="L249" t="n">
        <v>0</v>
      </c>
      <c r="M249" t="n">
        <v>0</v>
      </c>
      <c r="N249" t="n">
        <v>0</v>
      </c>
      <c r="O249" t="n">
        <v>0</v>
      </c>
      <c r="P249" t="n">
        <v>0</v>
      </c>
      <c r="Q249" t="n">
        <v>0</v>
      </c>
      <c r="R249" s="2" t="inlineStr"/>
    </row>
    <row r="250" ht="15" customHeight="1">
      <c r="A250" t="inlineStr">
        <is>
          <t>A 42133-2021</t>
        </is>
      </c>
      <c r="B250" s="1" t="n">
        <v>44426</v>
      </c>
      <c r="C250" s="1" t="n">
        <v>45990</v>
      </c>
      <c r="D250" t="inlineStr">
        <is>
          <t>NORRBOTTENS LÄN</t>
        </is>
      </c>
      <c r="E250" t="inlineStr">
        <is>
          <t>LULEÅ</t>
        </is>
      </c>
      <c r="G250" t="n">
        <v>1.3</v>
      </c>
      <c r="H250" t="n">
        <v>0</v>
      </c>
      <c r="I250" t="n">
        <v>0</v>
      </c>
      <c r="J250" t="n">
        <v>0</v>
      </c>
      <c r="K250" t="n">
        <v>0</v>
      </c>
      <c r="L250" t="n">
        <v>0</v>
      </c>
      <c r="M250" t="n">
        <v>0</v>
      </c>
      <c r="N250" t="n">
        <v>0</v>
      </c>
      <c r="O250" t="n">
        <v>0</v>
      </c>
      <c r="P250" t="n">
        <v>0</v>
      </c>
      <c r="Q250" t="n">
        <v>0</v>
      </c>
      <c r="R250" s="2" t="inlineStr"/>
    </row>
    <row r="251" ht="15" customHeight="1">
      <c r="A251" t="inlineStr">
        <is>
          <t>A 40977-2025</t>
        </is>
      </c>
      <c r="B251" s="1" t="n">
        <v>45897.93575231481</v>
      </c>
      <c r="C251" s="1" t="n">
        <v>45990</v>
      </c>
      <c r="D251" t="inlineStr">
        <is>
          <t>NORRBOTTENS LÄN</t>
        </is>
      </c>
      <c r="E251" t="inlineStr">
        <is>
          <t>LULEÅ</t>
        </is>
      </c>
      <c r="G251" t="n">
        <v>11.2</v>
      </c>
      <c r="H251" t="n">
        <v>0</v>
      </c>
      <c r="I251" t="n">
        <v>0</v>
      </c>
      <c r="J251" t="n">
        <v>0</v>
      </c>
      <c r="K251" t="n">
        <v>0</v>
      </c>
      <c r="L251" t="n">
        <v>0</v>
      </c>
      <c r="M251" t="n">
        <v>0</v>
      </c>
      <c r="N251" t="n">
        <v>0</v>
      </c>
      <c r="O251" t="n">
        <v>0</v>
      </c>
      <c r="P251" t="n">
        <v>0</v>
      </c>
      <c r="Q251" t="n">
        <v>0</v>
      </c>
      <c r="R251" s="2" t="inlineStr"/>
    </row>
    <row r="252" ht="15" customHeight="1">
      <c r="A252" t="inlineStr">
        <is>
          <t>A 42753-2022</t>
        </is>
      </c>
      <c r="B252" s="1" t="n">
        <v>44832</v>
      </c>
      <c r="C252" s="1" t="n">
        <v>45990</v>
      </c>
      <c r="D252" t="inlineStr">
        <is>
          <t>NORRBOTTENS LÄN</t>
        </is>
      </c>
      <c r="E252" t="inlineStr">
        <is>
          <t>LULEÅ</t>
        </is>
      </c>
      <c r="G252" t="n">
        <v>10.8</v>
      </c>
      <c r="H252" t="n">
        <v>0</v>
      </c>
      <c r="I252" t="n">
        <v>0</v>
      </c>
      <c r="J252" t="n">
        <v>0</v>
      </c>
      <c r="K252" t="n">
        <v>0</v>
      </c>
      <c r="L252" t="n">
        <v>0</v>
      </c>
      <c r="M252" t="n">
        <v>0</v>
      </c>
      <c r="N252" t="n">
        <v>0</v>
      </c>
      <c r="O252" t="n">
        <v>0</v>
      </c>
      <c r="P252" t="n">
        <v>0</v>
      </c>
      <c r="Q252" t="n">
        <v>0</v>
      </c>
      <c r="R252" s="2" t="inlineStr"/>
    </row>
    <row r="253" ht="15" customHeight="1">
      <c r="A253" t="inlineStr">
        <is>
          <t>A 51108-2024</t>
        </is>
      </c>
      <c r="B253" s="1" t="n">
        <v>45603.49142361111</v>
      </c>
      <c r="C253" s="1" t="n">
        <v>45990</v>
      </c>
      <c r="D253" t="inlineStr">
        <is>
          <t>NORRBOTTENS LÄN</t>
        </is>
      </c>
      <c r="E253" t="inlineStr">
        <is>
          <t>LULEÅ</t>
        </is>
      </c>
      <c r="G253" t="n">
        <v>3.8</v>
      </c>
      <c r="H253" t="n">
        <v>0</v>
      </c>
      <c r="I253" t="n">
        <v>0</v>
      </c>
      <c r="J253" t="n">
        <v>0</v>
      </c>
      <c r="K253" t="n">
        <v>0</v>
      </c>
      <c r="L253" t="n">
        <v>0</v>
      </c>
      <c r="M253" t="n">
        <v>0</v>
      </c>
      <c r="N253" t="n">
        <v>0</v>
      </c>
      <c r="O253" t="n">
        <v>0</v>
      </c>
      <c r="P253" t="n">
        <v>0</v>
      </c>
      <c r="Q253" t="n">
        <v>0</v>
      </c>
      <c r="R253" s="2" t="inlineStr"/>
    </row>
    <row r="254" ht="15" customHeight="1">
      <c r="A254" t="inlineStr">
        <is>
          <t>A 29332-2025</t>
        </is>
      </c>
      <c r="B254" s="1" t="n">
        <v>45824</v>
      </c>
      <c r="C254" s="1" t="n">
        <v>45990</v>
      </c>
      <c r="D254" t="inlineStr">
        <is>
          <t>NORRBOTTENS LÄN</t>
        </is>
      </c>
      <c r="E254" t="inlineStr">
        <is>
          <t>LULEÅ</t>
        </is>
      </c>
      <c r="G254" t="n">
        <v>3</v>
      </c>
      <c r="H254" t="n">
        <v>0</v>
      </c>
      <c r="I254" t="n">
        <v>0</v>
      </c>
      <c r="J254" t="n">
        <v>0</v>
      </c>
      <c r="K254" t="n">
        <v>0</v>
      </c>
      <c r="L254" t="n">
        <v>0</v>
      </c>
      <c r="M254" t="n">
        <v>0</v>
      </c>
      <c r="N254" t="n">
        <v>0</v>
      </c>
      <c r="O254" t="n">
        <v>0</v>
      </c>
      <c r="P254" t="n">
        <v>0</v>
      </c>
      <c r="Q254" t="n">
        <v>0</v>
      </c>
      <c r="R254" s="2" t="inlineStr"/>
    </row>
    <row r="255" ht="15" customHeight="1">
      <c r="A255" t="inlineStr">
        <is>
          <t>A 29550-2024</t>
        </is>
      </c>
      <c r="B255" s="1" t="n">
        <v>45484</v>
      </c>
      <c r="C255" s="1" t="n">
        <v>45990</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62732-2021</t>
        </is>
      </c>
      <c r="B256" s="1" t="n">
        <v>44503</v>
      </c>
      <c r="C256" s="1" t="n">
        <v>45990</v>
      </c>
      <c r="D256" t="inlineStr">
        <is>
          <t>NORRBOTTENS LÄN</t>
        </is>
      </c>
      <c r="E256" t="inlineStr">
        <is>
          <t>LULEÅ</t>
        </is>
      </c>
      <c r="G256" t="n">
        <v>2.5</v>
      </c>
      <c r="H256" t="n">
        <v>0</v>
      </c>
      <c r="I256" t="n">
        <v>0</v>
      </c>
      <c r="J256" t="n">
        <v>0</v>
      </c>
      <c r="K256" t="n">
        <v>0</v>
      </c>
      <c r="L256" t="n">
        <v>0</v>
      </c>
      <c r="M256" t="n">
        <v>0</v>
      </c>
      <c r="N256" t="n">
        <v>0</v>
      </c>
      <c r="O256" t="n">
        <v>0</v>
      </c>
      <c r="P256" t="n">
        <v>0</v>
      </c>
      <c r="Q256" t="n">
        <v>0</v>
      </c>
      <c r="R256" s="2" t="inlineStr"/>
    </row>
    <row r="257" ht="15" customHeight="1">
      <c r="A257" t="inlineStr">
        <is>
          <t>A 29530-2025</t>
        </is>
      </c>
      <c r="B257" s="1" t="n">
        <v>45825.3443287037</v>
      </c>
      <c r="C257" s="1" t="n">
        <v>45990</v>
      </c>
      <c r="D257" t="inlineStr">
        <is>
          <t>NORRBOTTENS LÄN</t>
        </is>
      </c>
      <c r="E257" t="inlineStr">
        <is>
          <t>LULEÅ</t>
        </is>
      </c>
      <c r="F257" t="inlineStr">
        <is>
          <t>SCA</t>
        </is>
      </c>
      <c r="G257" t="n">
        <v>17.5</v>
      </c>
      <c r="H257" t="n">
        <v>0</v>
      </c>
      <c r="I257" t="n">
        <v>0</v>
      </c>
      <c r="J257" t="n">
        <v>0</v>
      </c>
      <c r="K257" t="n">
        <v>0</v>
      </c>
      <c r="L257" t="n">
        <v>0</v>
      </c>
      <c r="M257" t="n">
        <v>0</v>
      </c>
      <c r="N257" t="n">
        <v>0</v>
      </c>
      <c r="O257" t="n">
        <v>0</v>
      </c>
      <c r="P257" t="n">
        <v>0</v>
      </c>
      <c r="Q257" t="n">
        <v>0</v>
      </c>
      <c r="R257" s="2" t="inlineStr"/>
    </row>
    <row r="258" ht="15" customHeight="1">
      <c r="A258" t="inlineStr">
        <is>
          <t>A 49208-2024</t>
        </is>
      </c>
      <c r="B258" s="1" t="n">
        <v>45595.37256944444</v>
      </c>
      <c r="C258" s="1" t="n">
        <v>45990</v>
      </c>
      <c r="D258" t="inlineStr">
        <is>
          <t>NORRBOTTENS LÄN</t>
        </is>
      </c>
      <c r="E258" t="inlineStr">
        <is>
          <t>LULEÅ</t>
        </is>
      </c>
      <c r="G258" t="n">
        <v>5.2</v>
      </c>
      <c r="H258" t="n">
        <v>0</v>
      </c>
      <c r="I258" t="n">
        <v>0</v>
      </c>
      <c r="J258" t="n">
        <v>0</v>
      </c>
      <c r="K258" t="n">
        <v>0</v>
      </c>
      <c r="L258" t="n">
        <v>0</v>
      </c>
      <c r="M258" t="n">
        <v>0</v>
      </c>
      <c r="N258" t="n">
        <v>0</v>
      </c>
      <c r="O258" t="n">
        <v>0</v>
      </c>
      <c r="P258" t="n">
        <v>0</v>
      </c>
      <c r="Q258" t="n">
        <v>0</v>
      </c>
      <c r="R258" s="2" t="inlineStr"/>
    </row>
    <row r="259" ht="15" customHeight="1">
      <c r="A259" t="inlineStr">
        <is>
          <t>A 14337-2024</t>
        </is>
      </c>
      <c r="B259" s="1" t="n">
        <v>45393</v>
      </c>
      <c r="C259" s="1" t="n">
        <v>45990</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17125-2024</t>
        </is>
      </c>
      <c r="B260" s="1" t="n">
        <v>45412</v>
      </c>
      <c r="C260" s="1" t="n">
        <v>45990</v>
      </c>
      <c r="D260" t="inlineStr">
        <is>
          <t>NORRBOTTENS LÄN</t>
        </is>
      </c>
      <c r="E260" t="inlineStr">
        <is>
          <t>LULEÅ</t>
        </is>
      </c>
      <c r="G260" t="n">
        <v>2</v>
      </c>
      <c r="H260" t="n">
        <v>0</v>
      </c>
      <c r="I260" t="n">
        <v>0</v>
      </c>
      <c r="J260" t="n">
        <v>0</v>
      </c>
      <c r="K260" t="n">
        <v>0</v>
      </c>
      <c r="L260" t="n">
        <v>0</v>
      </c>
      <c r="M260" t="n">
        <v>0</v>
      </c>
      <c r="N260" t="n">
        <v>0</v>
      </c>
      <c r="O260" t="n">
        <v>0</v>
      </c>
      <c r="P260" t="n">
        <v>0</v>
      </c>
      <c r="Q260" t="n">
        <v>0</v>
      </c>
      <c r="R260" s="2" t="inlineStr"/>
    </row>
    <row r="261" ht="15" customHeight="1">
      <c r="A261" t="inlineStr">
        <is>
          <t>A 29375-2025</t>
        </is>
      </c>
      <c r="B261" s="1" t="n">
        <v>45824.58546296296</v>
      </c>
      <c r="C261" s="1" t="n">
        <v>45990</v>
      </c>
      <c r="D261" t="inlineStr">
        <is>
          <t>NORRBOTTENS LÄN</t>
        </is>
      </c>
      <c r="E261" t="inlineStr">
        <is>
          <t>LULEÅ</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30035-2025</t>
        </is>
      </c>
      <c r="B262" s="1" t="n">
        <v>45826.57041666667</v>
      </c>
      <c r="C262" s="1" t="n">
        <v>45990</v>
      </c>
      <c r="D262" t="inlineStr">
        <is>
          <t>NORRBOTTENS LÄN</t>
        </is>
      </c>
      <c r="E262" t="inlineStr">
        <is>
          <t>LULEÅ</t>
        </is>
      </c>
      <c r="G262" t="n">
        <v>16.6</v>
      </c>
      <c r="H262" t="n">
        <v>0</v>
      </c>
      <c r="I262" t="n">
        <v>0</v>
      </c>
      <c r="J262" t="n">
        <v>0</v>
      </c>
      <c r="K262" t="n">
        <v>0</v>
      </c>
      <c r="L262" t="n">
        <v>0</v>
      </c>
      <c r="M262" t="n">
        <v>0</v>
      </c>
      <c r="N262" t="n">
        <v>0</v>
      </c>
      <c r="O262" t="n">
        <v>0</v>
      </c>
      <c r="P262" t="n">
        <v>0</v>
      </c>
      <c r="Q262" t="n">
        <v>0</v>
      </c>
      <c r="R262" s="2" t="inlineStr"/>
    </row>
    <row r="263" ht="15" customHeight="1">
      <c r="A263" t="inlineStr">
        <is>
          <t>A 30784-2024</t>
        </is>
      </c>
      <c r="B263" s="1" t="n">
        <v>45496</v>
      </c>
      <c r="C263" s="1" t="n">
        <v>45990</v>
      </c>
      <c r="D263" t="inlineStr">
        <is>
          <t>NORRBOTTENS LÄN</t>
        </is>
      </c>
      <c r="E263" t="inlineStr">
        <is>
          <t>LULEÅ</t>
        </is>
      </c>
      <c r="F263" t="inlineStr">
        <is>
          <t>Naturvårdsverket</t>
        </is>
      </c>
      <c r="G263" t="n">
        <v>13.2</v>
      </c>
      <c r="H263" t="n">
        <v>0</v>
      </c>
      <c r="I263" t="n">
        <v>0</v>
      </c>
      <c r="J263" t="n">
        <v>0</v>
      </c>
      <c r="K263" t="n">
        <v>0</v>
      </c>
      <c r="L263" t="n">
        <v>0</v>
      </c>
      <c r="M263" t="n">
        <v>0</v>
      </c>
      <c r="N263" t="n">
        <v>0</v>
      </c>
      <c r="O263" t="n">
        <v>0</v>
      </c>
      <c r="P263" t="n">
        <v>0</v>
      </c>
      <c r="Q263" t="n">
        <v>0</v>
      </c>
      <c r="R263" s="2" t="inlineStr"/>
    </row>
    <row r="264" ht="15" customHeight="1">
      <c r="A264" t="inlineStr">
        <is>
          <t>A 30788-2024</t>
        </is>
      </c>
      <c r="B264" s="1" t="n">
        <v>45496</v>
      </c>
      <c r="C264" s="1" t="n">
        <v>45990</v>
      </c>
      <c r="D264" t="inlineStr">
        <is>
          <t>NORRBOTTENS LÄN</t>
        </is>
      </c>
      <c r="E264" t="inlineStr">
        <is>
          <t>LULEÅ</t>
        </is>
      </c>
      <c r="F264" t="inlineStr">
        <is>
          <t>Naturvårdsverket</t>
        </is>
      </c>
      <c r="G264" t="n">
        <v>6.7</v>
      </c>
      <c r="H264" t="n">
        <v>0</v>
      </c>
      <c r="I264" t="n">
        <v>0</v>
      </c>
      <c r="J264" t="n">
        <v>0</v>
      </c>
      <c r="K264" t="n">
        <v>0</v>
      </c>
      <c r="L264" t="n">
        <v>0</v>
      </c>
      <c r="M264" t="n">
        <v>0</v>
      </c>
      <c r="N264" t="n">
        <v>0</v>
      </c>
      <c r="O264" t="n">
        <v>0</v>
      </c>
      <c r="P264" t="n">
        <v>0</v>
      </c>
      <c r="Q264" t="n">
        <v>0</v>
      </c>
      <c r="R264" s="2" t="inlineStr"/>
    </row>
    <row r="265" ht="15" customHeight="1">
      <c r="A265" t="inlineStr">
        <is>
          <t>A 30091-2025</t>
        </is>
      </c>
      <c r="B265" s="1" t="n">
        <v>45826</v>
      </c>
      <c r="C265" s="1" t="n">
        <v>45990</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11834-2025</t>
        </is>
      </c>
      <c r="B266" s="1" t="n">
        <v>45727</v>
      </c>
      <c r="C266" s="1" t="n">
        <v>45990</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c r="U266">
        <f>HYPERLINK("https://klasma.github.io/Logging_2580/knärot/A 11834-2025 karta knärot.png", "A 11834-2025")</f>
        <v/>
      </c>
      <c r="V266">
        <f>HYPERLINK("https://klasma.github.io/Logging_2580/klagomål/A 11834-2025 FSC-klagomål.docx", "A 11834-2025")</f>
        <v/>
      </c>
      <c r="W266">
        <f>HYPERLINK("https://klasma.github.io/Logging_2580/klagomålsmail/A 11834-2025 FSC-klagomål mail.docx", "A 11834-2025")</f>
        <v/>
      </c>
      <c r="X266">
        <f>HYPERLINK("https://klasma.github.io/Logging_2580/tillsyn/A 11834-2025 tillsynsbegäran.docx", "A 11834-2025")</f>
        <v/>
      </c>
      <c r="Y266">
        <f>HYPERLINK("https://klasma.github.io/Logging_2580/tillsynsmail/A 11834-2025 tillsynsbegäran mail.docx", "A 11834-2025")</f>
        <v/>
      </c>
    </row>
    <row r="267" ht="15" customHeight="1">
      <c r="A267" t="inlineStr">
        <is>
          <t>A 42217-2025</t>
        </is>
      </c>
      <c r="B267" s="1" t="n">
        <v>45904.51274305556</v>
      </c>
      <c r="C267" s="1" t="n">
        <v>45990</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42218-2025</t>
        </is>
      </c>
      <c r="B268" s="1" t="n">
        <v>45904.51621527778</v>
      </c>
      <c r="C268" s="1" t="n">
        <v>45990</v>
      </c>
      <c r="D268" t="inlineStr">
        <is>
          <t>NORRBOTTENS LÄN</t>
        </is>
      </c>
      <c r="E268" t="inlineStr">
        <is>
          <t>LULEÅ</t>
        </is>
      </c>
      <c r="G268" t="n">
        <v>0.7</v>
      </c>
      <c r="H268" t="n">
        <v>0</v>
      </c>
      <c r="I268" t="n">
        <v>0</v>
      </c>
      <c r="J268" t="n">
        <v>0</v>
      </c>
      <c r="K268" t="n">
        <v>0</v>
      </c>
      <c r="L268" t="n">
        <v>0</v>
      </c>
      <c r="M268" t="n">
        <v>0</v>
      </c>
      <c r="N268" t="n">
        <v>0</v>
      </c>
      <c r="O268" t="n">
        <v>0</v>
      </c>
      <c r="P268" t="n">
        <v>0</v>
      </c>
      <c r="Q268" t="n">
        <v>0</v>
      </c>
      <c r="R268" s="2" t="inlineStr"/>
    </row>
    <row r="269" ht="15" customHeight="1">
      <c r="A269" t="inlineStr">
        <is>
          <t>A 29896-2025</t>
        </is>
      </c>
      <c r="B269" s="1" t="n">
        <v>45826.38290509259</v>
      </c>
      <c r="C269" s="1" t="n">
        <v>45990</v>
      </c>
      <c r="D269" t="inlineStr">
        <is>
          <t>NORRBOTTENS LÄN</t>
        </is>
      </c>
      <c r="E269" t="inlineStr">
        <is>
          <t>LULEÅ</t>
        </is>
      </c>
      <c r="G269" t="n">
        <v>17.9</v>
      </c>
      <c r="H269" t="n">
        <v>0</v>
      </c>
      <c r="I269" t="n">
        <v>0</v>
      </c>
      <c r="J269" t="n">
        <v>0</v>
      </c>
      <c r="K269" t="n">
        <v>0</v>
      </c>
      <c r="L269" t="n">
        <v>0</v>
      </c>
      <c r="M269" t="n">
        <v>0</v>
      </c>
      <c r="N269" t="n">
        <v>0</v>
      </c>
      <c r="O269" t="n">
        <v>0</v>
      </c>
      <c r="P269" t="n">
        <v>0</v>
      </c>
      <c r="Q269" t="n">
        <v>0</v>
      </c>
      <c r="R269" s="2" t="inlineStr"/>
    </row>
    <row r="270" ht="15" customHeight="1">
      <c r="A270" t="inlineStr">
        <is>
          <t>A 30241-2025</t>
        </is>
      </c>
      <c r="B270" s="1" t="n">
        <v>45827.40512731481</v>
      </c>
      <c r="C270" s="1" t="n">
        <v>45990</v>
      </c>
      <c r="D270" t="inlineStr">
        <is>
          <t>NORRBOTTENS LÄN</t>
        </is>
      </c>
      <c r="E270" t="inlineStr">
        <is>
          <t>LULEÅ</t>
        </is>
      </c>
      <c r="G270" t="n">
        <v>3</v>
      </c>
      <c r="H270" t="n">
        <v>0</v>
      </c>
      <c r="I270" t="n">
        <v>0</v>
      </c>
      <c r="J270" t="n">
        <v>0</v>
      </c>
      <c r="K270" t="n">
        <v>0</v>
      </c>
      <c r="L270" t="n">
        <v>0</v>
      </c>
      <c r="M270" t="n">
        <v>0</v>
      </c>
      <c r="N270" t="n">
        <v>0</v>
      </c>
      <c r="O270" t="n">
        <v>0</v>
      </c>
      <c r="P270" t="n">
        <v>0</v>
      </c>
      <c r="Q270" t="n">
        <v>0</v>
      </c>
      <c r="R270" s="2" t="inlineStr"/>
    </row>
    <row r="271" ht="15" customHeight="1">
      <c r="A271" t="inlineStr">
        <is>
          <t>A 2700-2025</t>
        </is>
      </c>
      <c r="B271" s="1" t="n">
        <v>45677.40685185185</v>
      </c>
      <c r="C271" s="1" t="n">
        <v>45990</v>
      </c>
      <c r="D271" t="inlineStr">
        <is>
          <t>NORRBOTTENS LÄN</t>
        </is>
      </c>
      <c r="E271" t="inlineStr">
        <is>
          <t>LULEÅ</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30059-2025</t>
        </is>
      </c>
      <c r="B272" s="1" t="n">
        <v>45826.61388888889</v>
      </c>
      <c r="C272" s="1" t="n">
        <v>45990</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30065-2025</t>
        </is>
      </c>
      <c r="B273" s="1" t="n">
        <v>45826.6207175926</v>
      </c>
      <c r="C273" s="1" t="n">
        <v>45990</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31465-2024</t>
        </is>
      </c>
      <c r="B274" s="1" t="n">
        <v>45505</v>
      </c>
      <c r="C274" s="1" t="n">
        <v>45990</v>
      </c>
      <c r="D274" t="inlineStr">
        <is>
          <t>NORRBOTTENS LÄN</t>
        </is>
      </c>
      <c r="E274" t="inlineStr">
        <is>
          <t>LULEÅ</t>
        </is>
      </c>
      <c r="F274" t="inlineStr">
        <is>
          <t>Naturvårdsverket</t>
        </is>
      </c>
      <c r="G274" t="n">
        <v>7.1</v>
      </c>
      <c r="H274" t="n">
        <v>0</v>
      </c>
      <c r="I274" t="n">
        <v>0</v>
      </c>
      <c r="J274" t="n">
        <v>0</v>
      </c>
      <c r="K274" t="n">
        <v>0</v>
      </c>
      <c r="L274" t="n">
        <v>0</v>
      </c>
      <c r="M274" t="n">
        <v>0</v>
      </c>
      <c r="N274" t="n">
        <v>0</v>
      </c>
      <c r="O274" t="n">
        <v>0</v>
      </c>
      <c r="P274" t="n">
        <v>0</v>
      </c>
      <c r="Q274" t="n">
        <v>0</v>
      </c>
      <c r="R274" s="2" t="inlineStr"/>
    </row>
    <row r="275" ht="15" customHeight="1">
      <c r="A275" t="inlineStr">
        <is>
          <t>A 30080-2025</t>
        </is>
      </c>
      <c r="B275" s="1" t="n">
        <v>45826.65047453704</v>
      </c>
      <c r="C275" s="1" t="n">
        <v>45990</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30245-2025</t>
        </is>
      </c>
      <c r="B276" s="1" t="n">
        <v>45827.4106712963</v>
      </c>
      <c r="C276" s="1" t="n">
        <v>45990</v>
      </c>
      <c r="D276" t="inlineStr">
        <is>
          <t>NORRBOTTENS LÄN</t>
        </is>
      </c>
      <c r="E276" t="inlineStr">
        <is>
          <t>LULEÅ</t>
        </is>
      </c>
      <c r="G276" t="n">
        <v>1.9</v>
      </c>
      <c r="H276" t="n">
        <v>0</v>
      </c>
      <c r="I276" t="n">
        <v>0</v>
      </c>
      <c r="J276" t="n">
        <v>0</v>
      </c>
      <c r="K276" t="n">
        <v>0</v>
      </c>
      <c r="L276" t="n">
        <v>0</v>
      </c>
      <c r="M276" t="n">
        <v>0</v>
      </c>
      <c r="N276" t="n">
        <v>0</v>
      </c>
      <c r="O276" t="n">
        <v>0</v>
      </c>
      <c r="P276" t="n">
        <v>0</v>
      </c>
      <c r="Q276" t="n">
        <v>0</v>
      </c>
      <c r="R276" s="2" t="inlineStr"/>
    </row>
    <row r="277" ht="15" customHeight="1">
      <c r="A277" t="inlineStr">
        <is>
          <t>A 30289-2023</t>
        </is>
      </c>
      <c r="B277" s="1" t="n">
        <v>45110</v>
      </c>
      <c r="C277" s="1" t="n">
        <v>45990</v>
      </c>
      <c r="D277" t="inlineStr">
        <is>
          <t>NORRBOTTENS LÄN</t>
        </is>
      </c>
      <c r="E277" t="inlineStr">
        <is>
          <t>LULEÅ</t>
        </is>
      </c>
      <c r="G277" t="n">
        <v>4.1</v>
      </c>
      <c r="H277" t="n">
        <v>0</v>
      </c>
      <c r="I277" t="n">
        <v>0</v>
      </c>
      <c r="J277" t="n">
        <v>0</v>
      </c>
      <c r="K277" t="n">
        <v>0</v>
      </c>
      <c r="L277" t="n">
        <v>0</v>
      </c>
      <c r="M277" t="n">
        <v>0</v>
      </c>
      <c r="N277" t="n">
        <v>0</v>
      </c>
      <c r="O277" t="n">
        <v>0</v>
      </c>
      <c r="P277" t="n">
        <v>0</v>
      </c>
      <c r="Q277" t="n">
        <v>0</v>
      </c>
      <c r="R277" s="2" t="inlineStr"/>
    </row>
    <row r="278" ht="15" customHeight="1">
      <c r="A278" t="inlineStr">
        <is>
          <t>A 30048-2025</t>
        </is>
      </c>
      <c r="B278" s="1" t="n">
        <v>45826.58424768518</v>
      </c>
      <c r="C278" s="1" t="n">
        <v>45990</v>
      </c>
      <c r="D278" t="inlineStr">
        <is>
          <t>NORRBOTTENS LÄN</t>
        </is>
      </c>
      <c r="E278" t="inlineStr">
        <is>
          <t>LULEÅ</t>
        </is>
      </c>
      <c r="G278" t="n">
        <v>0.7</v>
      </c>
      <c r="H278" t="n">
        <v>0</v>
      </c>
      <c r="I278" t="n">
        <v>0</v>
      </c>
      <c r="J278" t="n">
        <v>0</v>
      </c>
      <c r="K278" t="n">
        <v>0</v>
      </c>
      <c r="L278" t="n">
        <v>0</v>
      </c>
      <c r="M278" t="n">
        <v>0</v>
      </c>
      <c r="N278" t="n">
        <v>0</v>
      </c>
      <c r="O278" t="n">
        <v>0</v>
      </c>
      <c r="P278" t="n">
        <v>0</v>
      </c>
      <c r="Q278" t="n">
        <v>0</v>
      </c>
      <c r="R278" s="2" t="inlineStr"/>
    </row>
    <row r="279" ht="15" customHeight="1">
      <c r="A279" t="inlineStr">
        <is>
          <t>A 30052-2025</t>
        </is>
      </c>
      <c r="B279" s="1" t="n">
        <v>45826.59502314815</v>
      </c>
      <c r="C279" s="1" t="n">
        <v>45990</v>
      </c>
      <c r="D279" t="inlineStr">
        <is>
          <t>NORRBOTTENS LÄN</t>
        </is>
      </c>
      <c r="E279" t="inlineStr">
        <is>
          <t>LULEÅ</t>
        </is>
      </c>
      <c r="G279" t="n">
        <v>1.2</v>
      </c>
      <c r="H279" t="n">
        <v>0</v>
      </c>
      <c r="I279" t="n">
        <v>0</v>
      </c>
      <c r="J279" t="n">
        <v>0</v>
      </c>
      <c r="K279" t="n">
        <v>0</v>
      </c>
      <c r="L279" t="n">
        <v>0</v>
      </c>
      <c r="M279" t="n">
        <v>0</v>
      </c>
      <c r="N279" t="n">
        <v>0</v>
      </c>
      <c r="O279" t="n">
        <v>0</v>
      </c>
      <c r="P279" t="n">
        <v>0</v>
      </c>
      <c r="Q279" t="n">
        <v>0</v>
      </c>
      <c r="R279" s="2" t="inlineStr"/>
    </row>
    <row r="280" ht="15" customHeight="1">
      <c r="A280" t="inlineStr">
        <is>
          <t>A 51256-2025</t>
        </is>
      </c>
      <c r="B280" s="1" t="n">
        <v>45949.40681712963</v>
      </c>
      <c r="C280" s="1" t="n">
        <v>45990</v>
      </c>
      <c r="D280" t="inlineStr">
        <is>
          <t>NORRBOTTENS LÄN</t>
        </is>
      </c>
      <c r="E280" t="inlineStr">
        <is>
          <t>LULEÅ</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30237-2025</t>
        </is>
      </c>
      <c r="B281" s="1" t="n">
        <v>45827.39997685186</v>
      </c>
      <c r="C281" s="1" t="n">
        <v>45990</v>
      </c>
      <c r="D281" t="inlineStr">
        <is>
          <t>NORRBOTTENS LÄN</t>
        </is>
      </c>
      <c r="E281" t="inlineStr">
        <is>
          <t>LULEÅ</t>
        </is>
      </c>
      <c r="G281" t="n">
        <v>17.6</v>
      </c>
      <c r="H281" t="n">
        <v>0</v>
      </c>
      <c r="I281" t="n">
        <v>0</v>
      </c>
      <c r="J281" t="n">
        <v>0</v>
      </c>
      <c r="K281" t="n">
        <v>0</v>
      </c>
      <c r="L281" t="n">
        <v>0</v>
      </c>
      <c r="M281" t="n">
        <v>0</v>
      </c>
      <c r="N281" t="n">
        <v>0</v>
      </c>
      <c r="O281" t="n">
        <v>0</v>
      </c>
      <c r="P281" t="n">
        <v>0</v>
      </c>
      <c r="Q281" t="n">
        <v>0</v>
      </c>
      <c r="R281" s="2" t="inlineStr"/>
    </row>
    <row r="282" ht="15" customHeight="1">
      <c r="A282" t="inlineStr">
        <is>
          <t>A 30238-2025</t>
        </is>
      </c>
      <c r="B282" s="1" t="n">
        <v>45827.40238425926</v>
      </c>
      <c r="C282" s="1" t="n">
        <v>45990</v>
      </c>
      <c r="D282" t="inlineStr">
        <is>
          <t>NORRBOTTENS LÄN</t>
        </is>
      </c>
      <c r="E282" t="inlineStr">
        <is>
          <t>LULEÅ</t>
        </is>
      </c>
      <c r="G282" t="n">
        <v>10.2</v>
      </c>
      <c r="H282" t="n">
        <v>0</v>
      </c>
      <c r="I282" t="n">
        <v>0</v>
      </c>
      <c r="J282" t="n">
        <v>0</v>
      </c>
      <c r="K282" t="n">
        <v>0</v>
      </c>
      <c r="L282" t="n">
        <v>0</v>
      </c>
      <c r="M282" t="n">
        <v>0</v>
      </c>
      <c r="N282" t="n">
        <v>0</v>
      </c>
      <c r="O282" t="n">
        <v>0</v>
      </c>
      <c r="P282" t="n">
        <v>0</v>
      </c>
      <c r="Q282" t="n">
        <v>0</v>
      </c>
      <c r="R282" s="2" t="inlineStr"/>
    </row>
    <row r="283" ht="15" customHeight="1">
      <c r="A283" t="inlineStr">
        <is>
          <t>A 30056-2025</t>
        </is>
      </c>
      <c r="B283" s="1" t="n">
        <v>45826.6047800926</v>
      </c>
      <c r="C283" s="1" t="n">
        <v>45990</v>
      </c>
      <c r="D283" t="inlineStr">
        <is>
          <t>NORRBOTTENS LÄN</t>
        </is>
      </c>
      <c r="E283" t="inlineStr">
        <is>
          <t>LULEÅ</t>
        </is>
      </c>
      <c r="G283" t="n">
        <v>3.6</v>
      </c>
      <c r="H283" t="n">
        <v>0</v>
      </c>
      <c r="I283" t="n">
        <v>0</v>
      </c>
      <c r="J283" t="n">
        <v>0</v>
      </c>
      <c r="K283" t="n">
        <v>0</v>
      </c>
      <c r="L283" t="n">
        <v>0</v>
      </c>
      <c r="M283" t="n">
        <v>0</v>
      </c>
      <c r="N283" t="n">
        <v>0</v>
      </c>
      <c r="O283" t="n">
        <v>0</v>
      </c>
      <c r="P283" t="n">
        <v>0</v>
      </c>
      <c r="Q283" t="n">
        <v>0</v>
      </c>
      <c r="R283" s="2" t="inlineStr"/>
    </row>
    <row r="284" ht="15" customHeight="1">
      <c r="A284" t="inlineStr">
        <is>
          <t>A 54738-2024</t>
        </is>
      </c>
      <c r="B284" s="1" t="n">
        <v>45618.44334490741</v>
      </c>
      <c r="C284" s="1" t="n">
        <v>45990</v>
      </c>
      <c r="D284" t="inlineStr">
        <is>
          <t>NORRBOTTENS LÄN</t>
        </is>
      </c>
      <c r="E284" t="inlineStr">
        <is>
          <t>LULEÅ</t>
        </is>
      </c>
      <c r="G284" t="n">
        <v>4.7</v>
      </c>
      <c r="H284" t="n">
        <v>0</v>
      </c>
      <c r="I284" t="n">
        <v>0</v>
      </c>
      <c r="J284" t="n">
        <v>0</v>
      </c>
      <c r="K284" t="n">
        <v>0</v>
      </c>
      <c r="L284" t="n">
        <v>0</v>
      </c>
      <c r="M284" t="n">
        <v>0</v>
      </c>
      <c r="N284" t="n">
        <v>0</v>
      </c>
      <c r="O284" t="n">
        <v>0</v>
      </c>
      <c r="P284" t="n">
        <v>0</v>
      </c>
      <c r="Q284" t="n">
        <v>0</v>
      </c>
      <c r="R284" s="2" t="inlineStr"/>
    </row>
    <row r="285" ht="15" customHeight="1">
      <c r="A285" t="inlineStr">
        <is>
          <t>A 29975-2025</t>
        </is>
      </c>
      <c r="B285" s="1" t="n">
        <v>45826</v>
      </c>
      <c r="C285" s="1" t="n">
        <v>45990</v>
      </c>
      <c r="D285" t="inlineStr">
        <is>
          <t>NORRBOTTENS LÄN</t>
        </is>
      </c>
      <c r="E285" t="inlineStr">
        <is>
          <t>LULEÅ</t>
        </is>
      </c>
      <c r="F285" t="inlineStr">
        <is>
          <t>SCA</t>
        </is>
      </c>
      <c r="G285" t="n">
        <v>3.1</v>
      </c>
      <c r="H285" t="n">
        <v>0</v>
      </c>
      <c r="I285" t="n">
        <v>0</v>
      </c>
      <c r="J285" t="n">
        <v>0</v>
      </c>
      <c r="K285" t="n">
        <v>0</v>
      </c>
      <c r="L285" t="n">
        <v>0</v>
      </c>
      <c r="M285" t="n">
        <v>0</v>
      </c>
      <c r="N285" t="n">
        <v>0</v>
      </c>
      <c r="O285" t="n">
        <v>0</v>
      </c>
      <c r="P285" t="n">
        <v>0</v>
      </c>
      <c r="Q285" t="n">
        <v>0</v>
      </c>
      <c r="R285" s="2" t="inlineStr"/>
    </row>
    <row r="286" ht="15" customHeight="1">
      <c r="A286" t="inlineStr">
        <is>
          <t>A 30569-2025</t>
        </is>
      </c>
      <c r="B286" s="1" t="n">
        <v>45831</v>
      </c>
      <c r="C286" s="1" t="n">
        <v>45990</v>
      </c>
      <c r="D286" t="inlineStr">
        <is>
          <t>NORRBOTTENS LÄN</t>
        </is>
      </c>
      <c r="E286" t="inlineStr">
        <is>
          <t>LULEÅ</t>
        </is>
      </c>
      <c r="G286" t="n">
        <v>4.1</v>
      </c>
      <c r="H286" t="n">
        <v>0</v>
      </c>
      <c r="I286" t="n">
        <v>0</v>
      </c>
      <c r="J286" t="n">
        <v>0</v>
      </c>
      <c r="K286" t="n">
        <v>0</v>
      </c>
      <c r="L286" t="n">
        <v>0</v>
      </c>
      <c r="M286" t="n">
        <v>0</v>
      </c>
      <c r="N286" t="n">
        <v>0</v>
      </c>
      <c r="O286" t="n">
        <v>0</v>
      </c>
      <c r="P286" t="n">
        <v>0</v>
      </c>
      <c r="Q286" t="n">
        <v>0</v>
      </c>
      <c r="R286" s="2" t="inlineStr"/>
    </row>
    <row r="287" ht="15" customHeight="1">
      <c r="A287" t="inlineStr">
        <is>
          <t>A 30570-2025</t>
        </is>
      </c>
      <c r="B287" s="1" t="n">
        <v>45831.40694444445</v>
      </c>
      <c r="C287" s="1" t="n">
        <v>45990</v>
      </c>
      <c r="D287" t="inlineStr">
        <is>
          <t>NORRBOTTENS LÄN</t>
        </is>
      </c>
      <c r="E287" t="inlineStr">
        <is>
          <t>LULEÅ</t>
        </is>
      </c>
      <c r="G287" t="n">
        <v>4.8</v>
      </c>
      <c r="H287" t="n">
        <v>0</v>
      </c>
      <c r="I287" t="n">
        <v>0</v>
      </c>
      <c r="J287" t="n">
        <v>0</v>
      </c>
      <c r="K287" t="n">
        <v>0</v>
      </c>
      <c r="L287" t="n">
        <v>0</v>
      </c>
      <c r="M287" t="n">
        <v>0</v>
      </c>
      <c r="N287" t="n">
        <v>0</v>
      </c>
      <c r="O287" t="n">
        <v>0</v>
      </c>
      <c r="P287" t="n">
        <v>0</v>
      </c>
      <c r="Q287" t="n">
        <v>0</v>
      </c>
      <c r="R287" s="2" t="inlineStr"/>
    </row>
    <row r="288" ht="15" customHeight="1">
      <c r="A288" t="inlineStr">
        <is>
          <t>A 31025-2025</t>
        </is>
      </c>
      <c r="B288" s="1" t="n">
        <v>45831</v>
      </c>
      <c r="C288" s="1" t="n">
        <v>45990</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145-2025</t>
        </is>
      </c>
      <c r="B289" s="1" t="n">
        <v>45659.59091435185</v>
      </c>
      <c r="C289" s="1" t="n">
        <v>45990</v>
      </c>
      <c r="D289" t="inlineStr">
        <is>
          <t>NORRBOTTENS LÄN</t>
        </is>
      </c>
      <c r="E289" t="inlineStr">
        <is>
          <t>LULEÅ</t>
        </is>
      </c>
      <c r="G289" t="n">
        <v>1.4</v>
      </c>
      <c r="H289" t="n">
        <v>0</v>
      </c>
      <c r="I289" t="n">
        <v>0</v>
      </c>
      <c r="J289" t="n">
        <v>0</v>
      </c>
      <c r="K289" t="n">
        <v>0</v>
      </c>
      <c r="L289" t="n">
        <v>0</v>
      </c>
      <c r="M289" t="n">
        <v>0</v>
      </c>
      <c r="N289" t="n">
        <v>0</v>
      </c>
      <c r="O289" t="n">
        <v>0</v>
      </c>
      <c r="P289" t="n">
        <v>0</v>
      </c>
      <c r="Q289" t="n">
        <v>0</v>
      </c>
      <c r="R289" s="2" t="inlineStr"/>
    </row>
    <row r="290" ht="15" customHeight="1">
      <c r="A290" t="inlineStr">
        <is>
          <t>A 43115-2025</t>
        </is>
      </c>
      <c r="B290" s="1" t="n">
        <v>45909.66664351852</v>
      </c>
      <c r="C290" s="1" t="n">
        <v>45990</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43116-2025</t>
        </is>
      </c>
      <c r="B291" s="1" t="n">
        <v>45909.66799768519</v>
      </c>
      <c r="C291" s="1" t="n">
        <v>45990</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43112-2025</t>
        </is>
      </c>
      <c r="B292" s="1" t="n">
        <v>45909.66228009259</v>
      </c>
      <c r="C292" s="1" t="n">
        <v>45990</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43113-2025</t>
        </is>
      </c>
      <c r="B293" s="1" t="n">
        <v>45909.6640625</v>
      </c>
      <c r="C293" s="1" t="n">
        <v>45990</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51391-2025</t>
        </is>
      </c>
      <c r="B294" s="1" t="n">
        <v>45950.46918981482</v>
      </c>
      <c r="C294" s="1" t="n">
        <v>45990</v>
      </c>
      <c r="D294" t="inlineStr">
        <is>
          <t>NORRBOTTENS LÄN</t>
        </is>
      </c>
      <c r="E294" t="inlineStr">
        <is>
          <t>LULEÅ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50640-2024</t>
        </is>
      </c>
      <c r="B295" s="1" t="n">
        <v>45601.67827546296</v>
      </c>
      <c r="C295" s="1" t="n">
        <v>45990</v>
      </c>
      <c r="D295" t="inlineStr">
        <is>
          <t>NORRBOTTENS LÄN</t>
        </is>
      </c>
      <c r="E295" t="inlineStr">
        <is>
          <t>LULEÅ</t>
        </is>
      </c>
      <c r="G295" t="n">
        <v>3</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45990</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7168-2025</t>
        </is>
      </c>
      <c r="B297" s="1" t="n">
        <v>45702.40306712963</v>
      </c>
      <c r="C297" s="1" t="n">
        <v>45990</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5822-2025</t>
        </is>
      </c>
      <c r="B298" s="1" t="n">
        <v>45694</v>
      </c>
      <c r="C298" s="1" t="n">
        <v>45990</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32223-2025</t>
        </is>
      </c>
      <c r="B299" s="1" t="n">
        <v>45835.59313657408</v>
      </c>
      <c r="C299" s="1" t="n">
        <v>45990</v>
      </c>
      <c r="D299" t="inlineStr">
        <is>
          <t>NORRBOTTENS LÄN</t>
        </is>
      </c>
      <c r="E299" t="inlineStr">
        <is>
          <t>LULEÅ</t>
        </is>
      </c>
      <c r="G299" t="n">
        <v>6.3</v>
      </c>
      <c r="H299" t="n">
        <v>0</v>
      </c>
      <c r="I299" t="n">
        <v>0</v>
      </c>
      <c r="J299" t="n">
        <v>0</v>
      </c>
      <c r="K299" t="n">
        <v>0</v>
      </c>
      <c r="L299" t="n">
        <v>0</v>
      </c>
      <c r="M299" t="n">
        <v>0</v>
      </c>
      <c r="N299" t="n">
        <v>0</v>
      </c>
      <c r="O299" t="n">
        <v>0</v>
      </c>
      <c r="P299" t="n">
        <v>0</v>
      </c>
      <c r="Q299" t="n">
        <v>0</v>
      </c>
      <c r="R299" s="2" t="inlineStr"/>
    </row>
    <row r="300" ht="15" customHeight="1">
      <c r="A300" t="inlineStr">
        <is>
          <t>A 32255-2025</t>
        </is>
      </c>
      <c r="B300" s="1" t="n">
        <v>45835.63332175926</v>
      </c>
      <c r="C300" s="1" t="n">
        <v>45990</v>
      </c>
      <c r="D300" t="inlineStr">
        <is>
          <t>NORRBOTTENS LÄN</t>
        </is>
      </c>
      <c r="E300" t="inlineStr">
        <is>
          <t>LULEÅ</t>
        </is>
      </c>
      <c r="G300" t="n">
        <v>1.6</v>
      </c>
      <c r="H300" t="n">
        <v>0</v>
      </c>
      <c r="I300" t="n">
        <v>0</v>
      </c>
      <c r="J300" t="n">
        <v>0</v>
      </c>
      <c r="K300" t="n">
        <v>0</v>
      </c>
      <c r="L300" t="n">
        <v>0</v>
      </c>
      <c r="M300" t="n">
        <v>0</v>
      </c>
      <c r="N300" t="n">
        <v>0</v>
      </c>
      <c r="O300" t="n">
        <v>0</v>
      </c>
      <c r="P300" t="n">
        <v>0</v>
      </c>
      <c r="Q300" t="n">
        <v>0</v>
      </c>
      <c r="R300" s="2" t="inlineStr"/>
    </row>
    <row r="301" ht="15" customHeight="1">
      <c r="A301" t="inlineStr">
        <is>
          <t>A 32127-2025</t>
        </is>
      </c>
      <c r="B301" s="1" t="n">
        <v>45835.49930555555</v>
      </c>
      <c r="C301" s="1" t="n">
        <v>45990</v>
      </c>
      <c r="D301" t="inlineStr">
        <is>
          <t>NORRBOTTENS LÄN</t>
        </is>
      </c>
      <c r="E301" t="inlineStr">
        <is>
          <t>LULEÅ</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51902-2025</t>
        </is>
      </c>
      <c r="B302" s="1" t="n">
        <v>45952.44763888889</v>
      </c>
      <c r="C302" s="1" t="n">
        <v>45990</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31620-2025</t>
        </is>
      </c>
      <c r="B303" s="1" t="n">
        <v>45833.87428240741</v>
      </c>
      <c r="C303" s="1" t="n">
        <v>45990</v>
      </c>
      <c r="D303" t="inlineStr">
        <is>
          <t>NORRBOTTENS LÄN</t>
        </is>
      </c>
      <c r="E303" t="inlineStr">
        <is>
          <t>LULEÅ</t>
        </is>
      </c>
      <c r="G303" t="n">
        <v>7.7</v>
      </c>
      <c r="H303" t="n">
        <v>0</v>
      </c>
      <c r="I303" t="n">
        <v>0</v>
      </c>
      <c r="J303" t="n">
        <v>0</v>
      </c>
      <c r="K303" t="n">
        <v>0</v>
      </c>
      <c r="L303" t="n">
        <v>0</v>
      </c>
      <c r="M303" t="n">
        <v>0</v>
      </c>
      <c r="N303" t="n">
        <v>0</v>
      </c>
      <c r="O303" t="n">
        <v>0</v>
      </c>
      <c r="P303" t="n">
        <v>0</v>
      </c>
      <c r="Q303" t="n">
        <v>0</v>
      </c>
      <c r="R303" s="2" t="inlineStr"/>
    </row>
    <row r="304" ht="15" customHeight="1">
      <c r="A304" t="inlineStr">
        <is>
          <t>A 32154-2025</t>
        </is>
      </c>
      <c r="B304" s="1" t="n">
        <v>45835.53480324074</v>
      </c>
      <c r="C304" s="1" t="n">
        <v>45990</v>
      </c>
      <c r="D304" t="inlineStr">
        <is>
          <t>NORRBOTTENS LÄN</t>
        </is>
      </c>
      <c r="E304" t="inlineStr">
        <is>
          <t>LULEÅ</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32264-2025</t>
        </is>
      </c>
      <c r="B305" s="1" t="n">
        <v>45835.64934027778</v>
      </c>
      <c r="C305" s="1" t="n">
        <v>45990</v>
      </c>
      <c r="D305" t="inlineStr">
        <is>
          <t>NORRBOTTENS LÄN</t>
        </is>
      </c>
      <c r="E305" t="inlineStr">
        <is>
          <t>LULEÅ</t>
        </is>
      </c>
      <c r="G305" t="n">
        <v>1</v>
      </c>
      <c r="H305" t="n">
        <v>0</v>
      </c>
      <c r="I305" t="n">
        <v>0</v>
      </c>
      <c r="J305" t="n">
        <v>0</v>
      </c>
      <c r="K305" t="n">
        <v>0</v>
      </c>
      <c r="L305" t="n">
        <v>0</v>
      </c>
      <c r="M305" t="n">
        <v>0</v>
      </c>
      <c r="N305" t="n">
        <v>0</v>
      </c>
      <c r="O305" t="n">
        <v>0</v>
      </c>
      <c r="P305" t="n">
        <v>0</v>
      </c>
      <c r="Q305" t="n">
        <v>0</v>
      </c>
      <c r="R305" s="2" t="inlineStr"/>
    </row>
    <row r="306" ht="15" customHeight="1">
      <c r="A306" t="inlineStr">
        <is>
          <t>A 2006-2023</t>
        </is>
      </c>
      <c r="B306" s="1" t="n">
        <v>44937</v>
      </c>
      <c r="C306" s="1" t="n">
        <v>45990</v>
      </c>
      <c r="D306" t="inlineStr">
        <is>
          <t>NORRBOTTENS LÄN</t>
        </is>
      </c>
      <c r="E306" t="inlineStr">
        <is>
          <t>LULEÅ</t>
        </is>
      </c>
      <c r="G306" t="n">
        <v>0.4</v>
      </c>
      <c r="H306" t="n">
        <v>0</v>
      </c>
      <c r="I306" t="n">
        <v>0</v>
      </c>
      <c r="J306" t="n">
        <v>0</v>
      </c>
      <c r="K306" t="n">
        <v>0</v>
      </c>
      <c r="L306" t="n">
        <v>0</v>
      </c>
      <c r="M306" t="n">
        <v>0</v>
      </c>
      <c r="N306" t="n">
        <v>0</v>
      </c>
      <c r="O306" t="n">
        <v>0</v>
      </c>
      <c r="P306" t="n">
        <v>0</v>
      </c>
      <c r="Q306" t="n">
        <v>0</v>
      </c>
      <c r="R306" s="2" t="inlineStr"/>
    </row>
    <row r="307" ht="15" customHeight="1">
      <c r="A307" t="inlineStr">
        <is>
          <t>A 32253-2025</t>
        </is>
      </c>
      <c r="B307" s="1" t="n">
        <v>45835.63008101852</v>
      </c>
      <c r="C307" s="1" t="n">
        <v>45990</v>
      </c>
      <c r="D307" t="inlineStr">
        <is>
          <t>NORRBOTTENS LÄN</t>
        </is>
      </c>
      <c r="E307" t="inlineStr">
        <is>
          <t>LULEÅ</t>
        </is>
      </c>
      <c r="G307" t="n">
        <v>7.4</v>
      </c>
      <c r="H307" t="n">
        <v>0</v>
      </c>
      <c r="I307" t="n">
        <v>0</v>
      </c>
      <c r="J307" t="n">
        <v>0</v>
      </c>
      <c r="K307" t="n">
        <v>0</v>
      </c>
      <c r="L307" t="n">
        <v>0</v>
      </c>
      <c r="M307" t="n">
        <v>0</v>
      </c>
      <c r="N307" t="n">
        <v>0</v>
      </c>
      <c r="O307" t="n">
        <v>0</v>
      </c>
      <c r="P307" t="n">
        <v>0</v>
      </c>
      <c r="Q307" t="n">
        <v>0</v>
      </c>
      <c r="R307" s="2" t="inlineStr"/>
    </row>
    <row r="308" ht="15" customHeight="1">
      <c r="A308" t="inlineStr">
        <is>
          <t>A 37820-2022</t>
        </is>
      </c>
      <c r="B308" s="1" t="n">
        <v>44810</v>
      </c>
      <c r="C308" s="1" t="n">
        <v>45990</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32260-2025</t>
        </is>
      </c>
      <c r="B309" s="1" t="n">
        <v>45835.64260416666</v>
      </c>
      <c r="C309" s="1" t="n">
        <v>45990</v>
      </c>
      <c r="D309" t="inlineStr">
        <is>
          <t>NORRBOTTENS LÄN</t>
        </is>
      </c>
      <c r="E309" t="inlineStr">
        <is>
          <t>LULEÅ</t>
        </is>
      </c>
      <c r="G309" t="n">
        <v>0.7</v>
      </c>
      <c r="H309" t="n">
        <v>0</v>
      </c>
      <c r="I309" t="n">
        <v>0</v>
      </c>
      <c r="J309" t="n">
        <v>0</v>
      </c>
      <c r="K309" t="n">
        <v>0</v>
      </c>
      <c r="L309" t="n">
        <v>0</v>
      </c>
      <c r="M309" t="n">
        <v>0</v>
      </c>
      <c r="N309" t="n">
        <v>0</v>
      </c>
      <c r="O309" t="n">
        <v>0</v>
      </c>
      <c r="P309" t="n">
        <v>0</v>
      </c>
      <c r="Q309" t="n">
        <v>0</v>
      </c>
      <c r="R309" s="2" t="inlineStr"/>
    </row>
    <row r="310" ht="15" customHeight="1">
      <c r="A310" t="inlineStr">
        <is>
          <t>A 32460-2025</t>
        </is>
      </c>
      <c r="B310" s="1" t="n">
        <v>45838.41540509259</v>
      </c>
      <c r="C310" s="1" t="n">
        <v>45990</v>
      </c>
      <c r="D310" t="inlineStr">
        <is>
          <t>NORRBOTTENS LÄN</t>
        </is>
      </c>
      <c r="E310" t="inlineStr">
        <is>
          <t>LULEÅ</t>
        </is>
      </c>
      <c r="G310" t="n">
        <v>2.9</v>
      </c>
      <c r="H310" t="n">
        <v>0</v>
      </c>
      <c r="I310" t="n">
        <v>0</v>
      </c>
      <c r="J310" t="n">
        <v>0</v>
      </c>
      <c r="K310" t="n">
        <v>0</v>
      </c>
      <c r="L310" t="n">
        <v>0</v>
      </c>
      <c r="M310" t="n">
        <v>0</v>
      </c>
      <c r="N310" t="n">
        <v>0</v>
      </c>
      <c r="O310" t="n">
        <v>0</v>
      </c>
      <c r="P310" t="n">
        <v>0</v>
      </c>
      <c r="Q310" t="n">
        <v>0</v>
      </c>
      <c r="R310" s="2" t="inlineStr"/>
    </row>
    <row r="311" ht="15" customHeight="1">
      <c r="A311" t="inlineStr">
        <is>
          <t>A 43182-2025</t>
        </is>
      </c>
      <c r="B311" s="1" t="n">
        <v>45910.40729166667</v>
      </c>
      <c r="C311" s="1" t="n">
        <v>45990</v>
      </c>
      <c r="D311" t="inlineStr">
        <is>
          <t>NORRBOTTENS LÄN</t>
        </is>
      </c>
      <c r="E311" t="inlineStr">
        <is>
          <t>LULEÅ</t>
        </is>
      </c>
      <c r="G311" t="n">
        <v>17.7</v>
      </c>
      <c r="H311" t="n">
        <v>0</v>
      </c>
      <c r="I311" t="n">
        <v>0</v>
      </c>
      <c r="J311" t="n">
        <v>0</v>
      </c>
      <c r="K311" t="n">
        <v>0</v>
      </c>
      <c r="L311" t="n">
        <v>0</v>
      </c>
      <c r="M311" t="n">
        <v>0</v>
      </c>
      <c r="N311" t="n">
        <v>0</v>
      </c>
      <c r="O311" t="n">
        <v>0</v>
      </c>
      <c r="P311" t="n">
        <v>0</v>
      </c>
      <c r="Q311" t="n">
        <v>0</v>
      </c>
      <c r="R311" s="2" t="inlineStr"/>
    </row>
    <row r="312" ht="15" customHeight="1">
      <c r="A312" t="inlineStr">
        <is>
          <t>A 32462-2025</t>
        </is>
      </c>
      <c r="B312" s="1" t="n">
        <v>45838.41660879629</v>
      </c>
      <c r="C312" s="1" t="n">
        <v>45990</v>
      </c>
      <c r="D312" t="inlineStr">
        <is>
          <t>NORRBOTTENS LÄN</t>
        </is>
      </c>
      <c r="E312" t="inlineStr">
        <is>
          <t>LULEÅ</t>
        </is>
      </c>
      <c r="G312" t="n">
        <v>2.6</v>
      </c>
      <c r="H312" t="n">
        <v>0</v>
      </c>
      <c r="I312" t="n">
        <v>0</v>
      </c>
      <c r="J312" t="n">
        <v>0</v>
      </c>
      <c r="K312" t="n">
        <v>0</v>
      </c>
      <c r="L312" t="n">
        <v>0</v>
      </c>
      <c r="M312" t="n">
        <v>0</v>
      </c>
      <c r="N312" t="n">
        <v>0</v>
      </c>
      <c r="O312" t="n">
        <v>0</v>
      </c>
      <c r="P312" t="n">
        <v>0</v>
      </c>
      <c r="Q312" t="n">
        <v>0</v>
      </c>
      <c r="R312" s="2" t="inlineStr"/>
    </row>
    <row r="313" ht="15" customHeight="1">
      <c r="A313" t="inlineStr">
        <is>
          <t>A 52319-2025</t>
        </is>
      </c>
      <c r="B313" s="1" t="n">
        <v>45953.65697916667</v>
      </c>
      <c r="C313" s="1" t="n">
        <v>45990</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53624-2023</t>
        </is>
      </c>
      <c r="B314" s="1" t="n">
        <v>45224</v>
      </c>
      <c r="C314" s="1" t="n">
        <v>45990</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64240-2023</t>
        </is>
      </c>
      <c r="B315" s="1" t="n">
        <v>45279</v>
      </c>
      <c r="C315" s="1" t="n">
        <v>45990</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52684-2025</t>
        </is>
      </c>
      <c r="B316" s="1" t="n">
        <v>45956.34519675926</v>
      </c>
      <c r="C316" s="1" t="n">
        <v>45990</v>
      </c>
      <c r="D316" t="inlineStr">
        <is>
          <t>NORRBOTTENS LÄN</t>
        </is>
      </c>
      <c r="E316" t="inlineStr">
        <is>
          <t>LULEÅ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32458-2025</t>
        </is>
      </c>
      <c r="B317" s="1" t="n">
        <v>45838.41445601852</v>
      </c>
      <c r="C317" s="1" t="n">
        <v>45990</v>
      </c>
      <c r="D317" t="inlineStr">
        <is>
          <t>NORRBOTTENS LÄN</t>
        </is>
      </c>
      <c r="E317" t="inlineStr">
        <is>
          <t>LULEÅ</t>
        </is>
      </c>
      <c r="G317" t="n">
        <v>10.8</v>
      </c>
      <c r="H317" t="n">
        <v>0</v>
      </c>
      <c r="I317" t="n">
        <v>0</v>
      </c>
      <c r="J317" t="n">
        <v>0</v>
      </c>
      <c r="K317" t="n">
        <v>0</v>
      </c>
      <c r="L317" t="n">
        <v>0</v>
      </c>
      <c r="M317" t="n">
        <v>0</v>
      </c>
      <c r="N317" t="n">
        <v>0</v>
      </c>
      <c r="O317" t="n">
        <v>0</v>
      </c>
      <c r="P317" t="n">
        <v>0</v>
      </c>
      <c r="Q317" t="n">
        <v>0</v>
      </c>
      <c r="R317" s="2" t="inlineStr"/>
    </row>
    <row r="318" ht="15" customHeight="1">
      <c r="A318" t="inlineStr">
        <is>
          <t>A 33692-2025</t>
        </is>
      </c>
      <c r="B318" s="1" t="n">
        <v>45841.69819444444</v>
      </c>
      <c r="C318" s="1" t="n">
        <v>45990</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11982-2023</t>
        </is>
      </c>
      <c r="B319" s="1" t="n">
        <v>44994</v>
      </c>
      <c r="C319" s="1" t="n">
        <v>45990</v>
      </c>
      <c r="D319" t="inlineStr">
        <is>
          <t>NORRBOTTENS LÄN</t>
        </is>
      </c>
      <c r="E319" t="inlineStr">
        <is>
          <t>LULEÅ</t>
        </is>
      </c>
      <c r="G319" t="n">
        <v>0.7</v>
      </c>
      <c r="H319" t="n">
        <v>0</v>
      </c>
      <c r="I319" t="n">
        <v>0</v>
      </c>
      <c r="J319" t="n">
        <v>0</v>
      </c>
      <c r="K319" t="n">
        <v>0</v>
      </c>
      <c r="L319" t="n">
        <v>0</v>
      </c>
      <c r="M319" t="n">
        <v>0</v>
      </c>
      <c r="N319" t="n">
        <v>0</v>
      </c>
      <c r="O319" t="n">
        <v>0</v>
      </c>
      <c r="P319" t="n">
        <v>0</v>
      </c>
      <c r="Q319" t="n">
        <v>0</v>
      </c>
      <c r="R319" s="2" t="inlineStr"/>
    </row>
    <row r="320" ht="15" customHeight="1">
      <c r="A320" t="inlineStr">
        <is>
          <t>A 44006-2025</t>
        </is>
      </c>
      <c r="B320" s="1" t="n">
        <v>45915</v>
      </c>
      <c r="C320" s="1" t="n">
        <v>45990</v>
      </c>
      <c r="D320" t="inlineStr">
        <is>
          <t>NORRBOTTENS LÄN</t>
        </is>
      </c>
      <c r="E320" t="inlineStr">
        <is>
          <t>LULEÅ</t>
        </is>
      </c>
      <c r="G320" t="n">
        <v>2.9</v>
      </c>
      <c r="H320" t="n">
        <v>0</v>
      </c>
      <c r="I320" t="n">
        <v>0</v>
      </c>
      <c r="J320" t="n">
        <v>0</v>
      </c>
      <c r="K320" t="n">
        <v>0</v>
      </c>
      <c r="L320" t="n">
        <v>0</v>
      </c>
      <c r="M320" t="n">
        <v>0</v>
      </c>
      <c r="N320" t="n">
        <v>0</v>
      </c>
      <c r="O320" t="n">
        <v>0</v>
      </c>
      <c r="P320" t="n">
        <v>0</v>
      </c>
      <c r="Q320" t="n">
        <v>0</v>
      </c>
      <c r="R320" s="2" t="inlineStr"/>
    </row>
    <row r="321" ht="15" customHeight="1">
      <c r="A321" t="inlineStr">
        <is>
          <t>A 55195-2022</t>
        </is>
      </c>
      <c r="B321" s="1" t="n">
        <v>44886</v>
      </c>
      <c r="C321" s="1" t="n">
        <v>45990</v>
      </c>
      <c r="D321" t="inlineStr">
        <is>
          <t>NORRBOTTENS LÄN</t>
        </is>
      </c>
      <c r="E321" t="inlineStr">
        <is>
          <t>LULEÅ</t>
        </is>
      </c>
      <c r="G321" t="n">
        <v>0.4</v>
      </c>
      <c r="H321" t="n">
        <v>0</v>
      </c>
      <c r="I321" t="n">
        <v>0</v>
      </c>
      <c r="J321" t="n">
        <v>0</v>
      </c>
      <c r="K321" t="n">
        <v>0</v>
      </c>
      <c r="L321" t="n">
        <v>0</v>
      </c>
      <c r="M321" t="n">
        <v>0</v>
      </c>
      <c r="N321" t="n">
        <v>0</v>
      </c>
      <c r="O321" t="n">
        <v>0</v>
      </c>
      <c r="P321" t="n">
        <v>0</v>
      </c>
      <c r="Q321" t="n">
        <v>0</v>
      </c>
      <c r="R321" s="2" t="inlineStr"/>
    </row>
    <row r="322" ht="15" customHeight="1">
      <c r="A322" t="inlineStr">
        <is>
          <t>A 48412-2023</t>
        </is>
      </c>
      <c r="B322" s="1" t="n">
        <v>45205</v>
      </c>
      <c r="C322" s="1" t="n">
        <v>45990</v>
      </c>
      <c r="D322" t="inlineStr">
        <is>
          <t>NORRBOTTENS LÄN</t>
        </is>
      </c>
      <c r="E322" t="inlineStr">
        <is>
          <t>LULEÅ</t>
        </is>
      </c>
      <c r="G322" t="n">
        <v>45.8</v>
      </c>
      <c r="H322" t="n">
        <v>0</v>
      </c>
      <c r="I322" t="n">
        <v>0</v>
      </c>
      <c r="J322" t="n">
        <v>0</v>
      </c>
      <c r="K322" t="n">
        <v>0</v>
      </c>
      <c r="L322" t="n">
        <v>0</v>
      </c>
      <c r="M322" t="n">
        <v>0</v>
      </c>
      <c r="N322" t="n">
        <v>0</v>
      </c>
      <c r="O322" t="n">
        <v>0</v>
      </c>
      <c r="P322" t="n">
        <v>0</v>
      </c>
      <c r="Q322" t="n">
        <v>0</v>
      </c>
      <c r="R322" s="2" t="inlineStr"/>
    </row>
    <row r="323" ht="15" customHeight="1">
      <c r="A323" t="inlineStr">
        <is>
          <t>A 8228-2024</t>
        </is>
      </c>
      <c r="B323" s="1" t="n">
        <v>45351</v>
      </c>
      <c r="C323" s="1" t="n">
        <v>45990</v>
      </c>
      <c r="D323" t="inlineStr">
        <is>
          <t>NORRBOTTENS LÄN</t>
        </is>
      </c>
      <c r="E323" t="inlineStr">
        <is>
          <t>LULEÅ</t>
        </is>
      </c>
      <c r="G323" t="n">
        <v>10.1</v>
      </c>
      <c r="H323" t="n">
        <v>0</v>
      </c>
      <c r="I323" t="n">
        <v>0</v>
      </c>
      <c r="J323" t="n">
        <v>0</v>
      </c>
      <c r="K323" t="n">
        <v>0</v>
      </c>
      <c r="L323" t="n">
        <v>0</v>
      </c>
      <c r="M323" t="n">
        <v>0</v>
      </c>
      <c r="N323" t="n">
        <v>0</v>
      </c>
      <c r="O323" t="n">
        <v>0</v>
      </c>
      <c r="P323" t="n">
        <v>0</v>
      </c>
      <c r="Q323" t="n">
        <v>0</v>
      </c>
      <c r="R323" s="2" t="inlineStr"/>
    </row>
    <row r="324" ht="15" customHeight="1">
      <c r="A324" t="inlineStr">
        <is>
          <t>A 58469-2024</t>
        </is>
      </c>
      <c r="B324" s="1" t="n">
        <v>45632</v>
      </c>
      <c r="C324" s="1" t="n">
        <v>45990</v>
      </c>
      <c r="D324" t="inlineStr">
        <is>
          <t>NORRBOTTENS LÄN</t>
        </is>
      </c>
      <c r="E324" t="inlineStr">
        <is>
          <t>LULEÅ</t>
        </is>
      </c>
      <c r="G324" t="n">
        <v>9</v>
      </c>
      <c r="H324" t="n">
        <v>0</v>
      </c>
      <c r="I324" t="n">
        <v>0</v>
      </c>
      <c r="J324" t="n">
        <v>0</v>
      </c>
      <c r="K324" t="n">
        <v>0</v>
      </c>
      <c r="L324" t="n">
        <v>0</v>
      </c>
      <c r="M324" t="n">
        <v>0</v>
      </c>
      <c r="N324" t="n">
        <v>0</v>
      </c>
      <c r="O324" t="n">
        <v>0</v>
      </c>
      <c r="P324" t="n">
        <v>0</v>
      </c>
      <c r="Q324" t="n">
        <v>0</v>
      </c>
      <c r="R324" s="2" t="inlineStr"/>
    </row>
    <row r="325" ht="15" customHeight="1">
      <c r="A325" t="inlineStr">
        <is>
          <t>A 43955-2025</t>
        </is>
      </c>
      <c r="B325" s="1" t="n">
        <v>45915</v>
      </c>
      <c r="C325" s="1" t="n">
        <v>45990</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33608-2025</t>
        </is>
      </c>
      <c r="B326" s="1" t="n">
        <v>45841.61747685185</v>
      </c>
      <c r="C326" s="1" t="n">
        <v>45990</v>
      </c>
      <c r="D326" t="inlineStr">
        <is>
          <t>NORRBOTTENS LÄN</t>
        </is>
      </c>
      <c r="E326" t="inlineStr">
        <is>
          <t>LULEÅ</t>
        </is>
      </c>
      <c r="G326" t="n">
        <v>3.8</v>
      </c>
      <c r="H326" t="n">
        <v>0</v>
      </c>
      <c r="I326" t="n">
        <v>0</v>
      </c>
      <c r="J326" t="n">
        <v>0</v>
      </c>
      <c r="K326" t="n">
        <v>0</v>
      </c>
      <c r="L326" t="n">
        <v>0</v>
      </c>
      <c r="M326" t="n">
        <v>0</v>
      </c>
      <c r="N326" t="n">
        <v>0</v>
      </c>
      <c r="O326" t="n">
        <v>0</v>
      </c>
      <c r="P326" t="n">
        <v>0</v>
      </c>
      <c r="Q326" t="n">
        <v>0</v>
      </c>
      <c r="R326" s="2" t="inlineStr"/>
    </row>
    <row r="327" ht="15" customHeight="1">
      <c r="A327" t="inlineStr">
        <is>
          <t>A 53002-2025</t>
        </is>
      </c>
      <c r="B327" s="1" t="n">
        <v>45957</v>
      </c>
      <c r="C327" s="1" t="n">
        <v>45990</v>
      </c>
      <c r="D327" t="inlineStr">
        <is>
          <t>NORRBOTTENS LÄN</t>
        </is>
      </c>
      <c r="E327" t="inlineStr">
        <is>
          <t>LULEÅ</t>
        </is>
      </c>
      <c r="G327" t="n">
        <v>19.7</v>
      </c>
      <c r="H327" t="n">
        <v>0</v>
      </c>
      <c r="I327" t="n">
        <v>0</v>
      </c>
      <c r="J327" t="n">
        <v>0</v>
      </c>
      <c r="K327" t="n">
        <v>0</v>
      </c>
      <c r="L327" t="n">
        <v>0</v>
      </c>
      <c r="M327" t="n">
        <v>0</v>
      </c>
      <c r="N327" t="n">
        <v>0</v>
      </c>
      <c r="O327" t="n">
        <v>0</v>
      </c>
      <c r="P327" t="n">
        <v>0</v>
      </c>
      <c r="Q327" t="n">
        <v>0</v>
      </c>
      <c r="R327" s="2" t="inlineStr"/>
    </row>
    <row r="328" ht="15" customHeight="1">
      <c r="A328" t="inlineStr">
        <is>
          <t>A 58827-2024</t>
        </is>
      </c>
      <c r="B328" s="1" t="n">
        <v>45635</v>
      </c>
      <c r="C328" s="1" t="n">
        <v>45990</v>
      </c>
      <c r="D328" t="inlineStr">
        <is>
          <t>NORRBOTTENS LÄN</t>
        </is>
      </c>
      <c r="E328" t="inlineStr">
        <is>
          <t>LULEÅ</t>
        </is>
      </c>
      <c r="G328" t="n">
        <v>0.9</v>
      </c>
      <c r="H328" t="n">
        <v>0</v>
      </c>
      <c r="I328" t="n">
        <v>0</v>
      </c>
      <c r="J328" t="n">
        <v>0</v>
      </c>
      <c r="K328" t="n">
        <v>0</v>
      </c>
      <c r="L328" t="n">
        <v>0</v>
      </c>
      <c r="M328" t="n">
        <v>0</v>
      </c>
      <c r="N328" t="n">
        <v>0</v>
      </c>
      <c r="O328" t="n">
        <v>0</v>
      </c>
      <c r="P328" t="n">
        <v>0</v>
      </c>
      <c r="Q328" t="n">
        <v>0</v>
      </c>
      <c r="R328" s="2" t="inlineStr"/>
    </row>
    <row r="329" ht="15" customHeight="1">
      <c r="A329" t="inlineStr">
        <is>
          <t>A 33651-2025</t>
        </is>
      </c>
      <c r="B329" s="1" t="n">
        <v>45841.65722222222</v>
      </c>
      <c r="C329" s="1" t="n">
        <v>45990</v>
      </c>
      <c r="D329" t="inlineStr">
        <is>
          <t>NORRBOTTENS LÄN</t>
        </is>
      </c>
      <c r="E329" t="inlineStr">
        <is>
          <t>LULEÅ</t>
        </is>
      </c>
      <c r="G329" t="n">
        <v>15.5</v>
      </c>
      <c r="H329" t="n">
        <v>0</v>
      </c>
      <c r="I329" t="n">
        <v>0</v>
      </c>
      <c r="J329" t="n">
        <v>0</v>
      </c>
      <c r="K329" t="n">
        <v>0</v>
      </c>
      <c r="L329" t="n">
        <v>0</v>
      </c>
      <c r="M329" t="n">
        <v>0</v>
      </c>
      <c r="N329" t="n">
        <v>0</v>
      </c>
      <c r="O329" t="n">
        <v>0</v>
      </c>
      <c r="P329" t="n">
        <v>0</v>
      </c>
      <c r="Q329" t="n">
        <v>0</v>
      </c>
      <c r="R329" s="2" t="inlineStr"/>
    </row>
    <row r="330" ht="15" customHeight="1">
      <c r="A330" t="inlineStr">
        <is>
          <t>A 43953-2025</t>
        </is>
      </c>
      <c r="B330" s="1" t="n">
        <v>45915.38332175926</v>
      </c>
      <c r="C330" s="1" t="n">
        <v>45990</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52678-2025</t>
        </is>
      </c>
      <c r="B331" s="1" t="n">
        <v>45956.34459490741</v>
      </c>
      <c r="C331" s="1" t="n">
        <v>45990</v>
      </c>
      <c r="D331" t="inlineStr">
        <is>
          <t>NORRBOTTENS LÄN</t>
        </is>
      </c>
      <c r="E331" t="inlineStr">
        <is>
          <t>LULEÅ</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30358-2023</t>
        </is>
      </c>
      <c r="B332" s="1" t="n">
        <v>45111</v>
      </c>
      <c r="C332" s="1" t="n">
        <v>45990</v>
      </c>
      <c r="D332" t="inlineStr">
        <is>
          <t>NORRBOTTENS LÄN</t>
        </is>
      </c>
      <c r="E332" t="inlineStr">
        <is>
          <t>LULEÅ</t>
        </is>
      </c>
      <c r="G332" t="n">
        <v>3.9</v>
      </c>
      <c r="H332" t="n">
        <v>0</v>
      </c>
      <c r="I332" t="n">
        <v>0</v>
      </c>
      <c r="J332" t="n">
        <v>0</v>
      </c>
      <c r="K332" t="n">
        <v>0</v>
      </c>
      <c r="L332" t="n">
        <v>0</v>
      </c>
      <c r="M332" t="n">
        <v>0</v>
      </c>
      <c r="N332" t="n">
        <v>0</v>
      </c>
      <c r="O332" t="n">
        <v>0</v>
      </c>
      <c r="P332" t="n">
        <v>0</v>
      </c>
      <c r="Q332" t="n">
        <v>0</v>
      </c>
      <c r="R332" s="2" t="inlineStr"/>
    </row>
    <row r="333" ht="15" customHeight="1">
      <c r="A333" t="inlineStr">
        <is>
          <t>A 38551-2023</t>
        </is>
      </c>
      <c r="B333" s="1" t="n">
        <v>45160</v>
      </c>
      <c r="C333" s="1" t="n">
        <v>45990</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52680-2025</t>
        </is>
      </c>
      <c r="B334" s="1" t="n">
        <v>45956.34488425926</v>
      </c>
      <c r="C334" s="1" t="n">
        <v>45990</v>
      </c>
      <c r="D334" t="inlineStr">
        <is>
          <t>NORRBOTTENS LÄN</t>
        </is>
      </c>
      <c r="E334" t="inlineStr">
        <is>
          <t>LULEÅ</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52681-2025</t>
        </is>
      </c>
      <c r="B335" s="1" t="n">
        <v>45956.34490740741</v>
      </c>
      <c r="C335" s="1" t="n">
        <v>45990</v>
      </c>
      <c r="D335" t="inlineStr">
        <is>
          <t>NORRBOTTENS LÄN</t>
        </is>
      </c>
      <c r="E335" t="inlineStr">
        <is>
          <t>LULEÅ</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48642-2023</t>
        </is>
      </c>
      <c r="B336" s="1" t="n">
        <v>45208</v>
      </c>
      <c r="C336" s="1" t="n">
        <v>45990</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43976-2025</t>
        </is>
      </c>
      <c r="B337" s="1" t="n">
        <v>45915</v>
      </c>
      <c r="C337" s="1" t="n">
        <v>45990</v>
      </c>
      <c r="D337" t="inlineStr">
        <is>
          <t>NORRBOTTENS LÄN</t>
        </is>
      </c>
      <c r="E337" t="inlineStr">
        <is>
          <t>LULEÅ</t>
        </is>
      </c>
      <c r="G337" t="n">
        <v>6.2</v>
      </c>
      <c r="H337" t="n">
        <v>0</v>
      </c>
      <c r="I337" t="n">
        <v>0</v>
      </c>
      <c r="J337" t="n">
        <v>0</v>
      </c>
      <c r="K337" t="n">
        <v>0</v>
      </c>
      <c r="L337" t="n">
        <v>0</v>
      </c>
      <c r="M337" t="n">
        <v>0</v>
      </c>
      <c r="N337" t="n">
        <v>0</v>
      </c>
      <c r="O337" t="n">
        <v>0</v>
      </c>
      <c r="P337" t="n">
        <v>0</v>
      </c>
      <c r="Q337" t="n">
        <v>0</v>
      </c>
      <c r="R337" s="2" t="inlineStr"/>
    </row>
    <row r="338" ht="15" customHeight="1">
      <c r="A338" t="inlineStr">
        <is>
          <t>A 26234-2023</t>
        </is>
      </c>
      <c r="B338" s="1" t="n">
        <v>45086</v>
      </c>
      <c r="C338" s="1" t="n">
        <v>45990</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1002-2025</t>
        </is>
      </c>
      <c r="B339" s="1" t="n">
        <v>45665</v>
      </c>
      <c r="C339" s="1" t="n">
        <v>45990</v>
      </c>
      <c r="D339" t="inlineStr">
        <is>
          <t>NORRBOTTENS LÄN</t>
        </is>
      </c>
      <c r="E339" t="inlineStr">
        <is>
          <t>LULEÅ</t>
        </is>
      </c>
      <c r="G339" t="n">
        <v>2.6</v>
      </c>
      <c r="H339" t="n">
        <v>0</v>
      </c>
      <c r="I339" t="n">
        <v>0</v>
      </c>
      <c r="J339" t="n">
        <v>0</v>
      </c>
      <c r="K339" t="n">
        <v>0</v>
      </c>
      <c r="L339" t="n">
        <v>0</v>
      </c>
      <c r="M339" t="n">
        <v>0</v>
      </c>
      <c r="N339" t="n">
        <v>0</v>
      </c>
      <c r="O339" t="n">
        <v>0</v>
      </c>
      <c r="P339" t="n">
        <v>0</v>
      </c>
      <c r="Q339" t="n">
        <v>0</v>
      </c>
      <c r="R339" s="2" t="inlineStr"/>
    </row>
    <row r="340" ht="15" customHeight="1">
      <c r="A340" t="inlineStr">
        <is>
          <t>A 52549-2025</t>
        </is>
      </c>
      <c r="B340" s="1" t="n">
        <v>45954.55297453704</v>
      </c>
      <c r="C340" s="1" t="n">
        <v>45990</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44662-2025</t>
        </is>
      </c>
      <c r="B341" s="1" t="n">
        <v>45917.55898148148</v>
      </c>
      <c r="C341" s="1" t="n">
        <v>45990</v>
      </c>
      <c r="D341" t="inlineStr">
        <is>
          <t>NORRBOTTENS LÄN</t>
        </is>
      </c>
      <c r="E341" t="inlineStr">
        <is>
          <t>LULEÅ</t>
        </is>
      </c>
      <c r="G341" t="n">
        <v>8.6</v>
      </c>
      <c r="H341" t="n">
        <v>0</v>
      </c>
      <c r="I341" t="n">
        <v>0</v>
      </c>
      <c r="J341" t="n">
        <v>0</v>
      </c>
      <c r="K341" t="n">
        <v>0</v>
      </c>
      <c r="L341" t="n">
        <v>0</v>
      </c>
      <c r="M341" t="n">
        <v>0</v>
      </c>
      <c r="N341" t="n">
        <v>0</v>
      </c>
      <c r="O341" t="n">
        <v>0</v>
      </c>
      <c r="P341" t="n">
        <v>0</v>
      </c>
      <c r="Q341" t="n">
        <v>0</v>
      </c>
      <c r="R341" s="2" t="inlineStr"/>
    </row>
    <row r="342" ht="15" customHeight="1">
      <c r="A342" t="inlineStr">
        <is>
          <t>A 7417-2021</t>
        </is>
      </c>
      <c r="B342" s="1" t="n">
        <v>44239</v>
      </c>
      <c r="C342" s="1" t="n">
        <v>45990</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44462-2025</t>
        </is>
      </c>
      <c r="B343" s="1" t="n">
        <v>45916</v>
      </c>
      <c r="C343" s="1" t="n">
        <v>45990</v>
      </c>
      <c r="D343" t="inlineStr">
        <is>
          <t>NORRBOTTENS LÄN</t>
        </is>
      </c>
      <c r="E343" t="inlineStr">
        <is>
          <t>LULEÅ</t>
        </is>
      </c>
      <c r="G343" t="n">
        <v>5</v>
      </c>
      <c r="H343" t="n">
        <v>0</v>
      </c>
      <c r="I343" t="n">
        <v>0</v>
      </c>
      <c r="J343" t="n">
        <v>0</v>
      </c>
      <c r="K343" t="n">
        <v>0</v>
      </c>
      <c r="L343" t="n">
        <v>0</v>
      </c>
      <c r="M343" t="n">
        <v>0</v>
      </c>
      <c r="N343" t="n">
        <v>0</v>
      </c>
      <c r="O343" t="n">
        <v>0</v>
      </c>
      <c r="P343" t="n">
        <v>0</v>
      </c>
      <c r="Q343" t="n">
        <v>0</v>
      </c>
      <c r="R343" s="2" t="inlineStr"/>
    </row>
    <row r="344" ht="15" customHeight="1">
      <c r="A344" t="inlineStr">
        <is>
          <t>A 34655-2025</t>
        </is>
      </c>
      <c r="B344" s="1" t="n">
        <v>45847</v>
      </c>
      <c r="C344" s="1" t="n">
        <v>45990</v>
      </c>
      <c r="D344" t="inlineStr">
        <is>
          <t>NORRBOTTENS LÄN</t>
        </is>
      </c>
      <c r="E344" t="inlineStr">
        <is>
          <t>LULEÅ</t>
        </is>
      </c>
      <c r="G344" t="n">
        <v>2.7</v>
      </c>
      <c r="H344" t="n">
        <v>0</v>
      </c>
      <c r="I344" t="n">
        <v>0</v>
      </c>
      <c r="J344" t="n">
        <v>0</v>
      </c>
      <c r="K344" t="n">
        <v>0</v>
      </c>
      <c r="L344" t="n">
        <v>0</v>
      </c>
      <c r="M344" t="n">
        <v>0</v>
      </c>
      <c r="N344" t="n">
        <v>0</v>
      </c>
      <c r="O344" t="n">
        <v>0</v>
      </c>
      <c r="P344" t="n">
        <v>0</v>
      </c>
      <c r="Q344" t="n">
        <v>0</v>
      </c>
      <c r="R344" s="2" t="inlineStr"/>
    </row>
    <row r="345" ht="15" customHeight="1">
      <c r="A345" t="inlineStr">
        <is>
          <t>A 6386-2023</t>
        </is>
      </c>
      <c r="B345" s="1" t="n">
        <v>44960</v>
      </c>
      <c r="C345" s="1" t="n">
        <v>45990</v>
      </c>
      <c r="D345" t="inlineStr">
        <is>
          <t>NORRBOTTENS LÄN</t>
        </is>
      </c>
      <c r="E345" t="inlineStr">
        <is>
          <t>LULEÅ</t>
        </is>
      </c>
      <c r="G345" t="n">
        <v>3.9</v>
      </c>
      <c r="H345" t="n">
        <v>0</v>
      </c>
      <c r="I345" t="n">
        <v>0</v>
      </c>
      <c r="J345" t="n">
        <v>0</v>
      </c>
      <c r="K345" t="n">
        <v>0</v>
      </c>
      <c r="L345" t="n">
        <v>0</v>
      </c>
      <c r="M345" t="n">
        <v>0</v>
      </c>
      <c r="N345" t="n">
        <v>0</v>
      </c>
      <c r="O345" t="n">
        <v>0</v>
      </c>
      <c r="P345" t="n">
        <v>0</v>
      </c>
      <c r="Q345" t="n">
        <v>0</v>
      </c>
      <c r="R345" s="2" t="inlineStr"/>
    </row>
    <row r="346" ht="15" customHeight="1">
      <c r="A346" t="inlineStr">
        <is>
          <t>A 44463-2025</t>
        </is>
      </c>
      <c r="B346" s="1" t="n">
        <v>45916</v>
      </c>
      <c r="C346" s="1" t="n">
        <v>45990</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14990-2024</t>
        </is>
      </c>
      <c r="B347" s="1" t="n">
        <v>45399.36019675926</v>
      </c>
      <c r="C347" s="1" t="n">
        <v>45990</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34565-2025</t>
        </is>
      </c>
      <c r="B348" s="1" t="n">
        <v>45847</v>
      </c>
      <c r="C348" s="1" t="n">
        <v>45990</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3185-2025</t>
        </is>
      </c>
      <c r="B349" s="1" t="n">
        <v>45679.40358796297</v>
      </c>
      <c r="C349" s="1" t="n">
        <v>45990</v>
      </c>
      <c r="D349" t="inlineStr">
        <is>
          <t>NORRBOTTENS LÄN</t>
        </is>
      </c>
      <c r="E349" t="inlineStr">
        <is>
          <t>LULEÅ</t>
        </is>
      </c>
      <c r="G349" t="n">
        <v>3.2</v>
      </c>
      <c r="H349" t="n">
        <v>0</v>
      </c>
      <c r="I349" t="n">
        <v>0</v>
      </c>
      <c r="J349" t="n">
        <v>0</v>
      </c>
      <c r="K349" t="n">
        <v>0</v>
      </c>
      <c r="L349" t="n">
        <v>0</v>
      </c>
      <c r="M349" t="n">
        <v>0</v>
      </c>
      <c r="N349" t="n">
        <v>0</v>
      </c>
      <c r="O349" t="n">
        <v>0</v>
      </c>
      <c r="P349" t="n">
        <v>0</v>
      </c>
      <c r="Q349" t="n">
        <v>0</v>
      </c>
      <c r="R349" s="2" t="inlineStr"/>
    </row>
    <row r="350" ht="15" customHeight="1">
      <c r="A350" t="inlineStr">
        <is>
          <t>A 4286-2025</t>
        </is>
      </c>
      <c r="B350" s="1" t="n">
        <v>45685</v>
      </c>
      <c r="C350" s="1" t="n">
        <v>45990</v>
      </c>
      <c r="D350" t="inlineStr">
        <is>
          <t>NORRBOTTENS LÄN</t>
        </is>
      </c>
      <c r="E350" t="inlineStr">
        <is>
          <t>LULEÅ</t>
        </is>
      </c>
      <c r="G350" t="n">
        <v>1.9</v>
      </c>
      <c r="H350" t="n">
        <v>0</v>
      </c>
      <c r="I350" t="n">
        <v>0</v>
      </c>
      <c r="J350" t="n">
        <v>0</v>
      </c>
      <c r="K350" t="n">
        <v>0</v>
      </c>
      <c r="L350" t="n">
        <v>0</v>
      </c>
      <c r="M350" t="n">
        <v>0</v>
      </c>
      <c r="N350" t="n">
        <v>0</v>
      </c>
      <c r="O350" t="n">
        <v>0</v>
      </c>
      <c r="P350" t="n">
        <v>0</v>
      </c>
      <c r="Q350" t="n">
        <v>0</v>
      </c>
      <c r="R350" s="2" t="inlineStr"/>
    </row>
    <row r="351" ht="15" customHeight="1">
      <c r="A351" t="inlineStr">
        <is>
          <t>A 53603-2024</t>
        </is>
      </c>
      <c r="B351" s="1" t="n">
        <v>45614.69736111111</v>
      </c>
      <c r="C351" s="1" t="n">
        <v>45990</v>
      </c>
      <c r="D351" t="inlineStr">
        <is>
          <t>NORRBOTTENS LÄN</t>
        </is>
      </c>
      <c r="E351" t="inlineStr">
        <is>
          <t>LULEÅ</t>
        </is>
      </c>
      <c r="G351" t="n">
        <v>3.2</v>
      </c>
      <c r="H351" t="n">
        <v>0</v>
      </c>
      <c r="I351" t="n">
        <v>0</v>
      </c>
      <c r="J351" t="n">
        <v>0</v>
      </c>
      <c r="K351" t="n">
        <v>0</v>
      </c>
      <c r="L351" t="n">
        <v>0</v>
      </c>
      <c r="M351" t="n">
        <v>0</v>
      </c>
      <c r="N351" t="n">
        <v>0</v>
      </c>
      <c r="O351" t="n">
        <v>0</v>
      </c>
      <c r="P351" t="n">
        <v>0</v>
      </c>
      <c r="Q351" t="n">
        <v>0</v>
      </c>
      <c r="R351" s="2" t="inlineStr"/>
    </row>
    <row r="352" ht="15" customHeight="1">
      <c r="A352" t="inlineStr">
        <is>
          <t>A 44443-2025</t>
        </is>
      </c>
      <c r="B352" s="1" t="n">
        <v>45916</v>
      </c>
      <c r="C352" s="1" t="n">
        <v>45990</v>
      </c>
      <c r="D352" t="inlineStr">
        <is>
          <t>NORRBOTTENS LÄN</t>
        </is>
      </c>
      <c r="E352" t="inlineStr">
        <is>
          <t>LULEÅ</t>
        </is>
      </c>
      <c r="G352" t="n">
        <v>8.9</v>
      </c>
      <c r="H352" t="n">
        <v>0</v>
      </c>
      <c r="I352" t="n">
        <v>0</v>
      </c>
      <c r="J352" t="n">
        <v>0</v>
      </c>
      <c r="K352" t="n">
        <v>0</v>
      </c>
      <c r="L352" t="n">
        <v>0</v>
      </c>
      <c r="M352" t="n">
        <v>0</v>
      </c>
      <c r="N352" t="n">
        <v>0</v>
      </c>
      <c r="O352" t="n">
        <v>0</v>
      </c>
      <c r="P352" t="n">
        <v>0</v>
      </c>
      <c r="Q352" t="n">
        <v>0</v>
      </c>
      <c r="R352" s="2" t="inlineStr"/>
    </row>
    <row r="353" ht="15" customHeight="1">
      <c r="A353" t="inlineStr">
        <is>
          <t>A 8862-2024</t>
        </is>
      </c>
      <c r="B353" s="1" t="n">
        <v>45356.96326388889</v>
      </c>
      <c r="C353" s="1" t="n">
        <v>45990</v>
      </c>
      <c r="D353" t="inlineStr">
        <is>
          <t>NORRBOTTENS LÄN</t>
        </is>
      </c>
      <c r="E353" t="inlineStr">
        <is>
          <t>LULEÅ</t>
        </is>
      </c>
      <c r="G353" t="n">
        <v>10.6</v>
      </c>
      <c r="H353" t="n">
        <v>0</v>
      </c>
      <c r="I353" t="n">
        <v>0</v>
      </c>
      <c r="J353" t="n">
        <v>0</v>
      </c>
      <c r="K353" t="n">
        <v>0</v>
      </c>
      <c r="L353" t="n">
        <v>0</v>
      </c>
      <c r="M353" t="n">
        <v>0</v>
      </c>
      <c r="N353" t="n">
        <v>0</v>
      </c>
      <c r="O353" t="n">
        <v>0</v>
      </c>
      <c r="P353" t="n">
        <v>0</v>
      </c>
      <c r="Q353" t="n">
        <v>0</v>
      </c>
      <c r="R353" s="2" t="inlineStr"/>
    </row>
    <row r="354" ht="15" customHeight="1">
      <c r="A354" t="inlineStr">
        <is>
          <t>A 55076-2024</t>
        </is>
      </c>
      <c r="B354" s="1" t="n">
        <v>45621.42574074074</v>
      </c>
      <c r="C354" s="1" t="n">
        <v>45990</v>
      </c>
      <c r="D354" t="inlineStr">
        <is>
          <t>NORRBOTTENS LÄN</t>
        </is>
      </c>
      <c r="E354" t="inlineStr">
        <is>
          <t>LULEÅ</t>
        </is>
      </c>
      <c r="G354" t="n">
        <v>6.2</v>
      </c>
      <c r="H354" t="n">
        <v>0</v>
      </c>
      <c r="I354" t="n">
        <v>0</v>
      </c>
      <c r="J354" t="n">
        <v>0</v>
      </c>
      <c r="K354" t="n">
        <v>0</v>
      </c>
      <c r="L354" t="n">
        <v>0</v>
      </c>
      <c r="M354" t="n">
        <v>0</v>
      </c>
      <c r="N354" t="n">
        <v>0</v>
      </c>
      <c r="O354" t="n">
        <v>0</v>
      </c>
      <c r="P354" t="n">
        <v>0</v>
      </c>
      <c r="Q354" t="n">
        <v>0</v>
      </c>
      <c r="R354" s="2" t="inlineStr"/>
    </row>
    <row r="355" ht="15" customHeight="1">
      <c r="A355" t="inlineStr">
        <is>
          <t>A 4347-2025</t>
        </is>
      </c>
      <c r="B355" s="1" t="n">
        <v>45685.92931712963</v>
      </c>
      <c r="C355" s="1" t="n">
        <v>45990</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695-2025</t>
        </is>
      </c>
      <c r="B356" s="1" t="n">
        <v>45663</v>
      </c>
      <c r="C356" s="1" t="n">
        <v>45990</v>
      </c>
      <c r="D356" t="inlineStr">
        <is>
          <t>NORRBOTTENS LÄN</t>
        </is>
      </c>
      <c r="E356" t="inlineStr">
        <is>
          <t>LULEÅ</t>
        </is>
      </c>
      <c r="G356" t="n">
        <v>2.8</v>
      </c>
      <c r="H356" t="n">
        <v>0</v>
      </c>
      <c r="I356" t="n">
        <v>0</v>
      </c>
      <c r="J356" t="n">
        <v>0</v>
      </c>
      <c r="K356" t="n">
        <v>0</v>
      </c>
      <c r="L356" t="n">
        <v>0</v>
      </c>
      <c r="M356" t="n">
        <v>0</v>
      </c>
      <c r="N356" t="n">
        <v>0</v>
      </c>
      <c r="O356" t="n">
        <v>0</v>
      </c>
      <c r="P356" t="n">
        <v>0</v>
      </c>
      <c r="Q356" t="n">
        <v>0</v>
      </c>
      <c r="R356" s="2" t="inlineStr"/>
    </row>
    <row r="357" ht="15" customHeight="1">
      <c r="A357" t="inlineStr">
        <is>
          <t>A 58823-2024</t>
        </is>
      </c>
      <c r="B357" s="1" t="n">
        <v>45635</v>
      </c>
      <c r="C357" s="1" t="n">
        <v>45990</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26587-2024</t>
        </is>
      </c>
      <c r="B358" s="1" t="n">
        <v>45469.67459490741</v>
      </c>
      <c r="C358" s="1" t="n">
        <v>45990</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28275-2022</t>
        </is>
      </c>
      <c r="B359" s="1" t="n">
        <v>44746</v>
      </c>
      <c r="C359" s="1" t="n">
        <v>45990</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52240-2023</t>
        </is>
      </c>
      <c r="B360" s="1" t="n">
        <v>45224</v>
      </c>
      <c r="C360" s="1" t="n">
        <v>45990</v>
      </c>
      <c r="D360" t="inlineStr">
        <is>
          <t>NORRBOTTENS LÄN</t>
        </is>
      </c>
      <c r="E360" t="inlineStr">
        <is>
          <t>LULEÅ</t>
        </is>
      </c>
      <c r="G360" t="n">
        <v>4.5</v>
      </c>
      <c r="H360" t="n">
        <v>0</v>
      </c>
      <c r="I360" t="n">
        <v>0</v>
      </c>
      <c r="J360" t="n">
        <v>0</v>
      </c>
      <c r="K360" t="n">
        <v>0</v>
      </c>
      <c r="L360" t="n">
        <v>0</v>
      </c>
      <c r="M360" t="n">
        <v>0</v>
      </c>
      <c r="N360" t="n">
        <v>0</v>
      </c>
      <c r="O360" t="n">
        <v>0</v>
      </c>
      <c r="P360" t="n">
        <v>0</v>
      </c>
      <c r="Q360" t="n">
        <v>0</v>
      </c>
      <c r="R360" s="2" t="inlineStr"/>
    </row>
    <row r="361" ht="15" customHeight="1">
      <c r="A361" t="inlineStr">
        <is>
          <t>A 35682-2025</t>
        </is>
      </c>
      <c r="B361" s="1" t="n">
        <v>45859</v>
      </c>
      <c r="C361" s="1" t="n">
        <v>45990</v>
      </c>
      <c r="D361" t="inlineStr">
        <is>
          <t>NORRBOTTENS LÄN</t>
        </is>
      </c>
      <c r="E361" t="inlineStr">
        <is>
          <t>LULEÅ</t>
        </is>
      </c>
      <c r="G361" t="n">
        <v>5.2</v>
      </c>
      <c r="H361" t="n">
        <v>0</v>
      </c>
      <c r="I361" t="n">
        <v>0</v>
      </c>
      <c r="J361" t="n">
        <v>0</v>
      </c>
      <c r="K361" t="n">
        <v>0</v>
      </c>
      <c r="L361" t="n">
        <v>0</v>
      </c>
      <c r="M361" t="n">
        <v>0</v>
      </c>
      <c r="N361" t="n">
        <v>0</v>
      </c>
      <c r="O361" t="n">
        <v>0</v>
      </c>
      <c r="P361" t="n">
        <v>0</v>
      </c>
      <c r="Q361" t="n">
        <v>0</v>
      </c>
      <c r="R361" s="2" t="inlineStr"/>
    </row>
    <row r="362" ht="15" customHeight="1">
      <c r="A362" t="inlineStr">
        <is>
          <t>A 6552-2024</t>
        </is>
      </c>
      <c r="B362" s="1" t="n">
        <v>45341</v>
      </c>
      <c r="C362" s="1" t="n">
        <v>45990</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53704-2025</t>
        </is>
      </c>
      <c r="B363" s="1" t="n">
        <v>45960.60210648148</v>
      </c>
      <c r="C363" s="1" t="n">
        <v>45990</v>
      </c>
      <c r="D363" t="inlineStr">
        <is>
          <t>NORRBOTTENS LÄN</t>
        </is>
      </c>
      <c r="E363" t="inlineStr">
        <is>
          <t>LULEÅ</t>
        </is>
      </c>
      <c r="G363" t="n">
        <v>1.9</v>
      </c>
      <c r="H363" t="n">
        <v>0</v>
      </c>
      <c r="I363" t="n">
        <v>0</v>
      </c>
      <c r="J363" t="n">
        <v>0</v>
      </c>
      <c r="K363" t="n">
        <v>0</v>
      </c>
      <c r="L363" t="n">
        <v>0</v>
      </c>
      <c r="M363" t="n">
        <v>0</v>
      </c>
      <c r="N363" t="n">
        <v>0</v>
      </c>
      <c r="O363" t="n">
        <v>0</v>
      </c>
      <c r="P363" t="n">
        <v>0</v>
      </c>
      <c r="Q363" t="n">
        <v>0</v>
      </c>
      <c r="R363" s="2" t="inlineStr"/>
    </row>
    <row r="364" ht="15" customHeight="1">
      <c r="A364" t="inlineStr">
        <is>
          <t>A 18053-2024</t>
        </is>
      </c>
      <c r="B364" s="1" t="n">
        <v>45420</v>
      </c>
      <c r="C364" s="1" t="n">
        <v>45990</v>
      </c>
      <c r="D364" t="inlineStr">
        <is>
          <t>NORRBOTTENS LÄN</t>
        </is>
      </c>
      <c r="E364" t="inlineStr">
        <is>
          <t>LULEÅ</t>
        </is>
      </c>
      <c r="G364" t="n">
        <v>3.7</v>
      </c>
      <c r="H364" t="n">
        <v>0</v>
      </c>
      <c r="I364" t="n">
        <v>0</v>
      </c>
      <c r="J364" t="n">
        <v>0</v>
      </c>
      <c r="K364" t="n">
        <v>0</v>
      </c>
      <c r="L364" t="n">
        <v>0</v>
      </c>
      <c r="M364" t="n">
        <v>0</v>
      </c>
      <c r="N364" t="n">
        <v>0</v>
      </c>
      <c r="O364" t="n">
        <v>0</v>
      </c>
      <c r="P364" t="n">
        <v>0</v>
      </c>
      <c r="Q364" t="n">
        <v>0</v>
      </c>
      <c r="R364" s="2" t="inlineStr"/>
    </row>
    <row r="365" ht="15" customHeight="1">
      <c r="A365" t="inlineStr">
        <is>
          <t>A 45000-2025</t>
        </is>
      </c>
      <c r="B365" s="1" t="n">
        <v>45918</v>
      </c>
      <c r="C365" s="1" t="n">
        <v>45990</v>
      </c>
      <c r="D365" t="inlineStr">
        <is>
          <t>NORRBOTTENS LÄN</t>
        </is>
      </c>
      <c r="E365" t="inlineStr">
        <is>
          <t>LULEÅ</t>
        </is>
      </c>
      <c r="G365" t="n">
        <v>4</v>
      </c>
      <c r="H365" t="n">
        <v>0</v>
      </c>
      <c r="I365" t="n">
        <v>0</v>
      </c>
      <c r="J365" t="n">
        <v>0</v>
      </c>
      <c r="K365" t="n">
        <v>0</v>
      </c>
      <c r="L365" t="n">
        <v>0</v>
      </c>
      <c r="M365" t="n">
        <v>0</v>
      </c>
      <c r="N365" t="n">
        <v>0</v>
      </c>
      <c r="O365" t="n">
        <v>0</v>
      </c>
      <c r="P365" t="n">
        <v>0</v>
      </c>
      <c r="Q365" t="n">
        <v>0</v>
      </c>
      <c r="R365" s="2" t="inlineStr"/>
    </row>
    <row r="366" ht="15" customHeight="1">
      <c r="A366" t="inlineStr">
        <is>
          <t>A 44982-2025</t>
        </is>
      </c>
      <c r="B366" s="1" t="n">
        <v>45918</v>
      </c>
      <c r="C366" s="1" t="n">
        <v>45990</v>
      </c>
      <c r="D366" t="inlineStr">
        <is>
          <t>NORRBOTTENS LÄN</t>
        </is>
      </c>
      <c r="E366" t="inlineStr">
        <is>
          <t>LULEÅ</t>
        </is>
      </c>
      <c r="G366" t="n">
        <v>13.7</v>
      </c>
      <c r="H366" t="n">
        <v>0</v>
      </c>
      <c r="I366" t="n">
        <v>0</v>
      </c>
      <c r="J366" t="n">
        <v>0</v>
      </c>
      <c r="K366" t="n">
        <v>0</v>
      </c>
      <c r="L366" t="n">
        <v>0</v>
      </c>
      <c r="M366" t="n">
        <v>0</v>
      </c>
      <c r="N366" t="n">
        <v>0</v>
      </c>
      <c r="O366" t="n">
        <v>0</v>
      </c>
      <c r="P366" t="n">
        <v>0</v>
      </c>
      <c r="Q366" t="n">
        <v>0</v>
      </c>
      <c r="R366" s="2" t="inlineStr"/>
    </row>
    <row r="367" ht="15" customHeight="1">
      <c r="A367" t="inlineStr">
        <is>
          <t>A 49641-2024</t>
        </is>
      </c>
      <c r="B367" s="1" t="n">
        <v>45596</v>
      </c>
      <c r="C367" s="1" t="n">
        <v>45990</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54398-2025</t>
        </is>
      </c>
      <c r="B368" s="1" t="n">
        <v>45965.44887731481</v>
      </c>
      <c r="C368" s="1" t="n">
        <v>45990</v>
      </c>
      <c r="D368" t="inlineStr">
        <is>
          <t>NORRBOTTENS LÄN</t>
        </is>
      </c>
      <c r="E368" t="inlineStr">
        <is>
          <t>LULEÅ</t>
        </is>
      </c>
      <c r="G368" t="n">
        <v>8.6</v>
      </c>
      <c r="H368" t="n">
        <v>0</v>
      </c>
      <c r="I368" t="n">
        <v>0</v>
      </c>
      <c r="J368" t="n">
        <v>0</v>
      </c>
      <c r="K368" t="n">
        <v>0</v>
      </c>
      <c r="L368" t="n">
        <v>0</v>
      </c>
      <c r="M368" t="n">
        <v>0</v>
      </c>
      <c r="N368" t="n">
        <v>0</v>
      </c>
      <c r="O368" t="n">
        <v>0</v>
      </c>
      <c r="P368" t="n">
        <v>0</v>
      </c>
      <c r="Q368" t="n">
        <v>0</v>
      </c>
      <c r="R368" s="2" t="inlineStr"/>
    </row>
    <row r="369" ht="15" customHeight="1">
      <c r="A369" t="inlineStr">
        <is>
          <t>A 45472-2025</t>
        </is>
      </c>
      <c r="B369" s="1" t="n">
        <v>45922.5109837963</v>
      </c>
      <c r="C369" s="1" t="n">
        <v>45990</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37304-2024</t>
        </is>
      </c>
      <c r="B370" s="1" t="n">
        <v>45540</v>
      </c>
      <c r="C370" s="1" t="n">
        <v>45990</v>
      </c>
      <c r="D370" t="inlineStr">
        <is>
          <t>NORRBOTTENS LÄN</t>
        </is>
      </c>
      <c r="E370" t="inlineStr">
        <is>
          <t>LULEÅ</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45673-2025</t>
        </is>
      </c>
      <c r="B371" s="1" t="n">
        <v>45922</v>
      </c>
      <c r="C371" s="1" t="n">
        <v>45990</v>
      </c>
      <c r="D371" t="inlineStr">
        <is>
          <t>NORRBOTTENS LÄN</t>
        </is>
      </c>
      <c r="E371" t="inlineStr">
        <is>
          <t>LULEÅ</t>
        </is>
      </c>
      <c r="G371" t="n">
        <v>1.3</v>
      </c>
      <c r="H371" t="n">
        <v>0</v>
      </c>
      <c r="I371" t="n">
        <v>0</v>
      </c>
      <c r="J371" t="n">
        <v>0</v>
      </c>
      <c r="K371" t="n">
        <v>0</v>
      </c>
      <c r="L371" t="n">
        <v>0</v>
      </c>
      <c r="M371" t="n">
        <v>0</v>
      </c>
      <c r="N371" t="n">
        <v>0</v>
      </c>
      <c r="O371" t="n">
        <v>0</v>
      </c>
      <c r="P371" t="n">
        <v>0</v>
      </c>
      <c r="Q371" t="n">
        <v>0</v>
      </c>
      <c r="R371" s="2" t="inlineStr"/>
    </row>
    <row r="372" ht="15" customHeight="1">
      <c r="A372" t="inlineStr">
        <is>
          <t>A 35686-2025</t>
        </is>
      </c>
      <c r="B372" s="1" t="n">
        <v>45859.92579861111</v>
      </c>
      <c r="C372" s="1" t="n">
        <v>45990</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54442-2025</t>
        </is>
      </c>
      <c r="B373" s="1" t="n">
        <v>45965.50621527778</v>
      </c>
      <c r="C373" s="1" t="n">
        <v>45990</v>
      </c>
      <c r="D373" t="inlineStr">
        <is>
          <t>NORRBOTTENS LÄN</t>
        </is>
      </c>
      <c r="E373" t="inlineStr">
        <is>
          <t>LULEÅ</t>
        </is>
      </c>
      <c r="G373" t="n">
        <v>6.6</v>
      </c>
      <c r="H373" t="n">
        <v>0</v>
      </c>
      <c r="I373" t="n">
        <v>0</v>
      </c>
      <c r="J373" t="n">
        <v>0</v>
      </c>
      <c r="K373" t="n">
        <v>0</v>
      </c>
      <c r="L373" t="n">
        <v>0</v>
      </c>
      <c r="M373" t="n">
        <v>0</v>
      </c>
      <c r="N373" t="n">
        <v>0</v>
      </c>
      <c r="O373" t="n">
        <v>0</v>
      </c>
      <c r="P373" t="n">
        <v>0</v>
      </c>
      <c r="Q373" t="n">
        <v>0</v>
      </c>
      <c r="R373" s="2" t="inlineStr"/>
    </row>
    <row r="374" ht="15" customHeight="1">
      <c r="A374" t="inlineStr">
        <is>
          <t>A 45471-2025</t>
        </is>
      </c>
      <c r="B374" s="1" t="n">
        <v>45922.51094907407</v>
      </c>
      <c r="C374" s="1" t="n">
        <v>45990</v>
      </c>
      <c r="D374" t="inlineStr">
        <is>
          <t>NORRBOTTENS LÄN</t>
        </is>
      </c>
      <c r="E374" t="inlineStr">
        <is>
          <t>LULEÅ</t>
        </is>
      </c>
      <c r="G374" t="n">
        <v>3.8</v>
      </c>
      <c r="H374" t="n">
        <v>0</v>
      </c>
      <c r="I374" t="n">
        <v>0</v>
      </c>
      <c r="J374" t="n">
        <v>0</v>
      </c>
      <c r="K374" t="n">
        <v>0</v>
      </c>
      <c r="L374" t="n">
        <v>0</v>
      </c>
      <c r="M374" t="n">
        <v>0</v>
      </c>
      <c r="N374" t="n">
        <v>0</v>
      </c>
      <c r="O374" t="n">
        <v>0</v>
      </c>
      <c r="P374" t="n">
        <v>0</v>
      </c>
      <c r="Q374" t="n">
        <v>0</v>
      </c>
      <c r="R374" s="2" t="inlineStr"/>
    </row>
    <row r="375" ht="15" customHeight="1">
      <c r="A375" t="inlineStr">
        <is>
          <t>A 35595-2025</t>
        </is>
      </c>
      <c r="B375" s="1" t="n">
        <v>45858.32641203704</v>
      </c>
      <c r="C375" s="1" t="n">
        <v>45990</v>
      </c>
      <c r="D375" t="inlineStr">
        <is>
          <t>NORRBOTTENS LÄN</t>
        </is>
      </c>
      <c r="E375" t="inlineStr">
        <is>
          <t>LULEÅ</t>
        </is>
      </c>
      <c r="G375" t="n">
        <v>13.1</v>
      </c>
      <c r="H375" t="n">
        <v>0</v>
      </c>
      <c r="I375" t="n">
        <v>0</v>
      </c>
      <c r="J375" t="n">
        <v>0</v>
      </c>
      <c r="K375" t="n">
        <v>0</v>
      </c>
      <c r="L375" t="n">
        <v>0</v>
      </c>
      <c r="M375" t="n">
        <v>0</v>
      </c>
      <c r="N375" t="n">
        <v>0</v>
      </c>
      <c r="O375" t="n">
        <v>0</v>
      </c>
      <c r="P375" t="n">
        <v>0</v>
      </c>
      <c r="Q375" t="n">
        <v>0</v>
      </c>
      <c r="R375" s="2" t="inlineStr"/>
    </row>
    <row r="376" ht="15" customHeight="1">
      <c r="A376" t="inlineStr">
        <is>
          <t>A 54436-2025</t>
        </is>
      </c>
      <c r="B376" s="1" t="n">
        <v>45965.50042824074</v>
      </c>
      <c r="C376" s="1" t="n">
        <v>45990</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56043-2021</t>
        </is>
      </c>
      <c r="B377" s="1" t="n">
        <v>44477</v>
      </c>
      <c r="C377" s="1" t="n">
        <v>45990</v>
      </c>
      <c r="D377" t="inlineStr">
        <is>
          <t>NORRBOTTENS LÄN</t>
        </is>
      </c>
      <c r="E377" t="inlineStr">
        <is>
          <t>LULEÅ</t>
        </is>
      </c>
      <c r="G377" t="n">
        <v>3.8</v>
      </c>
      <c r="H377" t="n">
        <v>0</v>
      </c>
      <c r="I377" t="n">
        <v>0</v>
      </c>
      <c r="J377" t="n">
        <v>0</v>
      </c>
      <c r="K377" t="n">
        <v>0</v>
      </c>
      <c r="L377" t="n">
        <v>0</v>
      </c>
      <c r="M377" t="n">
        <v>0</v>
      </c>
      <c r="N377" t="n">
        <v>0</v>
      </c>
      <c r="O377" t="n">
        <v>0</v>
      </c>
      <c r="P377" t="n">
        <v>0</v>
      </c>
      <c r="Q377" t="n">
        <v>0</v>
      </c>
      <c r="R377" s="2" t="inlineStr"/>
    </row>
    <row r="378" ht="15" customHeight="1">
      <c r="A378" t="inlineStr">
        <is>
          <t>A 56057-2021</t>
        </is>
      </c>
      <c r="B378" s="1" t="n">
        <v>44477</v>
      </c>
      <c r="C378" s="1" t="n">
        <v>45990</v>
      </c>
      <c r="D378" t="inlineStr">
        <is>
          <t>NORRBOTTENS LÄN</t>
        </is>
      </c>
      <c r="E378" t="inlineStr">
        <is>
          <t>LULEÅ</t>
        </is>
      </c>
      <c r="G378" t="n">
        <v>3.7</v>
      </c>
      <c r="H378" t="n">
        <v>0</v>
      </c>
      <c r="I378" t="n">
        <v>0</v>
      </c>
      <c r="J378" t="n">
        <v>0</v>
      </c>
      <c r="K378" t="n">
        <v>0</v>
      </c>
      <c r="L378" t="n">
        <v>0</v>
      </c>
      <c r="M378" t="n">
        <v>0</v>
      </c>
      <c r="N378" t="n">
        <v>0</v>
      </c>
      <c r="O378" t="n">
        <v>0</v>
      </c>
      <c r="P378" t="n">
        <v>0</v>
      </c>
      <c r="Q378" t="n">
        <v>0</v>
      </c>
      <c r="R378" s="2" t="inlineStr"/>
    </row>
    <row r="379" ht="15" customHeight="1">
      <c r="A379" t="inlineStr">
        <is>
          <t>A 45684-2025</t>
        </is>
      </c>
      <c r="B379" s="1" t="n">
        <v>45918</v>
      </c>
      <c r="C379" s="1" t="n">
        <v>45990</v>
      </c>
      <c r="D379" t="inlineStr">
        <is>
          <t>NORRBOTTENS LÄN</t>
        </is>
      </c>
      <c r="E379" t="inlineStr">
        <is>
          <t>LULEÅ</t>
        </is>
      </c>
      <c r="G379" t="n">
        <v>2.4</v>
      </c>
      <c r="H379" t="n">
        <v>0</v>
      </c>
      <c r="I379" t="n">
        <v>0</v>
      </c>
      <c r="J379" t="n">
        <v>0</v>
      </c>
      <c r="K379" t="n">
        <v>0</v>
      </c>
      <c r="L379" t="n">
        <v>0</v>
      </c>
      <c r="M379" t="n">
        <v>0</v>
      </c>
      <c r="N379" t="n">
        <v>0</v>
      </c>
      <c r="O379" t="n">
        <v>0</v>
      </c>
      <c r="P379" t="n">
        <v>0</v>
      </c>
      <c r="Q379" t="n">
        <v>0</v>
      </c>
      <c r="R379" s="2" t="inlineStr"/>
    </row>
    <row r="380" ht="15" customHeight="1">
      <c r="A380" t="inlineStr">
        <is>
          <t>A 27305-2022</t>
        </is>
      </c>
      <c r="B380" s="1" t="n">
        <v>44741</v>
      </c>
      <c r="C380" s="1" t="n">
        <v>45990</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19872-2024</t>
        </is>
      </c>
      <c r="B381" s="1" t="n">
        <v>45433.45890046296</v>
      </c>
      <c r="C381" s="1" t="n">
        <v>45990</v>
      </c>
      <c r="D381" t="inlineStr">
        <is>
          <t>NORRBOTTENS LÄN</t>
        </is>
      </c>
      <c r="E381" t="inlineStr">
        <is>
          <t>LULEÅ</t>
        </is>
      </c>
      <c r="G381" t="n">
        <v>3.3</v>
      </c>
      <c r="H381" t="n">
        <v>0</v>
      </c>
      <c r="I381" t="n">
        <v>0</v>
      </c>
      <c r="J381" t="n">
        <v>0</v>
      </c>
      <c r="K381" t="n">
        <v>0</v>
      </c>
      <c r="L381" t="n">
        <v>0</v>
      </c>
      <c r="M381" t="n">
        <v>0</v>
      </c>
      <c r="N381" t="n">
        <v>0</v>
      </c>
      <c r="O381" t="n">
        <v>0</v>
      </c>
      <c r="P381" t="n">
        <v>0</v>
      </c>
      <c r="Q381" t="n">
        <v>0</v>
      </c>
      <c r="R381" s="2" t="inlineStr"/>
    </row>
    <row r="382" ht="15" customHeight="1">
      <c r="A382" t="inlineStr">
        <is>
          <t>A 54428-2025</t>
        </is>
      </c>
      <c r="B382" s="1" t="n">
        <v>45965.49263888889</v>
      </c>
      <c r="C382" s="1" t="n">
        <v>45990</v>
      </c>
      <c r="D382" t="inlineStr">
        <is>
          <t>NORRBOTTENS LÄN</t>
        </is>
      </c>
      <c r="E382" t="inlineStr">
        <is>
          <t>LULEÅ</t>
        </is>
      </c>
      <c r="G382" t="n">
        <v>0.5</v>
      </c>
      <c r="H382" t="n">
        <v>0</v>
      </c>
      <c r="I382" t="n">
        <v>0</v>
      </c>
      <c r="J382" t="n">
        <v>0</v>
      </c>
      <c r="K382" t="n">
        <v>0</v>
      </c>
      <c r="L382" t="n">
        <v>0</v>
      </c>
      <c r="M382" t="n">
        <v>0</v>
      </c>
      <c r="N382" t="n">
        <v>0</v>
      </c>
      <c r="O382" t="n">
        <v>0</v>
      </c>
      <c r="P382" t="n">
        <v>0</v>
      </c>
      <c r="Q382" t="n">
        <v>0</v>
      </c>
      <c r="R382" s="2" t="inlineStr"/>
    </row>
    <row r="383" ht="15" customHeight="1">
      <c r="A383" t="inlineStr">
        <is>
          <t>A 45470-2025</t>
        </is>
      </c>
      <c r="B383" s="1" t="n">
        <v>45922.51091435185</v>
      </c>
      <c r="C383" s="1" t="n">
        <v>45990</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45001-2025</t>
        </is>
      </c>
      <c r="B384" s="1" t="n">
        <v>45918</v>
      </c>
      <c r="C384" s="1" t="n">
        <v>45990</v>
      </c>
      <c r="D384" t="inlineStr">
        <is>
          <t>NORRBOTTENS LÄN</t>
        </is>
      </c>
      <c r="E384" t="inlineStr">
        <is>
          <t>LULEÅ</t>
        </is>
      </c>
      <c r="G384" t="n">
        <v>7.8</v>
      </c>
      <c r="H384" t="n">
        <v>0</v>
      </c>
      <c r="I384" t="n">
        <v>0</v>
      </c>
      <c r="J384" t="n">
        <v>0</v>
      </c>
      <c r="K384" t="n">
        <v>0</v>
      </c>
      <c r="L384" t="n">
        <v>0</v>
      </c>
      <c r="M384" t="n">
        <v>0</v>
      </c>
      <c r="N384" t="n">
        <v>0</v>
      </c>
      <c r="O384" t="n">
        <v>0</v>
      </c>
      <c r="P384" t="n">
        <v>0</v>
      </c>
      <c r="Q384" t="n">
        <v>0</v>
      </c>
      <c r="R384" s="2" t="inlineStr"/>
    </row>
    <row r="385" ht="15" customHeight="1">
      <c r="A385" t="inlineStr">
        <is>
          <t>A 54558-2025</t>
        </is>
      </c>
      <c r="B385" s="1" t="n">
        <v>45965.66197916667</v>
      </c>
      <c r="C385" s="1" t="n">
        <v>45990</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54559-2025</t>
        </is>
      </c>
      <c r="B386" s="1" t="n">
        <v>45965.66282407408</v>
      </c>
      <c r="C386" s="1" t="n">
        <v>45990</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53960-2023</t>
        </is>
      </c>
      <c r="B387" s="1" t="n">
        <v>45225</v>
      </c>
      <c r="C387" s="1" t="n">
        <v>45990</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46117-2025</t>
        </is>
      </c>
      <c r="B388" s="1" t="n">
        <v>45924.5737962963</v>
      </c>
      <c r="C388" s="1" t="n">
        <v>45990</v>
      </c>
      <c r="D388" t="inlineStr">
        <is>
          <t>NORRBOTTENS LÄN</t>
        </is>
      </c>
      <c r="E388" t="inlineStr">
        <is>
          <t>LULEÅ</t>
        </is>
      </c>
      <c r="G388" t="n">
        <v>1.9</v>
      </c>
      <c r="H388" t="n">
        <v>0</v>
      </c>
      <c r="I388" t="n">
        <v>0</v>
      </c>
      <c r="J388" t="n">
        <v>0</v>
      </c>
      <c r="K388" t="n">
        <v>0</v>
      </c>
      <c r="L388" t="n">
        <v>0</v>
      </c>
      <c r="M388" t="n">
        <v>0</v>
      </c>
      <c r="N388" t="n">
        <v>0</v>
      </c>
      <c r="O388" t="n">
        <v>0</v>
      </c>
      <c r="P388" t="n">
        <v>0</v>
      </c>
      <c r="Q388" t="n">
        <v>0</v>
      </c>
      <c r="R388" s="2" t="inlineStr"/>
    </row>
    <row r="389" ht="15" customHeight="1">
      <c r="A389" t="inlineStr">
        <is>
          <t>A 52687-2025</t>
        </is>
      </c>
      <c r="B389" s="1" t="n">
        <v>45956.36496527777</v>
      </c>
      <c r="C389" s="1" t="n">
        <v>45990</v>
      </c>
      <c r="D389" t="inlineStr">
        <is>
          <t>NORRBOTTENS LÄN</t>
        </is>
      </c>
      <c r="E389" t="inlineStr">
        <is>
          <t>LULEÅ</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52318-2025</t>
        </is>
      </c>
      <c r="B390" s="1" t="n">
        <v>45953.65693287037</v>
      </c>
      <c r="C390" s="1" t="n">
        <v>45990</v>
      </c>
      <c r="D390" t="inlineStr">
        <is>
          <t>NORRBOTTENS LÄN</t>
        </is>
      </c>
      <c r="E390" t="inlineStr">
        <is>
          <t>LULEÅ</t>
        </is>
      </c>
      <c r="G390" t="n">
        <v>1.9</v>
      </c>
      <c r="H390" t="n">
        <v>0</v>
      </c>
      <c r="I390" t="n">
        <v>0</v>
      </c>
      <c r="J390" t="n">
        <v>0</v>
      </c>
      <c r="K390" t="n">
        <v>0</v>
      </c>
      <c r="L390" t="n">
        <v>0</v>
      </c>
      <c r="M390" t="n">
        <v>0</v>
      </c>
      <c r="N390" t="n">
        <v>0</v>
      </c>
      <c r="O390" t="n">
        <v>0</v>
      </c>
      <c r="P390" t="n">
        <v>0</v>
      </c>
      <c r="Q390" t="n">
        <v>0</v>
      </c>
      <c r="R390" s="2" t="inlineStr"/>
    </row>
    <row r="391" ht="15" customHeight="1">
      <c r="A391" t="inlineStr">
        <is>
          <t>A 31067-2023</t>
        </is>
      </c>
      <c r="B391" s="1" t="n">
        <v>45113</v>
      </c>
      <c r="C391" s="1" t="n">
        <v>45990</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52688-2025</t>
        </is>
      </c>
      <c r="B392" s="1" t="n">
        <v>45956.38578703703</v>
      </c>
      <c r="C392" s="1" t="n">
        <v>45990</v>
      </c>
      <c r="D392" t="inlineStr">
        <is>
          <t>NORRBOTTENS LÄN</t>
        </is>
      </c>
      <c r="E392" t="inlineStr">
        <is>
          <t>LULEÅ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46869-2024</t>
        </is>
      </c>
      <c r="B393" s="1" t="n">
        <v>45583</v>
      </c>
      <c r="C393" s="1" t="n">
        <v>45990</v>
      </c>
      <c r="D393" t="inlineStr">
        <is>
          <t>NORRBOTTENS LÄN</t>
        </is>
      </c>
      <c r="E393" t="inlineStr">
        <is>
          <t>LULEÅ</t>
        </is>
      </c>
      <c r="G393" t="n">
        <v>4.4</v>
      </c>
      <c r="H393" t="n">
        <v>0</v>
      </c>
      <c r="I393" t="n">
        <v>0</v>
      </c>
      <c r="J393" t="n">
        <v>0</v>
      </c>
      <c r="K393" t="n">
        <v>0</v>
      </c>
      <c r="L393" t="n">
        <v>0</v>
      </c>
      <c r="M393" t="n">
        <v>0</v>
      </c>
      <c r="N393" t="n">
        <v>0</v>
      </c>
      <c r="O393" t="n">
        <v>0</v>
      </c>
      <c r="P393" t="n">
        <v>0</v>
      </c>
      <c r="Q393" t="n">
        <v>0</v>
      </c>
      <c r="R393" s="2" t="inlineStr"/>
    </row>
    <row r="394" ht="15" customHeight="1">
      <c r="A394" t="inlineStr">
        <is>
          <t>A 26267-2022</t>
        </is>
      </c>
      <c r="B394" s="1" t="n">
        <v>44735.5158912037</v>
      </c>
      <c r="C394" s="1" t="n">
        <v>45990</v>
      </c>
      <c r="D394" t="inlineStr">
        <is>
          <t>NORRBOTTENS LÄN</t>
        </is>
      </c>
      <c r="E394" t="inlineStr">
        <is>
          <t>LULEÅ</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46469-2025</t>
        </is>
      </c>
      <c r="B395" s="1" t="n">
        <v>45925.68186342593</v>
      </c>
      <c r="C395" s="1" t="n">
        <v>45990</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46314-2025</t>
        </is>
      </c>
      <c r="B396" s="1" t="n">
        <v>45925</v>
      </c>
      <c r="C396" s="1" t="n">
        <v>45990</v>
      </c>
      <c r="D396" t="inlineStr">
        <is>
          <t>NORRBOTTENS LÄN</t>
        </is>
      </c>
      <c r="E396" t="inlineStr">
        <is>
          <t>LULEÅ</t>
        </is>
      </c>
      <c r="G396" t="n">
        <v>2.5</v>
      </c>
      <c r="H396" t="n">
        <v>0</v>
      </c>
      <c r="I396" t="n">
        <v>0</v>
      </c>
      <c r="J396" t="n">
        <v>0</v>
      </c>
      <c r="K396" t="n">
        <v>0</v>
      </c>
      <c r="L396" t="n">
        <v>0</v>
      </c>
      <c r="M396" t="n">
        <v>0</v>
      </c>
      <c r="N396" t="n">
        <v>0</v>
      </c>
      <c r="O396" t="n">
        <v>0</v>
      </c>
      <c r="P396" t="n">
        <v>0</v>
      </c>
      <c r="Q396" t="n">
        <v>0</v>
      </c>
      <c r="R396" s="2" t="inlineStr"/>
    </row>
    <row r="397" ht="15" customHeight="1">
      <c r="A397" t="inlineStr">
        <is>
          <t>A 46344-2025</t>
        </is>
      </c>
      <c r="B397" s="1" t="n">
        <v>45925</v>
      </c>
      <c r="C397" s="1" t="n">
        <v>45990</v>
      </c>
      <c r="D397" t="inlineStr">
        <is>
          <t>NORRBOTTENS LÄN</t>
        </is>
      </c>
      <c r="E397" t="inlineStr">
        <is>
          <t>LULEÅ</t>
        </is>
      </c>
      <c r="F397" t="inlineStr">
        <is>
          <t>SCA</t>
        </is>
      </c>
      <c r="G397" t="n">
        <v>13.9</v>
      </c>
      <c r="H397" t="n">
        <v>0</v>
      </c>
      <c r="I397" t="n">
        <v>0</v>
      </c>
      <c r="J397" t="n">
        <v>0</v>
      </c>
      <c r="K397" t="n">
        <v>0</v>
      </c>
      <c r="L397" t="n">
        <v>0</v>
      </c>
      <c r="M397" t="n">
        <v>0</v>
      </c>
      <c r="N397" t="n">
        <v>0</v>
      </c>
      <c r="O397" t="n">
        <v>0</v>
      </c>
      <c r="P397" t="n">
        <v>0</v>
      </c>
      <c r="Q397" t="n">
        <v>0</v>
      </c>
      <c r="R397" s="2" t="inlineStr"/>
    </row>
    <row r="398" ht="15" customHeight="1">
      <c r="A398" t="inlineStr">
        <is>
          <t>A 46430-2025</t>
        </is>
      </c>
      <c r="B398" s="1" t="n">
        <v>45925.61494212963</v>
      </c>
      <c r="C398" s="1" t="n">
        <v>45990</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17899-2025</t>
        </is>
      </c>
      <c r="B399" s="1" t="n">
        <v>45758.69832175926</v>
      </c>
      <c r="C399" s="1" t="n">
        <v>45990</v>
      </c>
      <c r="D399" t="inlineStr">
        <is>
          <t>NORRBOTTENS LÄN</t>
        </is>
      </c>
      <c r="E399" t="inlineStr">
        <is>
          <t>LULEÅ</t>
        </is>
      </c>
      <c r="G399" t="n">
        <v>3.1</v>
      </c>
      <c r="H399" t="n">
        <v>0</v>
      </c>
      <c r="I399" t="n">
        <v>0</v>
      </c>
      <c r="J399" t="n">
        <v>0</v>
      </c>
      <c r="K399" t="n">
        <v>0</v>
      </c>
      <c r="L399" t="n">
        <v>0</v>
      </c>
      <c r="M399" t="n">
        <v>0</v>
      </c>
      <c r="N399" t="n">
        <v>0</v>
      </c>
      <c r="O399" t="n">
        <v>0</v>
      </c>
      <c r="P399" t="n">
        <v>0</v>
      </c>
      <c r="Q399" t="n">
        <v>0</v>
      </c>
      <c r="R399" s="2" t="inlineStr"/>
    </row>
    <row r="400" ht="15" customHeight="1">
      <c r="A400" t="inlineStr">
        <is>
          <t>A 52677-2025</t>
        </is>
      </c>
      <c r="B400" s="1" t="n">
        <v>45956.34443287037</v>
      </c>
      <c r="C400" s="1" t="n">
        <v>45990</v>
      </c>
      <c r="D400" t="inlineStr">
        <is>
          <t>NORRBOTTENS LÄN</t>
        </is>
      </c>
      <c r="E400" t="inlineStr">
        <is>
          <t>LULEÅ</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45990</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1683-2025</t>
        </is>
      </c>
      <c r="B402" s="1" t="n">
        <v>45670.69847222222</v>
      </c>
      <c r="C402" s="1" t="n">
        <v>45990</v>
      </c>
      <c r="D402" t="inlineStr">
        <is>
          <t>NORRBOTTENS LÄN</t>
        </is>
      </c>
      <c r="E402" t="inlineStr">
        <is>
          <t>LULEÅ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8750-2025</t>
        </is>
      </c>
      <c r="B403" s="1" t="n">
        <v>45712.56173611111</v>
      </c>
      <c r="C403" s="1" t="n">
        <v>45990</v>
      </c>
      <c r="D403" t="inlineStr">
        <is>
          <t>NORRBOTTENS LÄN</t>
        </is>
      </c>
      <c r="E403" t="inlineStr">
        <is>
          <t>LULEÅ</t>
        </is>
      </c>
      <c r="G403" t="n">
        <v>10.8</v>
      </c>
      <c r="H403" t="n">
        <v>0</v>
      </c>
      <c r="I403" t="n">
        <v>0</v>
      </c>
      <c r="J403" t="n">
        <v>0</v>
      </c>
      <c r="K403" t="n">
        <v>0</v>
      </c>
      <c r="L403" t="n">
        <v>0</v>
      </c>
      <c r="M403" t="n">
        <v>0</v>
      </c>
      <c r="N403" t="n">
        <v>0</v>
      </c>
      <c r="O403" t="n">
        <v>0</v>
      </c>
      <c r="P403" t="n">
        <v>0</v>
      </c>
      <c r="Q403" t="n">
        <v>0</v>
      </c>
      <c r="R403" s="2" t="inlineStr"/>
    </row>
    <row r="404" ht="15" customHeight="1">
      <c r="A404" t="inlineStr">
        <is>
          <t>A 60387-2024</t>
        </is>
      </c>
      <c r="B404" s="1" t="n">
        <v>45643.48357638889</v>
      </c>
      <c r="C404" s="1" t="n">
        <v>45990</v>
      </c>
      <c r="D404" t="inlineStr">
        <is>
          <t>NORRBOTTENS LÄN</t>
        </is>
      </c>
      <c r="E404" t="inlineStr">
        <is>
          <t>LULEÅ</t>
        </is>
      </c>
      <c r="G404" t="n">
        <v>3.4</v>
      </c>
      <c r="H404" t="n">
        <v>0</v>
      </c>
      <c r="I404" t="n">
        <v>0</v>
      </c>
      <c r="J404" t="n">
        <v>0</v>
      </c>
      <c r="K404" t="n">
        <v>0</v>
      </c>
      <c r="L404" t="n">
        <v>0</v>
      </c>
      <c r="M404" t="n">
        <v>0</v>
      </c>
      <c r="N404" t="n">
        <v>0</v>
      </c>
      <c r="O404" t="n">
        <v>0</v>
      </c>
      <c r="P404" t="n">
        <v>0</v>
      </c>
      <c r="Q404" t="n">
        <v>0</v>
      </c>
      <c r="R404" s="2" t="inlineStr"/>
    </row>
    <row r="405" ht="15" customHeight="1">
      <c r="A405" t="inlineStr">
        <is>
          <t>A 46060-2025</t>
        </is>
      </c>
      <c r="B405" s="1" t="n">
        <v>45924</v>
      </c>
      <c r="C405" s="1" t="n">
        <v>45990</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45182-2024</t>
        </is>
      </c>
      <c r="B406" s="1" t="n">
        <v>45575.66403935185</v>
      </c>
      <c r="C406" s="1" t="n">
        <v>45990</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14128-2023</t>
        </is>
      </c>
      <c r="B407" s="1" t="n">
        <v>45009</v>
      </c>
      <c r="C407" s="1" t="n">
        <v>45990</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37948-2025</t>
        </is>
      </c>
      <c r="B408" s="1" t="n">
        <v>45881.61543981481</v>
      </c>
      <c r="C408" s="1" t="n">
        <v>45990</v>
      </c>
      <c r="D408" t="inlineStr">
        <is>
          <t>NORRBOTTENS LÄN</t>
        </is>
      </c>
      <c r="E408" t="inlineStr">
        <is>
          <t>LULEÅ</t>
        </is>
      </c>
      <c r="G408" t="n">
        <v>2.7</v>
      </c>
      <c r="H408" t="n">
        <v>0</v>
      </c>
      <c r="I408" t="n">
        <v>0</v>
      </c>
      <c r="J408" t="n">
        <v>0</v>
      </c>
      <c r="K408" t="n">
        <v>0</v>
      </c>
      <c r="L408" t="n">
        <v>0</v>
      </c>
      <c r="M408" t="n">
        <v>0</v>
      </c>
      <c r="N408" t="n">
        <v>0</v>
      </c>
      <c r="O408" t="n">
        <v>0</v>
      </c>
      <c r="P408" t="n">
        <v>0</v>
      </c>
      <c r="Q408" t="n">
        <v>0</v>
      </c>
      <c r="R408" s="2" t="inlineStr"/>
    </row>
    <row r="409" ht="15" customHeight="1">
      <c r="A409" t="inlineStr">
        <is>
          <t>A 454-2024</t>
        </is>
      </c>
      <c r="B409" s="1" t="n">
        <v>45296</v>
      </c>
      <c r="C409" s="1" t="n">
        <v>45990</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37784-2025</t>
        </is>
      </c>
      <c r="B410" s="1" t="n">
        <v>45880.95241898148</v>
      </c>
      <c r="C410" s="1" t="n">
        <v>45990</v>
      </c>
      <c r="D410" t="inlineStr">
        <is>
          <t>NORRBOTTENS LÄN</t>
        </is>
      </c>
      <c r="E410" t="inlineStr">
        <is>
          <t>LULEÅ</t>
        </is>
      </c>
      <c r="G410" t="n">
        <v>4.3</v>
      </c>
      <c r="H410" t="n">
        <v>0</v>
      </c>
      <c r="I410" t="n">
        <v>0</v>
      </c>
      <c r="J410" t="n">
        <v>0</v>
      </c>
      <c r="K410" t="n">
        <v>0</v>
      </c>
      <c r="L410" t="n">
        <v>0</v>
      </c>
      <c r="M410" t="n">
        <v>0</v>
      </c>
      <c r="N410" t="n">
        <v>0</v>
      </c>
      <c r="O410" t="n">
        <v>0</v>
      </c>
      <c r="P410" t="n">
        <v>0</v>
      </c>
      <c r="Q410" t="n">
        <v>0</v>
      </c>
      <c r="R410" s="2" t="inlineStr"/>
    </row>
    <row r="411" ht="15" customHeight="1">
      <c r="A411" t="inlineStr">
        <is>
          <t>A 37783-2025</t>
        </is>
      </c>
      <c r="B411" s="1" t="n">
        <v>45880.94430555555</v>
      </c>
      <c r="C411" s="1" t="n">
        <v>45990</v>
      </c>
      <c r="D411" t="inlineStr">
        <is>
          <t>NORRBOTTENS LÄN</t>
        </is>
      </c>
      <c r="E411" t="inlineStr">
        <is>
          <t>LULEÅ</t>
        </is>
      </c>
      <c r="G411" t="n">
        <v>7.2</v>
      </c>
      <c r="H411" t="n">
        <v>0</v>
      </c>
      <c r="I411" t="n">
        <v>0</v>
      </c>
      <c r="J411" t="n">
        <v>0</v>
      </c>
      <c r="K411" t="n">
        <v>0</v>
      </c>
      <c r="L411" t="n">
        <v>0</v>
      </c>
      <c r="M411" t="n">
        <v>0</v>
      </c>
      <c r="N411" t="n">
        <v>0</v>
      </c>
      <c r="O411" t="n">
        <v>0</v>
      </c>
      <c r="P411" t="n">
        <v>0</v>
      </c>
      <c r="Q411" t="n">
        <v>0</v>
      </c>
      <c r="R411" s="2" t="inlineStr"/>
    </row>
    <row r="412" ht="15" customHeight="1">
      <c r="A412" t="inlineStr">
        <is>
          <t>A 55090-2025</t>
        </is>
      </c>
      <c r="B412" s="1" t="n">
        <v>45968.34435185185</v>
      </c>
      <c r="C412" s="1" t="n">
        <v>45990</v>
      </c>
      <c r="D412" t="inlineStr">
        <is>
          <t>NORRBOTTENS LÄN</t>
        </is>
      </c>
      <c r="E412" t="inlineStr">
        <is>
          <t>LULEÅ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55443-2025</t>
        </is>
      </c>
      <c r="B413" s="1" t="n">
        <v>45971.49157407408</v>
      </c>
      <c r="C413" s="1" t="n">
        <v>45990</v>
      </c>
      <c r="D413" t="inlineStr">
        <is>
          <t>NORRBOTTENS LÄN</t>
        </is>
      </c>
      <c r="E413" t="inlineStr">
        <is>
          <t>LULEÅ</t>
        </is>
      </c>
      <c r="G413" t="n">
        <v>5.6</v>
      </c>
      <c r="H413" t="n">
        <v>0</v>
      </c>
      <c r="I413" t="n">
        <v>0</v>
      </c>
      <c r="J413" t="n">
        <v>0</v>
      </c>
      <c r="K413" t="n">
        <v>0</v>
      </c>
      <c r="L413" t="n">
        <v>0</v>
      </c>
      <c r="M413" t="n">
        <v>0</v>
      </c>
      <c r="N413" t="n">
        <v>0</v>
      </c>
      <c r="O413" t="n">
        <v>0</v>
      </c>
      <c r="P413" t="n">
        <v>0</v>
      </c>
      <c r="Q413" t="n">
        <v>0</v>
      </c>
      <c r="R413" s="2" t="inlineStr"/>
    </row>
    <row r="414" ht="15" customHeight="1">
      <c r="A414" t="inlineStr">
        <is>
          <t>A 60130-2024</t>
        </is>
      </c>
      <c r="B414" s="1" t="n">
        <v>45642.59327546296</v>
      </c>
      <c r="C414" s="1" t="n">
        <v>45990</v>
      </c>
      <c r="D414" t="inlineStr">
        <is>
          <t>NORRBOTTENS LÄN</t>
        </is>
      </c>
      <c r="E414" t="inlineStr">
        <is>
          <t>LULEÅ</t>
        </is>
      </c>
      <c r="G414" t="n">
        <v>1</v>
      </c>
      <c r="H414" t="n">
        <v>0</v>
      </c>
      <c r="I414" t="n">
        <v>0</v>
      </c>
      <c r="J414" t="n">
        <v>0</v>
      </c>
      <c r="K414" t="n">
        <v>0</v>
      </c>
      <c r="L414" t="n">
        <v>0</v>
      </c>
      <c r="M414" t="n">
        <v>0</v>
      </c>
      <c r="N414" t="n">
        <v>0</v>
      </c>
      <c r="O414" t="n">
        <v>0</v>
      </c>
      <c r="P414" t="n">
        <v>0</v>
      </c>
      <c r="Q414" t="n">
        <v>0</v>
      </c>
      <c r="R414" s="2" t="inlineStr"/>
    </row>
    <row r="415" ht="15" customHeight="1">
      <c r="A415" t="inlineStr">
        <is>
          <t>A 38434-2025</t>
        </is>
      </c>
      <c r="B415" s="1" t="n">
        <v>45883.64178240741</v>
      </c>
      <c r="C415" s="1" t="n">
        <v>45990</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17439-2023</t>
        </is>
      </c>
      <c r="B416" s="1" t="n">
        <v>45035.92714120371</v>
      </c>
      <c r="C416" s="1" t="n">
        <v>45990</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45857-2024</t>
        </is>
      </c>
      <c r="B417" s="1" t="n">
        <v>45580.34554398148</v>
      </c>
      <c r="C417" s="1" t="n">
        <v>45990</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46572-2025</t>
        </is>
      </c>
      <c r="B418" s="1" t="n">
        <v>45926.3683912037</v>
      </c>
      <c r="C418" s="1" t="n">
        <v>45990</v>
      </c>
      <c r="D418" t="inlineStr">
        <is>
          <t>NORRBOTTENS LÄN</t>
        </is>
      </c>
      <c r="E418" t="inlineStr">
        <is>
          <t>LULEÅ</t>
        </is>
      </c>
      <c r="G418" t="n">
        <v>15.1</v>
      </c>
      <c r="H418" t="n">
        <v>0</v>
      </c>
      <c r="I418" t="n">
        <v>0</v>
      </c>
      <c r="J418" t="n">
        <v>0</v>
      </c>
      <c r="K418" t="n">
        <v>0</v>
      </c>
      <c r="L418" t="n">
        <v>0</v>
      </c>
      <c r="M418" t="n">
        <v>0</v>
      </c>
      <c r="N418" t="n">
        <v>0</v>
      </c>
      <c r="O418" t="n">
        <v>0</v>
      </c>
      <c r="P418" t="n">
        <v>0</v>
      </c>
      <c r="Q418" t="n">
        <v>0</v>
      </c>
      <c r="R418" s="2" t="inlineStr"/>
    </row>
    <row r="419" ht="15" customHeight="1">
      <c r="A419" t="inlineStr">
        <is>
          <t>A 9449-2023</t>
        </is>
      </c>
      <c r="B419" s="1" t="n">
        <v>44981</v>
      </c>
      <c r="C419" s="1" t="n">
        <v>45990</v>
      </c>
      <c r="D419" t="inlineStr">
        <is>
          <t>NORRBOTTENS LÄN</t>
        </is>
      </c>
      <c r="E419" t="inlineStr">
        <is>
          <t>LULEÅ</t>
        </is>
      </c>
      <c r="G419" t="n">
        <v>6.1</v>
      </c>
      <c r="H419" t="n">
        <v>0</v>
      </c>
      <c r="I419" t="n">
        <v>0</v>
      </c>
      <c r="J419" t="n">
        <v>0</v>
      </c>
      <c r="K419" t="n">
        <v>0</v>
      </c>
      <c r="L419" t="n">
        <v>0</v>
      </c>
      <c r="M419" t="n">
        <v>0</v>
      </c>
      <c r="N419" t="n">
        <v>0</v>
      </c>
      <c r="O419" t="n">
        <v>0</v>
      </c>
      <c r="P419" t="n">
        <v>0</v>
      </c>
      <c r="Q419" t="n">
        <v>0</v>
      </c>
      <c r="R419" s="2" t="inlineStr"/>
    </row>
    <row r="420" ht="15" customHeight="1">
      <c r="A420" t="inlineStr">
        <is>
          <t>A 6841-2024</t>
        </is>
      </c>
      <c r="B420" s="1" t="n">
        <v>45342</v>
      </c>
      <c r="C420" s="1" t="n">
        <v>45990</v>
      </c>
      <c r="D420" t="inlineStr">
        <is>
          <t>NORRBOTTENS LÄN</t>
        </is>
      </c>
      <c r="E420" t="inlineStr">
        <is>
          <t>LULEÅ</t>
        </is>
      </c>
      <c r="G420" t="n">
        <v>2.8</v>
      </c>
      <c r="H420" t="n">
        <v>0</v>
      </c>
      <c r="I420" t="n">
        <v>0</v>
      </c>
      <c r="J420" t="n">
        <v>0</v>
      </c>
      <c r="K420" t="n">
        <v>0</v>
      </c>
      <c r="L420" t="n">
        <v>0</v>
      </c>
      <c r="M420" t="n">
        <v>0</v>
      </c>
      <c r="N420" t="n">
        <v>0</v>
      </c>
      <c r="O420" t="n">
        <v>0</v>
      </c>
      <c r="P420" t="n">
        <v>0</v>
      </c>
      <c r="Q420" t="n">
        <v>0</v>
      </c>
      <c r="R420" s="2" t="inlineStr"/>
    </row>
    <row r="421" ht="15" customHeight="1">
      <c r="A421" t="inlineStr">
        <is>
          <t>A 57823-2022</t>
        </is>
      </c>
      <c r="B421" s="1" t="n">
        <v>44897</v>
      </c>
      <c r="C421" s="1" t="n">
        <v>45990</v>
      </c>
      <c r="D421" t="inlineStr">
        <is>
          <t>NORRBOTTENS LÄN</t>
        </is>
      </c>
      <c r="E421" t="inlineStr">
        <is>
          <t>LULEÅ</t>
        </is>
      </c>
      <c r="G421" t="n">
        <v>6.7</v>
      </c>
      <c r="H421" t="n">
        <v>0</v>
      </c>
      <c r="I421" t="n">
        <v>0</v>
      </c>
      <c r="J421" t="n">
        <v>0</v>
      </c>
      <c r="K421" t="n">
        <v>0</v>
      </c>
      <c r="L421" t="n">
        <v>0</v>
      </c>
      <c r="M421" t="n">
        <v>0</v>
      </c>
      <c r="N421" t="n">
        <v>0</v>
      </c>
      <c r="O421" t="n">
        <v>0</v>
      </c>
      <c r="P421" t="n">
        <v>0</v>
      </c>
      <c r="Q421" t="n">
        <v>0</v>
      </c>
      <c r="R421" s="2" t="inlineStr"/>
    </row>
    <row r="422" ht="15" customHeight="1">
      <c r="A422" t="inlineStr">
        <is>
          <t>A 57825-2022</t>
        </is>
      </c>
      <c r="B422" s="1" t="n">
        <v>44897</v>
      </c>
      <c r="C422" s="1" t="n">
        <v>45990</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38936-2025</t>
        </is>
      </c>
      <c r="B423" s="1" t="n">
        <v>45884</v>
      </c>
      <c r="C423" s="1" t="n">
        <v>45990</v>
      </c>
      <c r="D423" t="inlineStr">
        <is>
          <t>NORRBOTTENS LÄN</t>
        </is>
      </c>
      <c r="E423" t="inlineStr">
        <is>
          <t>LULEÅ</t>
        </is>
      </c>
      <c r="G423" t="n">
        <v>2</v>
      </c>
      <c r="H423" t="n">
        <v>0</v>
      </c>
      <c r="I423" t="n">
        <v>0</v>
      </c>
      <c r="J423" t="n">
        <v>0</v>
      </c>
      <c r="K423" t="n">
        <v>0</v>
      </c>
      <c r="L423" t="n">
        <v>0</v>
      </c>
      <c r="M423" t="n">
        <v>0</v>
      </c>
      <c r="N423" t="n">
        <v>0</v>
      </c>
      <c r="O423" t="n">
        <v>0</v>
      </c>
      <c r="P423" t="n">
        <v>0</v>
      </c>
      <c r="Q423" t="n">
        <v>0</v>
      </c>
      <c r="R423" s="2" t="inlineStr"/>
    </row>
    <row r="424" ht="15" customHeight="1">
      <c r="A424" t="inlineStr">
        <is>
          <t>A 27303-2022</t>
        </is>
      </c>
      <c r="B424" s="1" t="n">
        <v>44741</v>
      </c>
      <c r="C424" s="1" t="n">
        <v>45990</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10885-2023</t>
        </is>
      </c>
      <c r="B425" s="1" t="n">
        <v>44985</v>
      </c>
      <c r="C425" s="1" t="n">
        <v>45990</v>
      </c>
      <c r="D425" t="inlineStr">
        <is>
          <t>NORRBOTTENS LÄN</t>
        </is>
      </c>
      <c r="E425" t="inlineStr">
        <is>
          <t>LULEÅ</t>
        </is>
      </c>
      <c r="G425" t="n">
        <v>3.1</v>
      </c>
      <c r="H425" t="n">
        <v>0</v>
      </c>
      <c r="I425" t="n">
        <v>0</v>
      </c>
      <c r="J425" t="n">
        <v>0</v>
      </c>
      <c r="K425" t="n">
        <v>0</v>
      </c>
      <c r="L425" t="n">
        <v>0</v>
      </c>
      <c r="M425" t="n">
        <v>0</v>
      </c>
      <c r="N425" t="n">
        <v>0</v>
      </c>
      <c r="O425" t="n">
        <v>0</v>
      </c>
      <c r="P425" t="n">
        <v>0</v>
      </c>
      <c r="Q425" t="n">
        <v>0</v>
      </c>
      <c r="R425" s="2" t="inlineStr"/>
    </row>
    <row r="426" ht="15" customHeight="1">
      <c r="A426" t="inlineStr">
        <is>
          <t>A 20723-2021</t>
        </is>
      </c>
      <c r="B426" s="1" t="n">
        <v>44316.52800925926</v>
      </c>
      <c r="C426" s="1" t="n">
        <v>45990</v>
      </c>
      <c r="D426" t="inlineStr">
        <is>
          <t>NORRBOTTENS LÄN</t>
        </is>
      </c>
      <c r="E426" t="inlineStr">
        <is>
          <t>LULEÅ</t>
        </is>
      </c>
      <c r="G426" t="n">
        <v>7</v>
      </c>
      <c r="H426" t="n">
        <v>0</v>
      </c>
      <c r="I426" t="n">
        <v>0</v>
      </c>
      <c r="J426" t="n">
        <v>0</v>
      </c>
      <c r="K426" t="n">
        <v>0</v>
      </c>
      <c r="L426" t="n">
        <v>0</v>
      </c>
      <c r="M426" t="n">
        <v>0</v>
      </c>
      <c r="N426" t="n">
        <v>0</v>
      </c>
      <c r="O426" t="n">
        <v>0</v>
      </c>
      <c r="P426" t="n">
        <v>0</v>
      </c>
      <c r="Q426" t="n">
        <v>0</v>
      </c>
      <c r="R426" s="2" t="inlineStr"/>
    </row>
    <row r="427" ht="15" customHeight="1">
      <c r="A427" t="inlineStr">
        <is>
          <t>A 19983-2025</t>
        </is>
      </c>
      <c r="B427" s="1" t="n">
        <v>45771.71908564815</v>
      </c>
      <c r="C427" s="1" t="n">
        <v>45990</v>
      </c>
      <c r="D427" t="inlineStr">
        <is>
          <t>NORRBOTTENS LÄN</t>
        </is>
      </c>
      <c r="E427" t="inlineStr">
        <is>
          <t>LULEÅ</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806-2025</t>
        </is>
      </c>
      <c r="B428" s="1" t="n">
        <v>45664</v>
      </c>
      <c r="C428" s="1" t="n">
        <v>45990</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817-2025</t>
        </is>
      </c>
      <c r="B429" s="1" t="n">
        <v>45664</v>
      </c>
      <c r="C429" s="1" t="n">
        <v>45990</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38714-2025</t>
        </is>
      </c>
      <c r="B430" s="1" t="n">
        <v>45886.34490740741</v>
      </c>
      <c r="C430" s="1" t="n">
        <v>45990</v>
      </c>
      <c r="D430" t="inlineStr">
        <is>
          <t>NORRBOTTENS LÄN</t>
        </is>
      </c>
      <c r="E430" t="inlineStr">
        <is>
          <t>LULEÅ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47512-2025</t>
        </is>
      </c>
      <c r="B431" s="1" t="n">
        <v>45930</v>
      </c>
      <c r="C431" s="1" t="n">
        <v>45990</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61557-2024</t>
        </is>
      </c>
      <c r="B432" s="1" t="n">
        <v>45646.61081018519</v>
      </c>
      <c r="C432" s="1" t="n">
        <v>45990</v>
      </c>
      <c r="D432" t="inlineStr">
        <is>
          <t>NORRBOTTENS LÄN</t>
        </is>
      </c>
      <c r="E432" t="inlineStr">
        <is>
          <t>LULEÅ</t>
        </is>
      </c>
      <c r="G432" t="n">
        <v>2</v>
      </c>
      <c r="H432" t="n">
        <v>0</v>
      </c>
      <c r="I432" t="n">
        <v>0</v>
      </c>
      <c r="J432" t="n">
        <v>0</v>
      </c>
      <c r="K432" t="n">
        <v>0</v>
      </c>
      <c r="L432" t="n">
        <v>0</v>
      </c>
      <c r="M432" t="n">
        <v>0</v>
      </c>
      <c r="N432" t="n">
        <v>0</v>
      </c>
      <c r="O432" t="n">
        <v>0</v>
      </c>
      <c r="P432" t="n">
        <v>0</v>
      </c>
      <c r="Q432" t="n">
        <v>0</v>
      </c>
      <c r="R432" s="2" t="inlineStr"/>
    </row>
    <row r="433" ht="15" customHeight="1">
      <c r="A433" t="inlineStr">
        <is>
          <t>A 47888-2025</t>
        </is>
      </c>
      <c r="B433" s="1" t="n">
        <v>45932.46949074074</v>
      </c>
      <c r="C433" s="1" t="n">
        <v>45990</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56643-2025</t>
        </is>
      </c>
      <c r="B434" s="1" t="n">
        <v>45975.62664351852</v>
      </c>
      <c r="C434" s="1" t="n">
        <v>45990</v>
      </c>
      <c r="D434" t="inlineStr">
        <is>
          <t>NORRBOTTENS LÄN</t>
        </is>
      </c>
      <c r="E434" t="inlineStr">
        <is>
          <t>LULEÅ</t>
        </is>
      </c>
      <c r="G434" t="n">
        <v>4.4</v>
      </c>
      <c r="H434" t="n">
        <v>0</v>
      </c>
      <c r="I434" t="n">
        <v>0</v>
      </c>
      <c r="J434" t="n">
        <v>0</v>
      </c>
      <c r="K434" t="n">
        <v>0</v>
      </c>
      <c r="L434" t="n">
        <v>0</v>
      </c>
      <c r="M434" t="n">
        <v>0</v>
      </c>
      <c r="N434" t="n">
        <v>0</v>
      </c>
      <c r="O434" t="n">
        <v>0</v>
      </c>
      <c r="P434" t="n">
        <v>0</v>
      </c>
      <c r="Q434" t="n">
        <v>0</v>
      </c>
      <c r="R434" s="2" t="inlineStr"/>
    </row>
    <row r="435" ht="15" customHeight="1">
      <c r="A435" t="inlineStr">
        <is>
          <t>A 43861-2023</t>
        </is>
      </c>
      <c r="B435" s="1" t="n">
        <v>45187</v>
      </c>
      <c r="C435" s="1" t="n">
        <v>45990</v>
      </c>
      <c r="D435" t="inlineStr">
        <is>
          <t>NORRBOTTENS LÄN</t>
        </is>
      </c>
      <c r="E435" t="inlineStr">
        <is>
          <t>LULEÅ</t>
        </is>
      </c>
      <c r="G435" t="n">
        <v>5.1</v>
      </c>
      <c r="H435" t="n">
        <v>0</v>
      </c>
      <c r="I435" t="n">
        <v>0</v>
      </c>
      <c r="J435" t="n">
        <v>0</v>
      </c>
      <c r="K435" t="n">
        <v>0</v>
      </c>
      <c r="L435" t="n">
        <v>0</v>
      </c>
      <c r="M435" t="n">
        <v>0</v>
      </c>
      <c r="N435" t="n">
        <v>0</v>
      </c>
      <c r="O435" t="n">
        <v>0</v>
      </c>
      <c r="P435" t="n">
        <v>0</v>
      </c>
      <c r="Q435" t="n">
        <v>0</v>
      </c>
      <c r="R435" s="2" t="inlineStr"/>
    </row>
    <row r="436" ht="15" customHeight="1">
      <c r="A436" t="inlineStr">
        <is>
          <t>A 56677-2025</t>
        </is>
      </c>
      <c r="B436" s="1" t="n">
        <v>45975.72868055556</v>
      </c>
      <c r="C436" s="1" t="n">
        <v>45990</v>
      </c>
      <c r="D436" t="inlineStr">
        <is>
          <t>NORRBOTTENS LÄN</t>
        </is>
      </c>
      <c r="E436" t="inlineStr">
        <is>
          <t>LULEÅ</t>
        </is>
      </c>
      <c r="G436" t="n">
        <v>5.9</v>
      </c>
      <c r="H436" t="n">
        <v>0</v>
      </c>
      <c r="I436" t="n">
        <v>0</v>
      </c>
      <c r="J436" t="n">
        <v>0</v>
      </c>
      <c r="K436" t="n">
        <v>0</v>
      </c>
      <c r="L436" t="n">
        <v>0</v>
      </c>
      <c r="M436" t="n">
        <v>0</v>
      </c>
      <c r="N436" t="n">
        <v>0</v>
      </c>
      <c r="O436" t="n">
        <v>0</v>
      </c>
      <c r="P436" t="n">
        <v>0</v>
      </c>
      <c r="Q436" t="n">
        <v>0</v>
      </c>
      <c r="R436" s="2" t="inlineStr"/>
    </row>
    <row r="437" ht="15" customHeight="1">
      <c r="A437" t="inlineStr">
        <is>
          <t>A 9286-2023</t>
        </is>
      </c>
      <c r="B437" s="1" t="n">
        <v>44977</v>
      </c>
      <c r="C437" s="1" t="n">
        <v>45990</v>
      </c>
      <c r="D437" t="inlineStr">
        <is>
          <t>NORRBOTTENS LÄN</t>
        </is>
      </c>
      <c r="E437" t="inlineStr">
        <is>
          <t>LULEÅ</t>
        </is>
      </c>
      <c r="G437" t="n">
        <v>1.7</v>
      </c>
      <c r="H437" t="n">
        <v>0</v>
      </c>
      <c r="I437" t="n">
        <v>0</v>
      </c>
      <c r="J437" t="n">
        <v>0</v>
      </c>
      <c r="K437" t="n">
        <v>0</v>
      </c>
      <c r="L437" t="n">
        <v>0</v>
      </c>
      <c r="M437" t="n">
        <v>0</v>
      </c>
      <c r="N437" t="n">
        <v>0</v>
      </c>
      <c r="O437" t="n">
        <v>0</v>
      </c>
      <c r="P437" t="n">
        <v>0</v>
      </c>
      <c r="Q437" t="n">
        <v>0</v>
      </c>
      <c r="R437" s="2" t="inlineStr"/>
    </row>
    <row r="438" ht="15" customHeight="1">
      <c r="A438" t="inlineStr">
        <is>
          <t>A 9289-2023</t>
        </is>
      </c>
      <c r="B438" s="1" t="n">
        <v>44977</v>
      </c>
      <c r="C438" s="1" t="n">
        <v>45990</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9706-2022</t>
        </is>
      </c>
      <c r="B439" s="1" t="n">
        <v>44617</v>
      </c>
      <c r="C439" s="1" t="n">
        <v>45990</v>
      </c>
      <c r="D439" t="inlineStr">
        <is>
          <t>NORRBOTTENS LÄN</t>
        </is>
      </c>
      <c r="E439" t="inlineStr">
        <is>
          <t>LULEÅ</t>
        </is>
      </c>
      <c r="G439" t="n">
        <v>1.7</v>
      </c>
      <c r="H439" t="n">
        <v>0</v>
      </c>
      <c r="I439" t="n">
        <v>0</v>
      </c>
      <c r="J439" t="n">
        <v>0</v>
      </c>
      <c r="K439" t="n">
        <v>0</v>
      </c>
      <c r="L439" t="n">
        <v>0</v>
      </c>
      <c r="M439" t="n">
        <v>0</v>
      </c>
      <c r="N439" t="n">
        <v>0</v>
      </c>
      <c r="O439" t="n">
        <v>0</v>
      </c>
      <c r="P439" t="n">
        <v>0</v>
      </c>
      <c r="Q439" t="n">
        <v>0</v>
      </c>
      <c r="R439" s="2" t="inlineStr"/>
    </row>
    <row r="440" ht="15" customHeight="1">
      <c r="A440" t="inlineStr">
        <is>
          <t>A 9274-2023</t>
        </is>
      </c>
      <c r="B440" s="1" t="n">
        <v>44977</v>
      </c>
      <c r="C440" s="1" t="n">
        <v>45990</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9278-2023</t>
        </is>
      </c>
      <c r="B441" s="1" t="n">
        <v>44977</v>
      </c>
      <c r="C441" s="1" t="n">
        <v>45990</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42822-2024</t>
        </is>
      </c>
      <c r="B442" s="1" t="n">
        <v>45566.59611111111</v>
      </c>
      <c r="C442" s="1" t="n">
        <v>45990</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15848-2022</t>
        </is>
      </c>
      <c r="B443" s="1" t="n">
        <v>44664</v>
      </c>
      <c r="C443" s="1" t="n">
        <v>45990</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41707-2024</t>
        </is>
      </c>
      <c r="B444" s="1" t="n">
        <v>45560.69846064815</v>
      </c>
      <c r="C444" s="1" t="n">
        <v>45990</v>
      </c>
      <c r="D444" t="inlineStr">
        <is>
          <t>NORRBOTTENS LÄN</t>
        </is>
      </c>
      <c r="E444" t="inlineStr">
        <is>
          <t>LULEÅ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41708-2024</t>
        </is>
      </c>
      <c r="B445" s="1" t="n">
        <v>45560.6984837963</v>
      </c>
      <c r="C445" s="1" t="n">
        <v>45990</v>
      </c>
      <c r="D445" t="inlineStr">
        <is>
          <t>NORRBOTTENS LÄN</t>
        </is>
      </c>
      <c r="E445" t="inlineStr">
        <is>
          <t>LULEÅ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47849-2025</t>
        </is>
      </c>
      <c r="B446" s="1" t="n">
        <v>45932.38608796296</v>
      </c>
      <c r="C446" s="1" t="n">
        <v>45990</v>
      </c>
      <c r="D446" t="inlineStr">
        <is>
          <t>NORRBOTTENS LÄN</t>
        </is>
      </c>
      <c r="E446" t="inlineStr">
        <is>
          <t>LULEÅ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56142-2025</t>
        </is>
      </c>
      <c r="B447" s="1" t="n">
        <v>45974.34443287037</v>
      </c>
      <c r="C447" s="1" t="n">
        <v>45990</v>
      </c>
      <c r="D447" t="inlineStr">
        <is>
          <t>NORRBOTTENS LÄN</t>
        </is>
      </c>
      <c r="E447" t="inlineStr">
        <is>
          <t>LULEÅ</t>
        </is>
      </c>
      <c r="F447" t="inlineStr">
        <is>
          <t>Naturvårdsverket</t>
        </is>
      </c>
      <c r="G447" t="n">
        <v>2.5</v>
      </c>
      <c r="H447" t="n">
        <v>0</v>
      </c>
      <c r="I447" t="n">
        <v>0</v>
      </c>
      <c r="J447" t="n">
        <v>0</v>
      </c>
      <c r="K447" t="n">
        <v>0</v>
      </c>
      <c r="L447" t="n">
        <v>0</v>
      </c>
      <c r="M447" t="n">
        <v>0</v>
      </c>
      <c r="N447" t="n">
        <v>0</v>
      </c>
      <c r="O447" t="n">
        <v>0</v>
      </c>
      <c r="P447" t="n">
        <v>0</v>
      </c>
      <c r="Q447" t="n">
        <v>0</v>
      </c>
      <c r="R447" s="2" t="inlineStr"/>
    </row>
    <row r="448" ht="15" customHeight="1">
      <c r="A448" t="inlineStr">
        <is>
          <t>A 28498-2024</t>
        </is>
      </c>
      <c r="B448" s="1" t="n">
        <v>45477.92725694444</v>
      </c>
      <c r="C448" s="1" t="n">
        <v>45990</v>
      </c>
      <c r="D448" t="inlineStr">
        <is>
          <t>NORRBOTTENS LÄN</t>
        </is>
      </c>
      <c r="E448" t="inlineStr">
        <is>
          <t>LULEÅ</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47928-2025</t>
        </is>
      </c>
      <c r="B449" s="1" t="n">
        <v>45932.54988425926</v>
      </c>
      <c r="C449" s="1" t="n">
        <v>45990</v>
      </c>
      <c r="D449" t="inlineStr">
        <is>
          <t>NORRBOTTENS LÄN</t>
        </is>
      </c>
      <c r="E449" t="inlineStr">
        <is>
          <t>LULEÅ</t>
        </is>
      </c>
      <c r="G449" t="n">
        <v>4.4</v>
      </c>
      <c r="H449" t="n">
        <v>0</v>
      </c>
      <c r="I449" t="n">
        <v>0</v>
      </c>
      <c r="J449" t="n">
        <v>0</v>
      </c>
      <c r="K449" t="n">
        <v>0</v>
      </c>
      <c r="L449" t="n">
        <v>0</v>
      </c>
      <c r="M449" t="n">
        <v>0</v>
      </c>
      <c r="N449" t="n">
        <v>0</v>
      </c>
      <c r="O449" t="n">
        <v>0</v>
      </c>
      <c r="P449" t="n">
        <v>0</v>
      </c>
      <c r="Q449" t="n">
        <v>0</v>
      </c>
      <c r="R449" s="2" t="inlineStr"/>
    </row>
    <row r="450" ht="15" customHeight="1">
      <c r="A450" t="inlineStr">
        <is>
          <t>A 47937-2025</t>
        </is>
      </c>
      <c r="B450" s="1" t="n">
        <v>45932.56042824074</v>
      </c>
      <c r="C450" s="1" t="n">
        <v>45990</v>
      </c>
      <c r="D450" t="inlineStr">
        <is>
          <t>NORRBOTTENS LÄN</t>
        </is>
      </c>
      <c r="E450" t="inlineStr">
        <is>
          <t>LULEÅ</t>
        </is>
      </c>
      <c r="G450" t="n">
        <v>7</v>
      </c>
      <c r="H450" t="n">
        <v>0</v>
      </c>
      <c r="I450" t="n">
        <v>0</v>
      </c>
      <c r="J450" t="n">
        <v>0</v>
      </c>
      <c r="K450" t="n">
        <v>0</v>
      </c>
      <c r="L450" t="n">
        <v>0</v>
      </c>
      <c r="M450" t="n">
        <v>0</v>
      </c>
      <c r="N450" t="n">
        <v>0</v>
      </c>
      <c r="O450" t="n">
        <v>0</v>
      </c>
      <c r="P450" t="n">
        <v>0</v>
      </c>
      <c r="Q450" t="n">
        <v>0</v>
      </c>
      <c r="R450" s="2" t="inlineStr"/>
    </row>
    <row r="451" ht="15" customHeight="1">
      <c r="A451" t="inlineStr">
        <is>
          <t>A 56649-2025</t>
        </is>
      </c>
      <c r="B451" s="1" t="n">
        <v>45975.63708333333</v>
      </c>
      <c r="C451" s="1" t="n">
        <v>45990</v>
      </c>
      <c r="D451" t="inlineStr">
        <is>
          <t>NORRBOTTENS LÄN</t>
        </is>
      </c>
      <c r="E451" t="inlineStr">
        <is>
          <t>LULEÅ</t>
        </is>
      </c>
      <c r="G451" t="n">
        <v>1.7</v>
      </c>
      <c r="H451" t="n">
        <v>0</v>
      </c>
      <c r="I451" t="n">
        <v>0</v>
      </c>
      <c r="J451" t="n">
        <v>0</v>
      </c>
      <c r="K451" t="n">
        <v>0</v>
      </c>
      <c r="L451" t="n">
        <v>0</v>
      </c>
      <c r="M451" t="n">
        <v>0</v>
      </c>
      <c r="N451" t="n">
        <v>0</v>
      </c>
      <c r="O451" t="n">
        <v>0</v>
      </c>
      <c r="P451" t="n">
        <v>0</v>
      </c>
      <c r="Q451" t="n">
        <v>0</v>
      </c>
      <c r="R451" s="2" t="inlineStr"/>
    </row>
    <row r="452" ht="15" customHeight="1">
      <c r="A452" t="inlineStr">
        <is>
          <t>A 53003-2025</t>
        </is>
      </c>
      <c r="B452" s="1" t="n">
        <v>45957</v>
      </c>
      <c r="C452" s="1" t="n">
        <v>45990</v>
      </c>
      <c r="D452" t="inlineStr">
        <is>
          <t>NORRBOTTENS LÄN</t>
        </is>
      </c>
      <c r="E452" t="inlineStr">
        <is>
          <t>LULEÅ</t>
        </is>
      </c>
      <c r="G452" t="n">
        <v>5.4</v>
      </c>
      <c r="H452" t="n">
        <v>0</v>
      </c>
      <c r="I452" t="n">
        <v>0</v>
      </c>
      <c r="J452" t="n">
        <v>0</v>
      </c>
      <c r="K452" t="n">
        <v>0</v>
      </c>
      <c r="L452" t="n">
        <v>0</v>
      </c>
      <c r="M452" t="n">
        <v>0</v>
      </c>
      <c r="N452" t="n">
        <v>0</v>
      </c>
      <c r="O452" t="n">
        <v>0</v>
      </c>
      <c r="P452" t="n">
        <v>0</v>
      </c>
      <c r="Q452" t="n">
        <v>0</v>
      </c>
      <c r="R452" s="2" t="inlineStr"/>
    </row>
    <row r="453" ht="15" customHeight="1">
      <c r="A453" t="inlineStr">
        <is>
          <t>A 48726-2025</t>
        </is>
      </c>
      <c r="B453" s="1" t="n">
        <v>45936.65599537037</v>
      </c>
      <c r="C453" s="1" t="n">
        <v>45990</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57076-2025</t>
        </is>
      </c>
      <c r="B454" s="1" t="n">
        <v>45979.40319444444</v>
      </c>
      <c r="C454" s="1" t="n">
        <v>45990</v>
      </c>
      <c r="D454" t="inlineStr">
        <is>
          <t>NORRBOTTENS LÄN</t>
        </is>
      </c>
      <c r="E454" t="inlineStr">
        <is>
          <t>LULEÅ</t>
        </is>
      </c>
      <c r="G454" t="n">
        <v>1.7</v>
      </c>
      <c r="H454" t="n">
        <v>0</v>
      </c>
      <c r="I454" t="n">
        <v>0</v>
      </c>
      <c r="J454" t="n">
        <v>0</v>
      </c>
      <c r="K454" t="n">
        <v>0</v>
      </c>
      <c r="L454" t="n">
        <v>0</v>
      </c>
      <c r="M454" t="n">
        <v>0</v>
      </c>
      <c r="N454" t="n">
        <v>0</v>
      </c>
      <c r="O454" t="n">
        <v>0</v>
      </c>
      <c r="P454" t="n">
        <v>0</v>
      </c>
      <c r="Q454" t="n">
        <v>0</v>
      </c>
      <c r="R454" s="2" t="inlineStr"/>
    </row>
    <row r="455" ht="15" customHeight="1">
      <c r="A455" t="inlineStr">
        <is>
          <t>A 48714-2025</t>
        </is>
      </c>
      <c r="B455" s="1" t="n">
        <v>45936.63619212963</v>
      </c>
      <c r="C455" s="1" t="n">
        <v>45990</v>
      </c>
      <c r="D455" t="inlineStr">
        <is>
          <t>NORRBOTTENS LÄN</t>
        </is>
      </c>
      <c r="E455" t="inlineStr">
        <is>
          <t>LULEÅ</t>
        </is>
      </c>
      <c r="G455" t="n">
        <v>3.3</v>
      </c>
      <c r="H455" t="n">
        <v>0</v>
      </c>
      <c r="I455" t="n">
        <v>0</v>
      </c>
      <c r="J455" t="n">
        <v>0</v>
      </c>
      <c r="K455" t="n">
        <v>0</v>
      </c>
      <c r="L455" t="n">
        <v>0</v>
      </c>
      <c r="M455" t="n">
        <v>0</v>
      </c>
      <c r="N455" t="n">
        <v>0</v>
      </c>
      <c r="O455" t="n">
        <v>0</v>
      </c>
      <c r="P455" t="n">
        <v>0</v>
      </c>
      <c r="Q455" t="n">
        <v>0</v>
      </c>
      <c r="R455" s="2" t="inlineStr"/>
    </row>
    <row r="456" ht="15" customHeight="1">
      <c r="A456" t="inlineStr">
        <is>
          <t>A 56860-2025</t>
        </is>
      </c>
      <c r="B456" s="1" t="n">
        <v>45978.50525462963</v>
      </c>
      <c r="C456" s="1" t="n">
        <v>45990</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57143-2025</t>
        </is>
      </c>
      <c r="B457" s="1" t="n">
        <v>45978</v>
      </c>
      <c r="C457" s="1" t="n">
        <v>45990</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54274-2025</t>
        </is>
      </c>
      <c r="B458" s="1" t="n">
        <v>45964.6821875</v>
      </c>
      <c r="C458" s="1" t="n">
        <v>45990</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54279-2025</t>
        </is>
      </c>
      <c r="B459" s="1" t="n">
        <v>45964.70471064815</v>
      </c>
      <c r="C459" s="1" t="n">
        <v>45990</v>
      </c>
      <c r="D459" t="inlineStr">
        <is>
          <t>NORRBOTTENS LÄN</t>
        </is>
      </c>
      <c r="E459" t="inlineStr">
        <is>
          <t>LULEÅ</t>
        </is>
      </c>
      <c r="G459" t="n">
        <v>2.6</v>
      </c>
      <c r="H459" t="n">
        <v>0</v>
      </c>
      <c r="I459" t="n">
        <v>0</v>
      </c>
      <c r="J459" t="n">
        <v>0</v>
      </c>
      <c r="K459" t="n">
        <v>0</v>
      </c>
      <c r="L459" t="n">
        <v>0</v>
      </c>
      <c r="M459" t="n">
        <v>0</v>
      </c>
      <c r="N459" t="n">
        <v>0</v>
      </c>
      <c r="O459" t="n">
        <v>0</v>
      </c>
      <c r="P459" t="n">
        <v>0</v>
      </c>
      <c r="Q459" t="n">
        <v>0</v>
      </c>
      <c r="R459" s="2" t="inlineStr"/>
    </row>
    <row r="460" ht="15" customHeight="1">
      <c r="A460" t="inlineStr">
        <is>
          <t>A 56862-2025</t>
        </is>
      </c>
      <c r="B460" s="1" t="n">
        <v>45978.50950231482</v>
      </c>
      <c r="C460" s="1" t="n">
        <v>45990</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30120-2025</t>
        </is>
      </c>
      <c r="B461" s="1" t="n">
        <v>45826</v>
      </c>
      <c r="C461" s="1" t="n">
        <v>45990</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c r="U461">
        <f>HYPERLINK("https://klasma.github.io/Logging_2580/knärot/A 30120-2025 karta knärot.png", "A 30120-2025")</f>
        <v/>
      </c>
      <c r="V461">
        <f>HYPERLINK("https://klasma.github.io/Logging_2580/klagomål/A 30120-2025 FSC-klagomål.docx", "A 30120-2025")</f>
        <v/>
      </c>
      <c r="W461">
        <f>HYPERLINK("https://klasma.github.io/Logging_2580/klagomålsmail/A 30120-2025 FSC-klagomål mail.docx", "A 30120-2025")</f>
        <v/>
      </c>
      <c r="X461">
        <f>HYPERLINK("https://klasma.github.io/Logging_2580/tillsyn/A 30120-2025 tillsynsbegäran.docx", "A 30120-2025")</f>
        <v/>
      </c>
      <c r="Y461">
        <f>HYPERLINK("https://klasma.github.io/Logging_2580/tillsynsmail/A 30120-2025 tillsynsbegäran mail.docx", "A 30120-2025")</f>
        <v/>
      </c>
    </row>
    <row r="462" ht="15" customHeight="1">
      <c r="A462" t="inlineStr">
        <is>
          <t>A 57230-2025</t>
        </is>
      </c>
      <c r="B462" s="1" t="n">
        <v>45979.61831018519</v>
      </c>
      <c r="C462" s="1" t="n">
        <v>45990</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53780-2025</t>
        </is>
      </c>
      <c r="B463" s="1" t="n">
        <v>45960.6988425926</v>
      </c>
      <c r="C463" s="1" t="n">
        <v>45990</v>
      </c>
      <c r="D463" t="inlineStr">
        <is>
          <t>NORRBOTTENS LÄN</t>
        </is>
      </c>
      <c r="E463" t="inlineStr">
        <is>
          <t>LULEÅ</t>
        </is>
      </c>
      <c r="G463" t="n">
        <v>5.2</v>
      </c>
      <c r="H463" t="n">
        <v>0</v>
      </c>
      <c r="I463" t="n">
        <v>0</v>
      </c>
      <c r="J463" t="n">
        <v>0</v>
      </c>
      <c r="K463" t="n">
        <v>0</v>
      </c>
      <c r="L463" t="n">
        <v>0</v>
      </c>
      <c r="M463" t="n">
        <v>0</v>
      </c>
      <c r="N463" t="n">
        <v>0</v>
      </c>
      <c r="O463" t="n">
        <v>0</v>
      </c>
      <c r="P463" t="n">
        <v>0</v>
      </c>
      <c r="Q463" t="n">
        <v>0</v>
      </c>
      <c r="R463" s="2" t="inlineStr"/>
    </row>
    <row r="464" ht="15" customHeight="1">
      <c r="A464" t="inlineStr">
        <is>
          <t>A 56852-2025</t>
        </is>
      </c>
      <c r="B464" s="1" t="n">
        <v>45978.49373842592</v>
      </c>
      <c r="C464" s="1" t="n">
        <v>45990</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51981-2025</t>
        </is>
      </c>
      <c r="B465" s="1" t="n">
        <v>45952</v>
      </c>
      <c r="C465" s="1" t="n">
        <v>45990</v>
      </c>
      <c r="D465" t="inlineStr">
        <is>
          <t>NORRBOTTENS LÄN</t>
        </is>
      </c>
      <c r="E465" t="inlineStr">
        <is>
          <t>LULEÅ</t>
        </is>
      </c>
      <c r="G465" t="n">
        <v>2</v>
      </c>
      <c r="H465" t="n">
        <v>0</v>
      </c>
      <c r="I465" t="n">
        <v>0</v>
      </c>
      <c r="J465" t="n">
        <v>0</v>
      </c>
      <c r="K465" t="n">
        <v>0</v>
      </c>
      <c r="L465" t="n">
        <v>0</v>
      </c>
      <c r="M465" t="n">
        <v>0</v>
      </c>
      <c r="N465" t="n">
        <v>0</v>
      </c>
      <c r="O465" t="n">
        <v>0</v>
      </c>
      <c r="P465" t="n">
        <v>0</v>
      </c>
      <c r="Q465" t="n">
        <v>0</v>
      </c>
      <c r="R465" s="2" t="inlineStr"/>
    </row>
    <row r="466" ht="15" customHeight="1">
      <c r="A466" t="inlineStr">
        <is>
          <t>A 48547-2025</t>
        </is>
      </c>
      <c r="B466" s="1" t="n">
        <v>45936.42197916667</v>
      </c>
      <c r="C466" s="1" t="n">
        <v>45990</v>
      </c>
      <c r="D466" t="inlineStr">
        <is>
          <t>NORRBOTTENS LÄN</t>
        </is>
      </c>
      <c r="E466" t="inlineStr">
        <is>
          <t>LULEÅ</t>
        </is>
      </c>
      <c r="G466" t="n">
        <v>2.5</v>
      </c>
      <c r="H466" t="n">
        <v>0</v>
      </c>
      <c r="I466" t="n">
        <v>0</v>
      </c>
      <c r="J466" t="n">
        <v>0</v>
      </c>
      <c r="K466" t="n">
        <v>0</v>
      </c>
      <c r="L466" t="n">
        <v>0</v>
      </c>
      <c r="M466" t="n">
        <v>0</v>
      </c>
      <c r="N466" t="n">
        <v>0</v>
      </c>
      <c r="O466" t="n">
        <v>0</v>
      </c>
      <c r="P466" t="n">
        <v>0</v>
      </c>
      <c r="Q466" t="n">
        <v>0</v>
      </c>
      <c r="R466" s="2" t="inlineStr"/>
    </row>
    <row r="467" ht="15" customHeight="1">
      <c r="A467" t="inlineStr">
        <is>
          <t>A 53264-2025</t>
        </is>
      </c>
      <c r="B467" s="1" t="n">
        <v>45958.67831018518</v>
      </c>
      <c r="C467" s="1" t="n">
        <v>45990</v>
      </c>
      <c r="D467" t="inlineStr">
        <is>
          <t>NORRBOTTENS LÄN</t>
        </is>
      </c>
      <c r="E467" t="inlineStr">
        <is>
          <t>LULEÅ</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54479-2025</t>
        </is>
      </c>
      <c r="B468" s="1" t="n">
        <v>45965.58432870371</v>
      </c>
      <c r="C468" s="1" t="n">
        <v>45990</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54531-2025</t>
        </is>
      </c>
      <c r="B469" s="1" t="n">
        <v>45965</v>
      </c>
      <c r="C469" s="1" t="n">
        <v>45990</v>
      </c>
      <c r="D469" t="inlineStr">
        <is>
          <t>NORRBOTTENS LÄN</t>
        </is>
      </c>
      <c r="E469" t="inlineStr">
        <is>
          <t>LULEÅ</t>
        </is>
      </c>
      <c r="G469" t="n">
        <v>2.3</v>
      </c>
      <c r="H469" t="n">
        <v>0</v>
      </c>
      <c r="I469" t="n">
        <v>0</v>
      </c>
      <c r="J469" t="n">
        <v>0</v>
      </c>
      <c r="K469" t="n">
        <v>0</v>
      </c>
      <c r="L469" t="n">
        <v>0</v>
      </c>
      <c r="M469" t="n">
        <v>0</v>
      </c>
      <c r="N469" t="n">
        <v>0</v>
      </c>
      <c r="O469" t="n">
        <v>0</v>
      </c>
      <c r="P469" t="n">
        <v>0</v>
      </c>
      <c r="Q469" t="n">
        <v>0</v>
      </c>
      <c r="R469" s="2" t="inlineStr"/>
    </row>
    <row r="470" ht="15" customHeight="1">
      <c r="A470" t="inlineStr">
        <is>
          <t>A 56932-2025</t>
        </is>
      </c>
      <c r="B470" s="1" t="n">
        <v>45978.61122685186</v>
      </c>
      <c r="C470" s="1" t="n">
        <v>45990</v>
      </c>
      <c r="D470" t="inlineStr">
        <is>
          <t>NORRBOTTENS LÄN</t>
        </is>
      </c>
      <c r="E470" t="inlineStr">
        <is>
          <t>LULEÅ</t>
        </is>
      </c>
      <c r="G470" t="n">
        <v>10.8</v>
      </c>
      <c r="H470" t="n">
        <v>0</v>
      </c>
      <c r="I470" t="n">
        <v>0</v>
      </c>
      <c r="J470" t="n">
        <v>0</v>
      </c>
      <c r="K470" t="n">
        <v>0</v>
      </c>
      <c r="L470" t="n">
        <v>0</v>
      </c>
      <c r="M470" t="n">
        <v>0</v>
      </c>
      <c r="N470" t="n">
        <v>0</v>
      </c>
      <c r="O470" t="n">
        <v>0</v>
      </c>
      <c r="P470" t="n">
        <v>0</v>
      </c>
      <c r="Q470" t="n">
        <v>0</v>
      </c>
      <c r="R470" s="2" t="inlineStr"/>
    </row>
    <row r="471" ht="15" customHeight="1">
      <c r="A471" t="inlineStr">
        <is>
          <t>A 48692-2025</t>
        </is>
      </c>
      <c r="B471" s="1" t="n">
        <v>45936.61344907407</v>
      </c>
      <c r="C471" s="1" t="n">
        <v>45990</v>
      </c>
      <c r="D471" t="inlineStr">
        <is>
          <t>NORRBOTTENS LÄN</t>
        </is>
      </c>
      <c r="E471" t="inlineStr">
        <is>
          <t>LULEÅ</t>
        </is>
      </c>
      <c r="G471" t="n">
        <v>2</v>
      </c>
      <c r="H471" t="n">
        <v>0</v>
      </c>
      <c r="I471" t="n">
        <v>0</v>
      </c>
      <c r="J471" t="n">
        <v>0</v>
      </c>
      <c r="K471" t="n">
        <v>0</v>
      </c>
      <c r="L471" t="n">
        <v>0</v>
      </c>
      <c r="M471" t="n">
        <v>0</v>
      </c>
      <c r="N471" t="n">
        <v>0</v>
      </c>
      <c r="O471" t="n">
        <v>0</v>
      </c>
      <c r="P471" t="n">
        <v>0</v>
      </c>
      <c r="Q471" t="n">
        <v>0</v>
      </c>
      <c r="R471" s="2" t="inlineStr"/>
    </row>
    <row r="472" ht="15" customHeight="1">
      <c r="A472" t="inlineStr">
        <is>
          <t>A 56853-2025</t>
        </is>
      </c>
      <c r="B472" s="1" t="n">
        <v>45978.49459490741</v>
      </c>
      <c r="C472" s="1" t="n">
        <v>45990</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60727-2024</t>
        </is>
      </c>
      <c r="B473" s="1" t="n">
        <v>45644.54008101852</v>
      </c>
      <c r="C473" s="1" t="n">
        <v>45990</v>
      </c>
      <c r="D473" t="inlineStr">
        <is>
          <t>NORRBOTTENS LÄN</t>
        </is>
      </c>
      <c r="E473" t="inlineStr">
        <is>
          <t>LULEÅ</t>
        </is>
      </c>
      <c r="G473" t="n">
        <v>18.7</v>
      </c>
      <c r="H473" t="n">
        <v>0</v>
      </c>
      <c r="I473" t="n">
        <v>0</v>
      </c>
      <c r="J473" t="n">
        <v>0</v>
      </c>
      <c r="K473" t="n">
        <v>0</v>
      </c>
      <c r="L473" t="n">
        <v>0</v>
      </c>
      <c r="M473" t="n">
        <v>0</v>
      </c>
      <c r="N473" t="n">
        <v>0</v>
      </c>
      <c r="O473" t="n">
        <v>0</v>
      </c>
      <c r="P473" t="n">
        <v>0</v>
      </c>
      <c r="Q473" t="n">
        <v>0</v>
      </c>
      <c r="R473" s="2" t="inlineStr"/>
    </row>
    <row r="474" ht="15" customHeight="1">
      <c r="A474" t="inlineStr">
        <is>
          <t>A 11294-2024</t>
        </is>
      </c>
      <c r="B474" s="1" t="n">
        <v>45371</v>
      </c>
      <c r="C474" s="1" t="n">
        <v>45990</v>
      </c>
      <c r="D474" t="inlineStr">
        <is>
          <t>NORRBOTTENS LÄN</t>
        </is>
      </c>
      <c r="E474" t="inlineStr">
        <is>
          <t>LULEÅ</t>
        </is>
      </c>
      <c r="G474" t="n">
        <v>0.4</v>
      </c>
      <c r="H474" t="n">
        <v>0</v>
      </c>
      <c r="I474" t="n">
        <v>0</v>
      </c>
      <c r="J474" t="n">
        <v>0</v>
      </c>
      <c r="K474" t="n">
        <v>0</v>
      </c>
      <c r="L474" t="n">
        <v>0</v>
      </c>
      <c r="M474" t="n">
        <v>0</v>
      </c>
      <c r="N474" t="n">
        <v>0</v>
      </c>
      <c r="O474" t="n">
        <v>0</v>
      </c>
      <c r="P474" t="n">
        <v>0</v>
      </c>
      <c r="Q474" t="n">
        <v>0</v>
      </c>
      <c r="R474" s="2" t="inlineStr"/>
    </row>
    <row r="475" ht="15" customHeight="1">
      <c r="A475" t="inlineStr">
        <is>
          <t>A 52953-2025</t>
        </is>
      </c>
      <c r="B475" s="1" t="n">
        <v>45957.65459490741</v>
      </c>
      <c r="C475" s="1" t="n">
        <v>45990</v>
      </c>
      <c r="D475" t="inlineStr">
        <is>
          <t>NORRBOTTENS LÄN</t>
        </is>
      </c>
      <c r="E475" t="inlineStr">
        <is>
          <t>LULEÅ</t>
        </is>
      </c>
      <c r="G475" t="n">
        <v>11.8</v>
      </c>
      <c r="H475" t="n">
        <v>0</v>
      </c>
      <c r="I475" t="n">
        <v>0</v>
      </c>
      <c r="J475" t="n">
        <v>0</v>
      </c>
      <c r="K475" t="n">
        <v>0</v>
      </c>
      <c r="L475" t="n">
        <v>0</v>
      </c>
      <c r="M475" t="n">
        <v>0</v>
      </c>
      <c r="N475" t="n">
        <v>0</v>
      </c>
      <c r="O475" t="n">
        <v>0</v>
      </c>
      <c r="P475" t="n">
        <v>0</v>
      </c>
      <c r="Q475" t="n">
        <v>0</v>
      </c>
      <c r="R475" s="2" t="inlineStr"/>
    </row>
    <row r="476" ht="15" customHeight="1">
      <c r="A476" t="inlineStr">
        <is>
          <t>A 54280-2025</t>
        </is>
      </c>
      <c r="B476" s="1" t="n">
        <v>45964.70950231481</v>
      </c>
      <c r="C476" s="1" t="n">
        <v>45990</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57142-2025</t>
        </is>
      </c>
      <c r="B477" s="1" t="n">
        <v>45978</v>
      </c>
      <c r="C477" s="1" t="n">
        <v>45990</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49448-2025</t>
        </is>
      </c>
      <c r="B478" s="1" t="n">
        <v>45938.95688657407</v>
      </c>
      <c r="C478" s="1" t="n">
        <v>45990</v>
      </c>
      <c r="D478" t="inlineStr">
        <is>
          <t>NORRBOTTENS LÄN</t>
        </is>
      </c>
      <c r="E478" t="inlineStr">
        <is>
          <t>LULEÅ</t>
        </is>
      </c>
      <c r="G478" t="n">
        <v>3</v>
      </c>
      <c r="H478" t="n">
        <v>0</v>
      </c>
      <c r="I478" t="n">
        <v>0</v>
      </c>
      <c r="J478" t="n">
        <v>0</v>
      </c>
      <c r="K478" t="n">
        <v>0</v>
      </c>
      <c r="L478" t="n">
        <v>0</v>
      </c>
      <c r="M478" t="n">
        <v>0</v>
      </c>
      <c r="N478" t="n">
        <v>0</v>
      </c>
      <c r="O478" t="n">
        <v>0</v>
      </c>
      <c r="P478" t="n">
        <v>0</v>
      </c>
      <c r="Q478" t="n">
        <v>0</v>
      </c>
      <c r="R478" s="2" t="inlineStr"/>
    </row>
    <row r="479" ht="15" customHeight="1">
      <c r="A479" t="inlineStr">
        <is>
          <t>A 57751-2025</t>
        </is>
      </c>
      <c r="B479" s="1" t="n">
        <v>45981.54108796296</v>
      </c>
      <c r="C479" s="1" t="n">
        <v>45990</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60584-2024</t>
        </is>
      </c>
      <c r="B480" s="1" t="n">
        <v>45644.34611111111</v>
      </c>
      <c r="C480" s="1" t="n">
        <v>45990</v>
      </c>
      <c r="D480" t="inlineStr">
        <is>
          <t>NORRBOTTENS LÄN</t>
        </is>
      </c>
      <c r="E480" t="inlineStr">
        <is>
          <t>LULEÅ</t>
        </is>
      </c>
      <c r="G480" t="n">
        <v>0.6</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45990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57723-2025</t>
        </is>
      </c>
      <c r="B482" s="1" t="n">
        <v>45981.49033564814</v>
      </c>
      <c r="C482" s="1" t="n">
        <v>45990</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57518-2024</t>
        </is>
      </c>
      <c r="B483" s="1" t="n">
        <v>45629</v>
      </c>
      <c r="C483" s="1" t="n">
        <v>45990</v>
      </c>
      <c r="D483" t="inlineStr">
        <is>
          <t>NORRBOTTENS LÄN</t>
        </is>
      </c>
      <c r="E483" t="inlineStr">
        <is>
          <t>LULEÅ</t>
        </is>
      </c>
      <c r="G483" t="n">
        <v>3.4</v>
      </c>
      <c r="H483" t="n">
        <v>0</v>
      </c>
      <c r="I483" t="n">
        <v>0</v>
      </c>
      <c r="J483" t="n">
        <v>0</v>
      </c>
      <c r="K483" t="n">
        <v>0</v>
      </c>
      <c r="L483" t="n">
        <v>0</v>
      </c>
      <c r="M483" t="n">
        <v>0</v>
      </c>
      <c r="N483" t="n">
        <v>0</v>
      </c>
      <c r="O483" t="n">
        <v>0</v>
      </c>
      <c r="P483" t="n">
        <v>0</v>
      </c>
      <c r="Q483" t="n">
        <v>0</v>
      </c>
      <c r="R483" s="2" t="inlineStr"/>
    </row>
    <row r="484" ht="15" customHeight="1">
      <c r="A484" t="inlineStr">
        <is>
          <t>A 49194-2025</t>
        </is>
      </c>
      <c r="B484" s="1" t="n">
        <v>45938.40929398148</v>
      </c>
      <c r="C484" s="1" t="n">
        <v>45990</v>
      </c>
      <c r="D484" t="inlineStr">
        <is>
          <t>NORRBOTTENS LÄN</t>
        </is>
      </c>
      <c r="E484" t="inlineStr">
        <is>
          <t>LULEÅ</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49490-2025</t>
        </is>
      </c>
      <c r="B485" s="1" t="n">
        <v>45939.36579861111</v>
      </c>
      <c r="C485" s="1" t="n">
        <v>45990</v>
      </c>
      <c r="D485" t="inlineStr">
        <is>
          <t>NORRBOTTENS LÄN</t>
        </is>
      </c>
      <c r="E485" t="inlineStr">
        <is>
          <t>LULEÅ</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433-2022</t>
        </is>
      </c>
      <c r="B486" s="1" t="n">
        <v>44565.92903935185</v>
      </c>
      <c r="C486" s="1" t="n">
        <v>45990</v>
      </c>
      <c r="D486" t="inlineStr">
        <is>
          <t>NORRBOTTENS LÄN</t>
        </is>
      </c>
      <c r="E486" t="inlineStr">
        <is>
          <t>LULEÅ</t>
        </is>
      </c>
      <c r="G486" t="n">
        <v>1.3</v>
      </c>
      <c r="H486" t="n">
        <v>0</v>
      </c>
      <c r="I486" t="n">
        <v>0</v>
      </c>
      <c r="J486" t="n">
        <v>0</v>
      </c>
      <c r="K486" t="n">
        <v>0</v>
      </c>
      <c r="L486" t="n">
        <v>0</v>
      </c>
      <c r="M486" t="n">
        <v>0</v>
      </c>
      <c r="N486" t="n">
        <v>0</v>
      </c>
      <c r="O486" t="n">
        <v>0</v>
      </c>
      <c r="P486" t="n">
        <v>0</v>
      </c>
      <c r="Q486" t="n">
        <v>0</v>
      </c>
      <c r="R486" s="2" t="inlineStr"/>
    </row>
    <row r="487" ht="15" customHeight="1">
      <c r="A487" t="inlineStr">
        <is>
          <t>A 61488-2024</t>
        </is>
      </c>
      <c r="B487" s="1" t="n">
        <v>45646.54873842592</v>
      </c>
      <c r="C487" s="1" t="n">
        <v>45990</v>
      </c>
      <c r="D487" t="inlineStr">
        <is>
          <t>NORRBOTTENS LÄN</t>
        </is>
      </c>
      <c r="E487" t="inlineStr">
        <is>
          <t>LULEÅ</t>
        </is>
      </c>
      <c r="G487" t="n">
        <v>3.4</v>
      </c>
      <c r="H487" t="n">
        <v>0</v>
      </c>
      <c r="I487" t="n">
        <v>0</v>
      </c>
      <c r="J487" t="n">
        <v>0</v>
      </c>
      <c r="K487" t="n">
        <v>0</v>
      </c>
      <c r="L487" t="n">
        <v>0</v>
      </c>
      <c r="M487" t="n">
        <v>0</v>
      </c>
      <c r="N487" t="n">
        <v>0</v>
      </c>
      <c r="O487" t="n">
        <v>0</v>
      </c>
      <c r="P487" t="n">
        <v>0</v>
      </c>
      <c r="Q487" t="n">
        <v>0</v>
      </c>
      <c r="R487" s="2" t="inlineStr"/>
    </row>
    <row r="488" ht="15" customHeight="1">
      <c r="A488" t="inlineStr">
        <is>
          <t>A 58049-2025</t>
        </is>
      </c>
      <c r="B488" s="1" t="n">
        <v>45982.51090277778</v>
      </c>
      <c r="C488" s="1" t="n">
        <v>45990</v>
      </c>
      <c r="D488" t="inlineStr">
        <is>
          <t>NORRBOTTENS LÄN</t>
        </is>
      </c>
      <c r="E488" t="inlineStr">
        <is>
          <t>LULEÅ</t>
        </is>
      </c>
      <c r="G488" t="n">
        <v>4.4</v>
      </c>
      <c r="H488" t="n">
        <v>0</v>
      </c>
      <c r="I488" t="n">
        <v>0</v>
      </c>
      <c r="J488" t="n">
        <v>0</v>
      </c>
      <c r="K488" t="n">
        <v>0</v>
      </c>
      <c r="L488" t="n">
        <v>0</v>
      </c>
      <c r="M488" t="n">
        <v>0</v>
      </c>
      <c r="N488" t="n">
        <v>0</v>
      </c>
      <c r="O488" t="n">
        <v>0</v>
      </c>
      <c r="P488" t="n">
        <v>0</v>
      </c>
      <c r="Q488" t="n">
        <v>0</v>
      </c>
      <c r="R488" s="2" t="inlineStr"/>
    </row>
    <row r="489" ht="15" customHeight="1">
      <c r="A489" t="inlineStr">
        <is>
          <t>A 8764-2025</t>
        </is>
      </c>
      <c r="B489" s="1" t="n">
        <v>45712.58021990741</v>
      </c>
      <c r="C489" s="1" t="n">
        <v>45990</v>
      </c>
      <c r="D489" t="inlineStr">
        <is>
          <t>NORRBOTTENS LÄN</t>
        </is>
      </c>
      <c r="E489" t="inlineStr">
        <is>
          <t>LULEÅ</t>
        </is>
      </c>
      <c r="G489" t="n">
        <v>2.3</v>
      </c>
      <c r="H489" t="n">
        <v>0</v>
      </c>
      <c r="I489" t="n">
        <v>0</v>
      </c>
      <c r="J489" t="n">
        <v>0</v>
      </c>
      <c r="K489" t="n">
        <v>0</v>
      </c>
      <c r="L489" t="n">
        <v>0</v>
      </c>
      <c r="M489" t="n">
        <v>0</v>
      </c>
      <c r="N489" t="n">
        <v>0</v>
      </c>
      <c r="O489" t="n">
        <v>0</v>
      </c>
      <c r="P489" t="n">
        <v>0</v>
      </c>
      <c r="Q489" t="n">
        <v>0</v>
      </c>
      <c r="R489" s="2" t="inlineStr"/>
    </row>
    <row r="490" ht="15" customHeight="1">
      <c r="A490" t="inlineStr">
        <is>
          <t>A 52400-2023</t>
        </is>
      </c>
      <c r="B490" s="1" t="n">
        <v>45224</v>
      </c>
      <c r="C490" s="1" t="n">
        <v>45990</v>
      </c>
      <c r="D490" t="inlineStr">
        <is>
          <t>NORRBOTTENS LÄN</t>
        </is>
      </c>
      <c r="E490" t="inlineStr">
        <is>
          <t>LULEÅ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53185-2022</t>
        </is>
      </c>
      <c r="B491" s="1" t="n">
        <v>44876.57346064815</v>
      </c>
      <c r="C491" s="1" t="n">
        <v>45990</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50099-2025</t>
        </is>
      </c>
      <c r="B492" s="1" t="n">
        <v>45943</v>
      </c>
      <c r="C492" s="1" t="n">
        <v>45990</v>
      </c>
      <c r="D492" t="inlineStr">
        <is>
          <t>NORRBOTTENS LÄN</t>
        </is>
      </c>
      <c r="E492" t="inlineStr">
        <is>
          <t>LULEÅ</t>
        </is>
      </c>
      <c r="G492" t="n">
        <v>11.6</v>
      </c>
      <c r="H492" t="n">
        <v>0</v>
      </c>
      <c r="I492" t="n">
        <v>0</v>
      </c>
      <c r="J492" t="n">
        <v>0</v>
      </c>
      <c r="K492" t="n">
        <v>0</v>
      </c>
      <c r="L492" t="n">
        <v>0</v>
      </c>
      <c r="M492" t="n">
        <v>0</v>
      </c>
      <c r="N492" t="n">
        <v>0</v>
      </c>
      <c r="O492" t="n">
        <v>0</v>
      </c>
      <c r="P492" t="n">
        <v>0</v>
      </c>
      <c r="Q492" t="n">
        <v>0</v>
      </c>
      <c r="R492" s="2" t="inlineStr"/>
    </row>
    <row r="493" ht="15" customHeight="1">
      <c r="A493" t="inlineStr">
        <is>
          <t>A 12549-2024</t>
        </is>
      </c>
      <c r="B493" s="1" t="n">
        <v>45379</v>
      </c>
      <c r="C493" s="1" t="n">
        <v>45990</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45990</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44005-2024</t>
        </is>
      </c>
      <c r="B495" s="1" t="n">
        <v>45572.54814814815</v>
      </c>
      <c r="C495" s="1" t="n">
        <v>45990</v>
      </c>
      <c r="D495" t="inlineStr">
        <is>
          <t>NORRBOTTENS LÄN</t>
        </is>
      </c>
      <c r="E495" t="inlineStr">
        <is>
          <t>LULEÅ</t>
        </is>
      </c>
      <c r="G495" t="n">
        <v>14.8</v>
      </c>
      <c r="H495" t="n">
        <v>0</v>
      </c>
      <c r="I495" t="n">
        <v>0</v>
      </c>
      <c r="J495" t="n">
        <v>0</v>
      </c>
      <c r="K495" t="n">
        <v>0</v>
      </c>
      <c r="L495" t="n">
        <v>0</v>
      </c>
      <c r="M495" t="n">
        <v>0</v>
      </c>
      <c r="N495" t="n">
        <v>0</v>
      </c>
      <c r="O495" t="n">
        <v>0</v>
      </c>
      <c r="P495" t="n">
        <v>0</v>
      </c>
      <c r="Q495" t="n">
        <v>0</v>
      </c>
      <c r="R495" s="2" t="inlineStr"/>
    </row>
    <row r="496" ht="15" customHeight="1">
      <c r="A496" t="inlineStr">
        <is>
          <t>A 39816-2024</t>
        </is>
      </c>
      <c r="B496" s="1" t="n">
        <v>45553.3859837963</v>
      </c>
      <c r="C496" s="1" t="n">
        <v>45990</v>
      </c>
      <c r="D496" t="inlineStr">
        <is>
          <t>NORRBOTTENS LÄN</t>
        </is>
      </c>
      <c r="E496" t="inlineStr">
        <is>
          <t>LULEÅ</t>
        </is>
      </c>
      <c r="F496" t="inlineStr">
        <is>
          <t>Naturvårdsverket</t>
        </is>
      </c>
      <c r="G496" t="n">
        <v>11.1</v>
      </c>
      <c r="H496" t="n">
        <v>0</v>
      </c>
      <c r="I496" t="n">
        <v>0</v>
      </c>
      <c r="J496" t="n">
        <v>0</v>
      </c>
      <c r="K496" t="n">
        <v>0</v>
      </c>
      <c r="L496" t="n">
        <v>0</v>
      </c>
      <c r="M496" t="n">
        <v>0</v>
      </c>
      <c r="N496" t="n">
        <v>0</v>
      </c>
      <c r="O496" t="n">
        <v>0</v>
      </c>
      <c r="P496" t="n">
        <v>0</v>
      </c>
      <c r="Q496" t="n">
        <v>0</v>
      </c>
      <c r="R496" s="2" t="inlineStr"/>
    </row>
    <row r="497" ht="15" customHeight="1">
      <c r="A497" t="inlineStr">
        <is>
          <t>A 7429-2021</t>
        </is>
      </c>
      <c r="B497" s="1" t="n">
        <v>44239</v>
      </c>
      <c r="C497" s="1" t="n">
        <v>45990</v>
      </c>
      <c r="D497" t="inlineStr">
        <is>
          <t>NORRBOTTENS LÄN</t>
        </is>
      </c>
      <c r="E497" t="inlineStr">
        <is>
          <t>LULEÅ</t>
        </is>
      </c>
      <c r="G497" t="n">
        <v>3.4</v>
      </c>
      <c r="H497" t="n">
        <v>0</v>
      </c>
      <c r="I497" t="n">
        <v>0</v>
      </c>
      <c r="J497" t="n">
        <v>0</v>
      </c>
      <c r="K497" t="n">
        <v>0</v>
      </c>
      <c r="L497" t="n">
        <v>0</v>
      </c>
      <c r="M497" t="n">
        <v>0</v>
      </c>
      <c r="N497" t="n">
        <v>0</v>
      </c>
      <c r="O497" t="n">
        <v>0</v>
      </c>
      <c r="P497" t="n">
        <v>0</v>
      </c>
      <c r="Q497" t="n">
        <v>0</v>
      </c>
      <c r="R497" s="2" t="inlineStr"/>
    </row>
    <row r="498" ht="15" customHeight="1">
      <c r="A498" t="inlineStr">
        <is>
          <t>A 38358-2023</t>
        </is>
      </c>
      <c r="B498" s="1" t="n">
        <v>45161.94293981481</v>
      </c>
      <c r="C498" s="1" t="n">
        <v>45990</v>
      </c>
      <c r="D498" t="inlineStr">
        <is>
          <t>NORRBOTTENS LÄN</t>
        </is>
      </c>
      <c r="E498" t="inlineStr">
        <is>
          <t>LULEÅ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58760-2023</t>
        </is>
      </c>
      <c r="B499" s="1" t="n">
        <v>45251</v>
      </c>
      <c r="C499" s="1" t="n">
        <v>45990</v>
      </c>
      <c r="D499" t="inlineStr">
        <is>
          <t>NORRBOTTENS LÄN</t>
        </is>
      </c>
      <c r="E499" t="inlineStr">
        <is>
          <t>LULEÅ</t>
        </is>
      </c>
      <c r="G499" t="n">
        <v>5.4</v>
      </c>
      <c r="H499" t="n">
        <v>0</v>
      </c>
      <c r="I499" t="n">
        <v>0</v>
      </c>
      <c r="J499" t="n">
        <v>0</v>
      </c>
      <c r="K499" t="n">
        <v>0</v>
      </c>
      <c r="L499" t="n">
        <v>0</v>
      </c>
      <c r="M499" t="n">
        <v>0</v>
      </c>
      <c r="N499" t="n">
        <v>0</v>
      </c>
      <c r="O499" t="n">
        <v>0</v>
      </c>
      <c r="P499" t="n">
        <v>0</v>
      </c>
      <c r="Q499" t="n">
        <v>0</v>
      </c>
      <c r="R499" s="2" t="inlineStr"/>
    </row>
    <row r="500" ht="15" customHeight="1">
      <c r="A500" t="inlineStr">
        <is>
          <t>A 8816-2023</t>
        </is>
      </c>
      <c r="B500" s="1" t="n">
        <v>44973</v>
      </c>
      <c r="C500" s="1" t="n">
        <v>45990</v>
      </c>
      <c r="D500" t="inlineStr">
        <is>
          <t>NORRBOTTENS LÄN</t>
        </is>
      </c>
      <c r="E500" t="inlineStr">
        <is>
          <t>LULEÅ</t>
        </is>
      </c>
      <c r="G500" t="n">
        <v>7.4</v>
      </c>
      <c r="H500" t="n">
        <v>0</v>
      </c>
      <c r="I500" t="n">
        <v>0</v>
      </c>
      <c r="J500" t="n">
        <v>0</v>
      </c>
      <c r="K500" t="n">
        <v>0</v>
      </c>
      <c r="L500" t="n">
        <v>0</v>
      </c>
      <c r="M500" t="n">
        <v>0</v>
      </c>
      <c r="N500" t="n">
        <v>0</v>
      </c>
      <c r="O500" t="n">
        <v>0</v>
      </c>
      <c r="P500" t="n">
        <v>0</v>
      </c>
      <c r="Q500" t="n">
        <v>0</v>
      </c>
      <c r="R500" s="2" t="inlineStr"/>
    </row>
    <row r="501" ht="15" customHeight="1">
      <c r="A501" t="inlineStr">
        <is>
          <t>A 8068-2023</t>
        </is>
      </c>
      <c r="B501" s="1" t="n">
        <v>44974.36233796296</v>
      </c>
      <c r="C501" s="1" t="n">
        <v>45990</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50221-2025</t>
        </is>
      </c>
      <c r="B502" s="1" t="n">
        <v>45943.68516203704</v>
      </c>
      <c r="C502" s="1" t="n">
        <v>45990</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50223-2025</t>
        </is>
      </c>
      <c r="B503" s="1" t="n">
        <v>45943.68868055556</v>
      </c>
      <c r="C503" s="1" t="n">
        <v>45990</v>
      </c>
      <c r="D503" t="inlineStr">
        <is>
          <t>NORRBOTTENS LÄN</t>
        </is>
      </c>
      <c r="E503" t="inlineStr">
        <is>
          <t>LULEÅ</t>
        </is>
      </c>
      <c r="G503" t="n">
        <v>1.4</v>
      </c>
      <c r="H503" t="n">
        <v>0</v>
      </c>
      <c r="I503" t="n">
        <v>0</v>
      </c>
      <c r="J503" t="n">
        <v>0</v>
      </c>
      <c r="K503" t="n">
        <v>0</v>
      </c>
      <c r="L503" t="n">
        <v>0</v>
      </c>
      <c r="M503" t="n">
        <v>0</v>
      </c>
      <c r="N503" t="n">
        <v>0</v>
      </c>
      <c r="O503" t="n">
        <v>0</v>
      </c>
      <c r="P503" t="n">
        <v>0</v>
      </c>
      <c r="Q503" t="n">
        <v>0</v>
      </c>
      <c r="R503" s="2" t="inlineStr"/>
    </row>
    <row r="504" ht="15" customHeight="1">
      <c r="A504" t="inlineStr">
        <is>
          <t>A 12602-2024</t>
        </is>
      </c>
      <c r="B504" s="1" t="n">
        <v>45381</v>
      </c>
      <c r="C504" s="1" t="n">
        <v>45990</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50527-2025</t>
        </is>
      </c>
      <c r="B505" s="1" t="n">
        <v>45945.47056712963</v>
      </c>
      <c r="C505" s="1" t="n">
        <v>45990</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5058-2025</t>
        </is>
      </c>
      <c r="B506" s="1" t="n">
        <v>45691.46903935185</v>
      </c>
      <c r="C506" s="1" t="n">
        <v>45990</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62697-2022</t>
        </is>
      </c>
      <c r="B507" s="1" t="n">
        <v>44917</v>
      </c>
      <c r="C507" s="1" t="n">
        <v>45990</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9502-2025</t>
        </is>
      </c>
      <c r="B508" s="1" t="n">
        <v>45714</v>
      </c>
      <c r="C508" s="1" t="n">
        <v>45990</v>
      </c>
      <c r="D508" t="inlineStr">
        <is>
          <t>NORRBOTTENS LÄN</t>
        </is>
      </c>
      <c r="E508" t="inlineStr">
        <is>
          <t>LULEÅ</t>
        </is>
      </c>
      <c r="G508" t="n">
        <v>5.6</v>
      </c>
      <c r="H508" t="n">
        <v>0</v>
      </c>
      <c r="I508" t="n">
        <v>0</v>
      </c>
      <c r="J508" t="n">
        <v>0</v>
      </c>
      <c r="K508" t="n">
        <v>0</v>
      </c>
      <c r="L508" t="n">
        <v>0</v>
      </c>
      <c r="M508" t="n">
        <v>0</v>
      </c>
      <c r="N508" t="n">
        <v>0</v>
      </c>
      <c r="O508" t="n">
        <v>0</v>
      </c>
      <c r="P508" t="n">
        <v>0</v>
      </c>
      <c r="Q508" t="n">
        <v>0</v>
      </c>
      <c r="R508" s="2" t="inlineStr"/>
    </row>
    <row r="509" ht="15" customHeight="1">
      <c r="A509" t="inlineStr">
        <is>
          <t>A 50572-2025</t>
        </is>
      </c>
      <c r="B509" s="1" t="n">
        <v>45945.57474537037</v>
      </c>
      <c r="C509" s="1" t="n">
        <v>45990</v>
      </c>
      <c r="D509" t="inlineStr">
        <is>
          <t>NORRBOTTENS LÄN</t>
        </is>
      </c>
      <c r="E509" t="inlineStr">
        <is>
          <t>LULEÅ</t>
        </is>
      </c>
      <c r="G509" t="n">
        <v>4</v>
      </c>
      <c r="H509" t="n">
        <v>0</v>
      </c>
      <c r="I509" t="n">
        <v>0</v>
      </c>
      <c r="J509" t="n">
        <v>0</v>
      </c>
      <c r="K509" t="n">
        <v>0</v>
      </c>
      <c r="L509" t="n">
        <v>0</v>
      </c>
      <c r="M509" t="n">
        <v>0</v>
      </c>
      <c r="N509" t="n">
        <v>0</v>
      </c>
      <c r="O509" t="n">
        <v>0</v>
      </c>
      <c r="P509" t="n">
        <v>0</v>
      </c>
      <c r="Q509" t="n">
        <v>0</v>
      </c>
      <c r="R509" s="2" t="inlineStr"/>
    </row>
    <row r="510" ht="15" customHeight="1">
      <c r="A510" t="inlineStr">
        <is>
          <t>A 61315-2022</t>
        </is>
      </c>
      <c r="B510" s="1" t="n">
        <v>44909</v>
      </c>
      <c r="C510" s="1" t="n">
        <v>45990</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51655-2023</t>
        </is>
      </c>
      <c r="B511" s="1" t="n">
        <v>45215</v>
      </c>
      <c r="C511" s="1" t="n">
        <v>45990</v>
      </c>
      <c r="D511" t="inlineStr">
        <is>
          <t>NORRBOTTENS LÄN</t>
        </is>
      </c>
      <c r="E511" t="inlineStr">
        <is>
          <t>LULEÅ</t>
        </is>
      </c>
      <c r="G511" t="n">
        <v>7.5</v>
      </c>
      <c r="H511" t="n">
        <v>0</v>
      </c>
      <c r="I511" t="n">
        <v>0</v>
      </c>
      <c r="J511" t="n">
        <v>0</v>
      </c>
      <c r="K511" t="n">
        <v>0</v>
      </c>
      <c r="L511" t="n">
        <v>0</v>
      </c>
      <c r="M511" t="n">
        <v>0</v>
      </c>
      <c r="N511" t="n">
        <v>0</v>
      </c>
      <c r="O511" t="n">
        <v>0</v>
      </c>
      <c r="P511" t="n">
        <v>0</v>
      </c>
      <c r="Q511" t="n">
        <v>0</v>
      </c>
      <c r="R511" s="2" t="inlineStr"/>
    </row>
    <row r="512" ht="15" customHeight="1">
      <c r="A512" t="inlineStr">
        <is>
          <t>A 50518-2025</t>
        </is>
      </c>
      <c r="B512" s="1" t="n">
        <v>45945.4567824074</v>
      </c>
      <c r="C512" s="1" t="n">
        <v>45990</v>
      </c>
      <c r="D512" t="inlineStr">
        <is>
          <t>NORRBOTTENS LÄN</t>
        </is>
      </c>
      <c r="E512" t="inlineStr">
        <is>
          <t>LULEÅ</t>
        </is>
      </c>
      <c r="G512" t="n">
        <v>4.1</v>
      </c>
      <c r="H512" t="n">
        <v>0</v>
      </c>
      <c r="I512" t="n">
        <v>0</v>
      </c>
      <c r="J512" t="n">
        <v>0</v>
      </c>
      <c r="K512" t="n">
        <v>0</v>
      </c>
      <c r="L512" t="n">
        <v>0</v>
      </c>
      <c r="M512" t="n">
        <v>0</v>
      </c>
      <c r="N512" t="n">
        <v>0</v>
      </c>
      <c r="O512" t="n">
        <v>0</v>
      </c>
      <c r="P512" t="n">
        <v>0</v>
      </c>
      <c r="Q512" t="n">
        <v>0</v>
      </c>
      <c r="R512" s="2" t="inlineStr"/>
    </row>
    <row r="513" ht="15" customHeight="1">
      <c r="A513" t="inlineStr">
        <is>
          <t>A 50524-2025</t>
        </is>
      </c>
      <c r="B513" s="1" t="n">
        <v>45945.46797453704</v>
      </c>
      <c r="C513" s="1" t="n">
        <v>45990</v>
      </c>
      <c r="D513" t="inlineStr">
        <is>
          <t>NORRBOTTENS LÄN</t>
        </is>
      </c>
      <c r="E513" t="inlineStr">
        <is>
          <t>LULEÅ</t>
        </is>
      </c>
      <c r="G513" t="n">
        <v>2.1</v>
      </c>
      <c r="H513" t="n">
        <v>0</v>
      </c>
      <c r="I513" t="n">
        <v>0</v>
      </c>
      <c r="J513" t="n">
        <v>0</v>
      </c>
      <c r="K513" t="n">
        <v>0</v>
      </c>
      <c r="L513" t="n">
        <v>0</v>
      </c>
      <c r="M513" t="n">
        <v>0</v>
      </c>
      <c r="N513" t="n">
        <v>0</v>
      </c>
      <c r="O513" t="n">
        <v>0</v>
      </c>
      <c r="P513" t="n">
        <v>0</v>
      </c>
      <c r="Q513" t="n">
        <v>0</v>
      </c>
      <c r="R513" s="2" t="inlineStr"/>
    </row>
    <row r="514" ht="15" customHeight="1">
      <c r="A514" t="inlineStr">
        <is>
          <t>A 50632-2021</t>
        </is>
      </c>
      <c r="B514" s="1" t="n">
        <v>44459</v>
      </c>
      <c r="C514" s="1" t="n">
        <v>45990</v>
      </c>
      <c r="D514" t="inlineStr">
        <is>
          <t>NORRBOTTENS LÄN</t>
        </is>
      </c>
      <c r="E514" t="inlineStr">
        <is>
          <t>LULEÅ</t>
        </is>
      </c>
      <c r="G514" t="n">
        <v>3.5</v>
      </c>
      <c r="H514" t="n">
        <v>0</v>
      </c>
      <c r="I514" t="n">
        <v>0</v>
      </c>
      <c r="J514" t="n">
        <v>0</v>
      </c>
      <c r="K514" t="n">
        <v>0</v>
      </c>
      <c r="L514" t="n">
        <v>0</v>
      </c>
      <c r="M514" t="n">
        <v>0</v>
      </c>
      <c r="N514" t="n">
        <v>0</v>
      </c>
      <c r="O514" t="n">
        <v>0</v>
      </c>
      <c r="P514" t="n">
        <v>0</v>
      </c>
      <c r="Q514" t="n">
        <v>0</v>
      </c>
      <c r="R514" s="2" t="inlineStr"/>
    </row>
    <row r="515" ht="15" customHeight="1">
      <c r="A515" t="inlineStr">
        <is>
          <t>A 57911-2023</t>
        </is>
      </c>
      <c r="B515" s="1" t="n">
        <v>45247</v>
      </c>
      <c r="C515" s="1" t="n">
        <v>45990</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35918-2024</t>
        </is>
      </c>
      <c r="B516" s="1" t="n">
        <v>45533</v>
      </c>
      <c r="C516" s="1" t="n">
        <v>45990</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50914-2025</t>
        </is>
      </c>
      <c r="B517" s="1" t="n">
        <v>45946.65719907408</v>
      </c>
      <c r="C517" s="1" t="n">
        <v>45990</v>
      </c>
      <c r="D517" t="inlineStr">
        <is>
          <t>NORRBOTTENS LÄN</t>
        </is>
      </c>
      <c r="E517" t="inlineStr">
        <is>
          <t>LULEÅ</t>
        </is>
      </c>
      <c r="G517" t="n">
        <v>6.9</v>
      </c>
      <c r="H517" t="n">
        <v>0</v>
      </c>
      <c r="I517" t="n">
        <v>0</v>
      </c>
      <c r="J517" t="n">
        <v>0</v>
      </c>
      <c r="K517" t="n">
        <v>0</v>
      </c>
      <c r="L517" t="n">
        <v>0</v>
      </c>
      <c r="M517" t="n">
        <v>0</v>
      </c>
      <c r="N517" t="n">
        <v>0</v>
      </c>
      <c r="O517" t="n">
        <v>0</v>
      </c>
      <c r="P517" t="n">
        <v>0</v>
      </c>
      <c r="Q517" t="n">
        <v>0</v>
      </c>
      <c r="R517" s="2" t="inlineStr"/>
    </row>
    <row r="518" ht="15" customHeight="1">
      <c r="A518" t="inlineStr">
        <is>
          <t>A 50889-2025</t>
        </is>
      </c>
      <c r="B518" s="1" t="n">
        <v>45946.63664351852</v>
      </c>
      <c r="C518" s="1" t="n">
        <v>45990</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45990</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49712-2022</t>
        </is>
      </c>
      <c r="B520" s="1" t="n">
        <v>44859</v>
      </c>
      <c r="C520" s="1" t="n">
        <v>45990</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8767-2025</t>
        </is>
      </c>
      <c r="B521" s="1" t="n">
        <v>45712.58931712963</v>
      </c>
      <c r="C521" s="1" t="n">
        <v>45990</v>
      </c>
      <c r="D521" t="inlineStr">
        <is>
          <t>NORRBOTTENS LÄN</t>
        </is>
      </c>
      <c r="E521" t="inlineStr">
        <is>
          <t>LULEÅ</t>
        </is>
      </c>
      <c r="G521" t="n">
        <v>3.4</v>
      </c>
      <c r="H521" t="n">
        <v>0</v>
      </c>
      <c r="I521" t="n">
        <v>0</v>
      </c>
      <c r="J521" t="n">
        <v>0</v>
      </c>
      <c r="K521" t="n">
        <v>0</v>
      </c>
      <c r="L521" t="n">
        <v>0</v>
      </c>
      <c r="M521" t="n">
        <v>0</v>
      </c>
      <c r="N521" t="n">
        <v>0</v>
      </c>
      <c r="O521" t="n">
        <v>0</v>
      </c>
      <c r="P521" t="n">
        <v>0</v>
      </c>
      <c r="Q521" t="n">
        <v>0</v>
      </c>
      <c r="R521" s="2" t="inlineStr"/>
    </row>
    <row r="522" ht="15" customHeight="1">
      <c r="A522" t="inlineStr">
        <is>
          <t>A 51136-2025</t>
        </is>
      </c>
      <c r="B522" s="1" t="n">
        <v>45947.55820601852</v>
      </c>
      <c r="C522" s="1" t="n">
        <v>45990</v>
      </c>
      <c r="D522" t="inlineStr">
        <is>
          <t>NORRBOTTENS LÄN</t>
        </is>
      </c>
      <c r="E522" t="inlineStr">
        <is>
          <t>LULEÅ</t>
        </is>
      </c>
      <c r="G522" t="n">
        <v>3.3</v>
      </c>
      <c r="H522" t="n">
        <v>0</v>
      </c>
      <c r="I522" t="n">
        <v>0</v>
      </c>
      <c r="J522" t="n">
        <v>0</v>
      </c>
      <c r="K522" t="n">
        <v>0</v>
      </c>
      <c r="L522" t="n">
        <v>0</v>
      </c>
      <c r="M522" t="n">
        <v>0</v>
      </c>
      <c r="N522" t="n">
        <v>0</v>
      </c>
      <c r="O522" t="n">
        <v>0</v>
      </c>
      <c r="P522" t="n">
        <v>0</v>
      </c>
      <c r="Q522" t="n">
        <v>0</v>
      </c>
      <c r="R522" s="2" t="inlineStr"/>
    </row>
    <row r="523" ht="15" customHeight="1">
      <c r="A523" t="inlineStr">
        <is>
          <t>A 50866-2025</t>
        </is>
      </c>
      <c r="B523" s="1" t="n">
        <v>45946.59548611111</v>
      </c>
      <c r="C523" s="1" t="n">
        <v>45990</v>
      </c>
      <c r="D523" t="inlineStr">
        <is>
          <t>NORRBOTTENS LÄN</t>
        </is>
      </c>
      <c r="E523" t="inlineStr">
        <is>
          <t>LULEÅ</t>
        </is>
      </c>
      <c r="G523" t="n">
        <v>2.4</v>
      </c>
      <c r="H523" t="n">
        <v>0</v>
      </c>
      <c r="I523" t="n">
        <v>0</v>
      </c>
      <c r="J523" t="n">
        <v>0</v>
      </c>
      <c r="K523" t="n">
        <v>0</v>
      </c>
      <c r="L523" t="n">
        <v>0</v>
      </c>
      <c r="M523" t="n">
        <v>0</v>
      </c>
      <c r="N523" t="n">
        <v>0</v>
      </c>
      <c r="O523" t="n">
        <v>0</v>
      </c>
      <c r="P523" t="n">
        <v>0</v>
      </c>
      <c r="Q523" t="n">
        <v>0</v>
      </c>
      <c r="R523" s="2" t="inlineStr"/>
    </row>
    <row r="524" ht="15" customHeight="1">
      <c r="A524" t="inlineStr">
        <is>
          <t>A 6958-2025</t>
        </is>
      </c>
      <c r="B524" s="1" t="n">
        <v>45701.49054398148</v>
      </c>
      <c r="C524" s="1" t="n">
        <v>45990</v>
      </c>
      <c r="D524" t="inlineStr">
        <is>
          <t>NORRBOTTENS LÄN</t>
        </is>
      </c>
      <c r="E524" t="inlineStr">
        <is>
          <t>LULEÅ</t>
        </is>
      </c>
      <c r="G524" t="n">
        <v>1.5</v>
      </c>
      <c r="H524" t="n">
        <v>0</v>
      </c>
      <c r="I524" t="n">
        <v>0</v>
      </c>
      <c r="J524" t="n">
        <v>0</v>
      </c>
      <c r="K524" t="n">
        <v>0</v>
      </c>
      <c r="L524" t="n">
        <v>0</v>
      </c>
      <c r="M524" t="n">
        <v>0</v>
      </c>
      <c r="N524" t="n">
        <v>0</v>
      </c>
      <c r="O524" t="n">
        <v>0</v>
      </c>
      <c r="P524" t="n">
        <v>0</v>
      </c>
      <c r="Q524" t="n">
        <v>0</v>
      </c>
      <c r="R524" s="2" t="inlineStr"/>
    </row>
    <row r="525" ht="15" customHeight="1">
      <c r="A525" t="inlineStr">
        <is>
          <t>A 60121-2024</t>
        </is>
      </c>
      <c r="B525" s="1" t="n">
        <v>45642.58465277778</v>
      </c>
      <c r="C525" s="1" t="n">
        <v>45990</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59502-2025</t>
        </is>
      </c>
      <c r="B526" s="1" t="n">
        <v>45989</v>
      </c>
      <c r="C526" s="1" t="n">
        <v>45990</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50988-2025</t>
        </is>
      </c>
      <c r="B527" s="1" t="n">
        <v>45947.34571759259</v>
      </c>
      <c r="C527" s="1" t="n">
        <v>45990</v>
      </c>
      <c r="D527" t="inlineStr">
        <is>
          <t>NORRBOTTENS LÄN</t>
        </is>
      </c>
      <c r="E527" t="inlineStr">
        <is>
          <t>LULEÅ</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57140-2025</t>
        </is>
      </c>
      <c r="B528" s="1" t="n">
        <v>45978</v>
      </c>
      <c r="C528" s="1" t="n">
        <v>45990</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55734-2025</t>
        </is>
      </c>
      <c r="B529" s="1" t="n">
        <v>45972</v>
      </c>
      <c r="C529" s="1" t="n">
        <v>45990</v>
      </c>
      <c r="D529" t="inlineStr">
        <is>
          <t>NORRBOTTENS LÄN</t>
        </is>
      </c>
      <c r="E529" t="inlineStr">
        <is>
          <t>LULEÅ</t>
        </is>
      </c>
      <c r="G529" t="n">
        <v>7.6</v>
      </c>
      <c r="H529" t="n">
        <v>0</v>
      </c>
      <c r="I529" t="n">
        <v>0</v>
      </c>
      <c r="J529" t="n">
        <v>0</v>
      </c>
      <c r="K529" t="n">
        <v>0</v>
      </c>
      <c r="L529" t="n">
        <v>0</v>
      </c>
      <c r="M529" t="n">
        <v>0</v>
      </c>
      <c r="N529" t="n">
        <v>0</v>
      </c>
      <c r="O529" t="n">
        <v>0</v>
      </c>
      <c r="P529" t="n">
        <v>0</v>
      </c>
      <c r="Q529" t="n">
        <v>0</v>
      </c>
      <c r="R529" s="2" t="inlineStr"/>
    </row>
    <row r="530" ht="15" customHeight="1">
      <c r="A530" t="inlineStr">
        <is>
          <t>A 50912-2025</t>
        </is>
      </c>
      <c r="B530" s="1" t="n">
        <v>45946.65706018519</v>
      </c>
      <c r="C530" s="1" t="n">
        <v>45990</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29490-2023</t>
        </is>
      </c>
      <c r="B531" s="1" t="n">
        <v>45098</v>
      </c>
      <c r="C531" s="1" t="n">
        <v>45990</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29510-2023</t>
        </is>
      </c>
      <c r="B532" s="1" t="n">
        <v>45098</v>
      </c>
      <c r="C532" s="1" t="n">
        <v>45990</v>
      </c>
      <c r="D532" t="inlineStr">
        <is>
          <t>NORRBOTTENS LÄN</t>
        </is>
      </c>
      <c r="E532" t="inlineStr">
        <is>
          <t>LULEÅ</t>
        </is>
      </c>
      <c r="G532" t="n">
        <v>3.8</v>
      </c>
      <c r="H532" t="n">
        <v>0</v>
      </c>
      <c r="I532" t="n">
        <v>0</v>
      </c>
      <c r="J532" t="n">
        <v>0</v>
      </c>
      <c r="K532" t="n">
        <v>0</v>
      </c>
      <c r="L532" t="n">
        <v>0</v>
      </c>
      <c r="M532" t="n">
        <v>0</v>
      </c>
      <c r="N532" t="n">
        <v>0</v>
      </c>
      <c r="O532" t="n">
        <v>0</v>
      </c>
      <c r="P532" t="n">
        <v>0</v>
      </c>
      <c r="Q532" t="n">
        <v>0</v>
      </c>
      <c r="R532" s="2" t="inlineStr"/>
    </row>
    <row r="533" ht="15" customHeight="1">
      <c r="A533" t="inlineStr">
        <is>
          <t>A 50867-2025</t>
        </is>
      </c>
      <c r="B533" s="1" t="n">
        <v>45946.59561342592</v>
      </c>
      <c r="C533" s="1" t="n">
        <v>45990</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7880-2025</t>
        </is>
      </c>
      <c r="B534" s="1" t="n">
        <v>45706.785</v>
      </c>
      <c r="C534" s="1" t="n">
        <v>45990</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59437-2025</t>
        </is>
      </c>
      <c r="B535" s="1" t="n">
        <v>45989.556875</v>
      </c>
      <c r="C535" s="1" t="n">
        <v>45990</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59514-2025</t>
        </is>
      </c>
      <c r="B536" s="1" t="n">
        <v>45989.64967592592</v>
      </c>
      <c r="C536" s="1" t="n">
        <v>45990</v>
      </c>
      <c r="D536" t="inlineStr">
        <is>
          <t>NORRBOTTENS LÄN</t>
        </is>
      </c>
      <c r="E536" t="inlineStr">
        <is>
          <t>LULEÅ</t>
        </is>
      </c>
      <c r="G536" t="n">
        <v>4.6</v>
      </c>
      <c r="H536" t="n">
        <v>0</v>
      </c>
      <c r="I536" t="n">
        <v>0</v>
      </c>
      <c r="J536" t="n">
        <v>0</v>
      </c>
      <c r="K536" t="n">
        <v>0</v>
      </c>
      <c r="L536" t="n">
        <v>0</v>
      </c>
      <c r="M536" t="n">
        <v>0</v>
      </c>
      <c r="N536" t="n">
        <v>0</v>
      </c>
      <c r="O536" t="n">
        <v>0</v>
      </c>
      <c r="P536" t="n">
        <v>0</v>
      </c>
      <c r="Q536" t="n">
        <v>0</v>
      </c>
      <c r="R536" s="2" t="inlineStr"/>
    </row>
    <row r="537" ht="15" customHeight="1">
      <c r="A537" t="inlineStr">
        <is>
          <t>A 50845-2025</t>
        </is>
      </c>
      <c r="B537" s="1" t="n">
        <v>45946.5737037037</v>
      </c>
      <c r="C537" s="1" t="n">
        <v>45990</v>
      </c>
      <c r="D537" t="inlineStr">
        <is>
          <t>NORRBOTTENS LÄN</t>
        </is>
      </c>
      <c r="E537" t="inlineStr">
        <is>
          <t>LULEÅ</t>
        </is>
      </c>
      <c r="G537" t="n">
        <v>11.7</v>
      </c>
      <c r="H537" t="n">
        <v>0</v>
      </c>
      <c r="I537" t="n">
        <v>0</v>
      </c>
      <c r="J537" t="n">
        <v>0</v>
      </c>
      <c r="K537" t="n">
        <v>0</v>
      </c>
      <c r="L537" t="n">
        <v>0</v>
      </c>
      <c r="M537" t="n">
        <v>0</v>
      </c>
      <c r="N537" t="n">
        <v>0</v>
      </c>
      <c r="O537" t="n">
        <v>0</v>
      </c>
      <c r="P537" t="n">
        <v>0</v>
      </c>
      <c r="Q537" t="n">
        <v>0</v>
      </c>
      <c r="R537" s="2" t="inlineStr"/>
    </row>
    <row r="538" ht="15" customHeight="1">
      <c r="A538" t="inlineStr">
        <is>
          <t>A 50989-2025</t>
        </is>
      </c>
      <c r="B538" s="1" t="n">
        <v>45947.34578703704</v>
      </c>
      <c r="C538" s="1" t="n">
        <v>45990</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59239-2025</t>
        </is>
      </c>
      <c r="B539" s="1" t="n">
        <v>45988.63575231482</v>
      </c>
      <c r="C539" s="1" t="n">
        <v>45990</v>
      </c>
      <c r="D539" t="inlineStr">
        <is>
          <t>NORRBOTTENS LÄN</t>
        </is>
      </c>
      <c r="E539" t="inlineStr">
        <is>
          <t>LULEÅ</t>
        </is>
      </c>
      <c r="G539" t="n">
        <v>5.3</v>
      </c>
      <c r="H539" t="n">
        <v>0</v>
      </c>
      <c r="I539" t="n">
        <v>0</v>
      </c>
      <c r="J539" t="n">
        <v>0</v>
      </c>
      <c r="K539" t="n">
        <v>0</v>
      </c>
      <c r="L539" t="n">
        <v>0</v>
      </c>
      <c r="M539" t="n">
        <v>0</v>
      </c>
      <c r="N539" t="n">
        <v>0</v>
      </c>
      <c r="O539" t="n">
        <v>0</v>
      </c>
      <c r="P539" t="n">
        <v>0</v>
      </c>
      <c r="Q539" t="n">
        <v>0</v>
      </c>
      <c r="R539" s="2" t="inlineStr"/>
    </row>
    <row r="540" ht="15" customHeight="1">
      <c r="A540" t="inlineStr">
        <is>
          <t>A 55735-2025</t>
        </is>
      </c>
      <c r="B540" s="1" t="n">
        <v>45972</v>
      </c>
      <c r="C540" s="1" t="n">
        <v>45990</v>
      </c>
      <c r="D540" t="inlineStr">
        <is>
          <t>NORRBOTTENS LÄN</t>
        </is>
      </c>
      <c r="E540" t="inlineStr">
        <is>
          <t>LULEÅ</t>
        </is>
      </c>
      <c r="G540" t="n">
        <v>1.2</v>
      </c>
      <c r="H540" t="n">
        <v>0</v>
      </c>
      <c r="I540" t="n">
        <v>0</v>
      </c>
      <c r="J540" t="n">
        <v>0</v>
      </c>
      <c r="K540" t="n">
        <v>0</v>
      </c>
      <c r="L540" t="n">
        <v>0</v>
      </c>
      <c r="M540" t="n">
        <v>0</v>
      </c>
      <c r="N540" t="n">
        <v>0</v>
      </c>
      <c r="O540" t="n">
        <v>0</v>
      </c>
      <c r="P540" t="n">
        <v>0</v>
      </c>
      <c r="Q540" t="n">
        <v>0</v>
      </c>
      <c r="R540" s="2" t="inlineStr"/>
    </row>
    <row r="541" ht="15" customHeight="1">
      <c r="A541" t="inlineStr">
        <is>
          <t>A 13063-2024</t>
        </is>
      </c>
      <c r="B541" s="1" t="n">
        <v>45385</v>
      </c>
      <c r="C541" s="1" t="n">
        <v>45990</v>
      </c>
      <c r="D541" t="inlineStr">
        <is>
          <t>NORRBOTTENS LÄN</t>
        </is>
      </c>
      <c r="E541" t="inlineStr">
        <is>
          <t>LULEÅ</t>
        </is>
      </c>
      <c r="G541" t="n">
        <v>2.5</v>
      </c>
      <c r="H541" t="n">
        <v>0</v>
      </c>
      <c r="I541" t="n">
        <v>0</v>
      </c>
      <c r="J541" t="n">
        <v>0</v>
      </c>
      <c r="K541" t="n">
        <v>0</v>
      </c>
      <c r="L541" t="n">
        <v>0</v>
      </c>
      <c r="M541" t="n">
        <v>0</v>
      </c>
      <c r="N541" t="n">
        <v>0</v>
      </c>
      <c r="O541" t="n">
        <v>0</v>
      </c>
      <c r="P541" t="n">
        <v>0</v>
      </c>
      <c r="Q541" t="n">
        <v>0</v>
      </c>
      <c r="R541" s="2" t="inlineStr"/>
    </row>
    <row r="542" ht="15" customHeight="1">
      <c r="A542" t="inlineStr">
        <is>
          <t>A 13065-2024</t>
        </is>
      </c>
      <c r="B542" s="1" t="n">
        <v>45385</v>
      </c>
      <c r="C542" s="1" t="n">
        <v>45990</v>
      </c>
      <c r="D542" t="inlineStr">
        <is>
          <t>NORRBOTTENS LÄN</t>
        </is>
      </c>
      <c r="E542" t="inlineStr">
        <is>
          <t>LULEÅ</t>
        </is>
      </c>
      <c r="G542" t="n">
        <v>2.2</v>
      </c>
      <c r="H542" t="n">
        <v>0</v>
      </c>
      <c r="I542" t="n">
        <v>0</v>
      </c>
      <c r="J542" t="n">
        <v>0</v>
      </c>
      <c r="K542" t="n">
        <v>0</v>
      </c>
      <c r="L542" t="n">
        <v>0</v>
      </c>
      <c r="M542" t="n">
        <v>0</v>
      </c>
      <c r="N542" t="n">
        <v>0</v>
      </c>
      <c r="O542" t="n">
        <v>0</v>
      </c>
      <c r="P542" t="n">
        <v>0</v>
      </c>
      <c r="Q542" t="n">
        <v>0</v>
      </c>
      <c r="R542" s="2" t="inlineStr"/>
    </row>
    <row r="543" ht="15" customHeight="1">
      <c r="A543" t="inlineStr">
        <is>
          <t>A 17898-2025</t>
        </is>
      </c>
      <c r="B543" s="1" t="n">
        <v>45758</v>
      </c>
      <c r="C543" s="1" t="n">
        <v>45990</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17900-2025</t>
        </is>
      </c>
      <c r="B544" s="1" t="n">
        <v>45758.69837962963</v>
      </c>
      <c r="C544" s="1" t="n">
        <v>45990</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58759-2023</t>
        </is>
      </c>
      <c r="B545" s="1" t="n">
        <v>45251</v>
      </c>
      <c r="C545" s="1" t="n">
        <v>45990</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12116-2025</t>
        </is>
      </c>
      <c r="B546" s="1" t="n">
        <v>45729.36509259259</v>
      </c>
      <c r="C546" s="1" t="n">
        <v>45990</v>
      </c>
      <c r="D546" t="inlineStr">
        <is>
          <t>NORRBOTTENS LÄN</t>
        </is>
      </c>
      <c r="E546" t="inlineStr">
        <is>
          <t>LULEÅ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1312-2024</t>
        </is>
      </c>
      <c r="B547" s="1" t="n">
        <v>45303</v>
      </c>
      <c r="C547" s="1" t="n">
        <v>45990</v>
      </c>
      <c r="D547" t="inlineStr">
        <is>
          <t>NORRBOTTENS LÄN</t>
        </is>
      </c>
      <c r="E547" t="inlineStr">
        <is>
          <t>LULEÅ</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46158-2021</t>
        </is>
      </c>
      <c r="B548" s="1" t="n">
        <v>44442.43422453704</v>
      </c>
      <c r="C548" s="1" t="n">
        <v>45990</v>
      </c>
      <c r="D548" t="inlineStr">
        <is>
          <t>NORRBOTTENS LÄN</t>
        </is>
      </c>
      <c r="E548" t="inlineStr">
        <is>
          <t>LULEÅ</t>
        </is>
      </c>
      <c r="G548" t="n">
        <v>4.8</v>
      </c>
      <c r="H548" t="n">
        <v>0</v>
      </c>
      <c r="I548" t="n">
        <v>0</v>
      </c>
      <c r="J548" t="n">
        <v>0</v>
      </c>
      <c r="K548" t="n">
        <v>0</v>
      </c>
      <c r="L548" t="n">
        <v>0</v>
      </c>
      <c r="M548" t="n">
        <v>0</v>
      </c>
      <c r="N548" t="n">
        <v>0</v>
      </c>
      <c r="O548" t="n">
        <v>0</v>
      </c>
      <c r="P548" t="n">
        <v>0</v>
      </c>
      <c r="Q548" t="n">
        <v>0</v>
      </c>
      <c r="R548" s="2" t="inlineStr"/>
    </row>
    <row r="549" ht="15" customHeight="1">
      <c r="A549" t="inlineStr">
        <is>
          <t>A 57327-2024</t>
        </is>
      </c>
      <c r="B549" s="1" t="n">
        <v>45629.62572916667</v>
      </c>
      <c r="C549" s="1" t="n">
        <v>45990</v>
      </c>
      <c r="D549" t="inlineStr">
        <is>
          <t>NORRBOTTENS LÄN</t>
        </is>
      </c>
      <c r="E549" t="inlineStr">
        <is>
          <t>LULEÅ</t>
        </is>
      </c>
      <c r="F549" t="inlineStr">
        <is>
          <t>Övriga Aktiebolag</t>
        </is>
      </c>
      <c r="G549" t="n">
        <v>6.5</v>
      </c>
      <c r="H549" t="n">
        <v>0</v>
      </c>
      <c r="I549" t="n">
        <v>0</v>
      </c>
      <c r="J549" t="n">
        <v>0</v>
      </c>
      <c r="K549" t="n">
        <v>0</v>
      </c>
      <c r="L549" t="n">
        <v>0</v>
      </c>
      <c r="M549" t="n">
        <v>0</v>
      </c>
      <c r="N549" t="n">
        <v>0</v>
      </c>
      <c r="O549" t="n">
        <v>0</v>
      </c>
      <c r="P549" t="n">
        <v>0</v>
      </c>
      <c r="Q549" t="n">
        <v>0</v>
      </c>
      <c r="R549" s="2" t="inlineStr"/>
    </row>
    <row r="550" ht="15" customHeight="1">
      <c r="A550" t="inlineStr">
        <is>
          <t>A 115-2025</t>
        </is>
      </c>
      <c r="B550" s="1" t="n">
        <v>45659.51613425926</v>
      </c>
      <c r="C550" s="1" t="n">
        <v>45990</v>
      </c>
      <c r="D550" t="inlineStr">
        <is>
          <t>NORRBOTTENS LÄN</t>
        </is>
      </c>
      <c r="E550" t="inlineStr">
        <is>
          <t>LULEÅ</t>
        </is>
      </c>
      <c r="G550" t="n">
        <v>4.3</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45990</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19533-2025</t>
        </is>
      </c>
      <c r="B552" s="1" t="n">
        <v>45770.47331018518</v>
      </c>
      <c r="C552" s="1" t="n">
        <v>45990</v>
      </c>
      <c r="D552" t="inlineStr">
        <is>
          <t>NORRBOTTENS LÄN</t>
        </is>
      </c>
      <c r="E552" t="inlineStr">
        <is>
          <t>LULEÅ</t>
        </is>
      </c>
      <c r="G552" t="n">
        <v>1.5</v>
      </c>
      <c r="H552" t="n">
        <v>0</v>
      </c>
      <c r="I552" t="n">
        <v>0</v>
      </c>
      <c r="J552" t="n">
        <v>0</v>
      </c>
      <c r="K552" t="n">
        <v>0</v>
      </c>
      <c r="L552" t="n">
        <v>0</v>
      </c>
      <c r="M552" t="n">
        <v>0</v>
      </c>
      <c r="N552" t="n">
        <v>0</v>
      </c>
      <c r="O552" t="n">
        <v>0</v>
      </c>
      <c r="P552" t="n">
        <v>0</v>
      </c>
      <c r="Q552" t="n">
        <v>0</v>
      </c>
      <c r="R552" s="2" t="inlineStr"/>
    </row>
    <row r="553" ht="15" customHeight="1">
      <c r="A553" t="inlineStr">
        <is>
          <t>A 17290-2025</t>
        </is>
      </c>
      <c r="B553" s="1" t="n">
        <v>45756.58515046296</v>
      </c>
      <c r="C553" s="1" t="n">
        <v>45990</v>
      </c>
      <c r="D553" t="inlineStr">
        <is>
          <t>NORRBOTTENS LÄN</t>
        </is>
      </c>
      <c r="E553" t="inlineStr">
        <is>
          <t>LULEÅ</t>
        </is>
      </c>
      <c r="G553" t="n">
        <v>5.6</v>
      </c>
      <c r="H553" t="n">
        <v>0</v>
      </c>
      <c r="I553" t="n">
        <v>0</v>
      </c>
      <c r="J553" t="n">
        <v>0</v>
      </c>
      <c r="K553" t="n">
        <v>0</v>
      </c>
      <c r="L553" t="n">
        <v>0</v>
      </c>
      <c r="M553" t="n">
        <v>0</v>
      </c>
      <c r="N553" t="n">
        <v>0</v>
      </c>
      <c r="O553" t="n">
        <v>0</v>
      </c>
      <c r="P553" t="n">
        <v>0</v>
      </c>
      <c r="Q553" t="n">
        <v>0</v>
      </c>
      <c r="R553" s="2" t="inlineStr"/>
    </row>
    <row r="554" ht="15" customHeight="1">
      <c r="A554" t="inlineStr">
        <is>
          <t>A 28150-2024</t>
        </is>
      </c>
      <c r="B554" s="1" t="n">
        <v>45476.76228009259</v>
      </c>
      <c r="C554" s="1" t="n">
        <v>45990</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1513-2025</t>
        </is>
      </c>
      <c r="B555" s="1" t="n">
        <v>45670.45391203704</v>
      </c>
      <c r="C555" s="1" t="n">
        <v>45990</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52667-2024</t>
        </is>
      </c>
      <c r="B556" s="1" t="n">
        <v>45610</v>
      </c>
      <c r="C556" s="1" t="n">
        <v>45990</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54824-2022</t>
        </is>
      </c>
      <c r="B557" s="1" t="n">
        <v>44883.92393518519</v>
      </c>
      <c r="C557" s="1" t="n">
        <v>45990</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34992-2024</t>
        </is>
      </c>
      <c r="B558" s="1" t="n">
        <v>45527</v>
      </c>
      <c r="C558" s="1" t="n">
        <v>45990</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57264-2022</t>
        </is>
      </c>
      <c r="B559" s="1" t="n">
        <v>44895</v>
      </c>
      <c r="C559" s="1" t="n">
        <v>45990</v>
      </c>
      <c r="D559" t="inlineStr">
        <is>
          <t>NORRBOTTENS LÄN</t>
        </is>
      </c>
      <c r="E559" t="inlineStr">
        <is>
          <t>LULEÅ</t>
        </is>
      </c>
      <c r="G559" t="n">
        <v>8</v>
      </c>
      <c r="H559" t="n">
        <v>0</v>
      </c>
      <c r="I559" t="n">
        <v>0</v>
      </c>
      <c r="J559" t="n">
        <v>0</v>
      </c>
      <c r="K559" t="n">
        <v>0</v>
      </c>
      <c r="L559" t="n">
        <v>0</v>
      </c>
      <c r="M559" t="n">
        <v>0</v>
      </c>
      <c r="N559" t="n">
        <v>0</v>
      </c>
      <c r="O559" t="n">
        <v>0</v>
      </c>
      <c r="P559" t="n">
        <v>0</v>
      </c>
      <c r="Q559" t="n">
        <v>0</v>
      </c>
      <c r="R559" s="2" t="inlineStr"/>
    </row>
    <row r="560" ht="15" customHeight="1">
      <c r="A560" t="inlineStr">
        <is>
          <t>A 17427-2023</t>
        </is>
      </c>
      <c r="B560" s="1" t="n">
        <v>45035</v>
      </c>
      <c r="C560" s="1" t="n">
        <v>45990</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1685-2025</t>
        </is>
      </c>
      <c r="B561" s="1" t="n">
        <v>45670.69877314815</v>
      </c>
      <c r="C561" s="1" t="n">
        <v>45990</v>
      </c>
      <c r="D561" t="inlineStr">
        <is>
          <t>NORRBOTTENS LÄN</t>
        </is>
      </c>
      <c r="E561" t="inlineStr">
        <is>
          <t>LULEÅ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3184-2025</t>
        </is>
      </c>
      <c r="B562" s="1" t="n">
        <v>45679</v>
      </c>
      <c r="C562" s="1" t="n">
        <v>45990</v>
      </c>
      <c r="D562" t="inlineStr">
        <is>
          <t>NORRBOTTENS LÄN</t>
        </is>
      </c>
      <c r="E562" t="inlineStr">
        <is>
          <t>LULEÅ</t>
        </is>
      </c>
      <c r="G562" t="n">
        <v>7.4</v>
      </c>
      <c r="H562" t="n">
        <v>0</v>
      </c>
      <c r="I562" t="n">
        <v>0</v>
      </c>
      <c r="J562" t="n">
        <v>0</v>
      </c>
      <c r="K562" t="n">
        <v>0</v>
      </c>
      <c r="L562" t="n">
        <v>0</v>
      </c>
      <c r="M562" t="n">
        <v>0</v>
      </c>
      <c r="N562" t="n">
        <v>0</v>
      </c>
      <c r="O562" t="n">
        <v>0</v>
      </c>
      <c r="P562" t="n">
        <v>0</v>
      </c>
      <c r="Q562" t="n">
        <v>0</v>
      </c>
      <c r="R562" s="2" t="inlineStr"/>
    </row>
    <row r="563" ht="15" customHeight="1">
      <c r="A563" t="inlineStr">
        <is>
          <t>A 49720-2024</t>
        </is>
      </c>
      <c r="B563" s="1" t="n">
        <v>45596.72625</v>
      </c>
      <c r="C563" s="1" t="n">
        <v>45990</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5131-2025</t>
        </is>
      </c>
      <c r="B564" s="1" t="n">
        <v>45691.57331018519</v>
      </c>
      <c r="C564" s="1" t="n">
        <v>45990</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12865-2023</t>
        </is>
      </c>
      <c r="B565" s="1" t="n">
        <v>45001</v>
      </c>
      <c r="C565" s="1" t="n">
        <v>45990</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10611-2025</t>
        </is>
      </c>
      <c r="B566" s="1" t="n">
        <v>45721</v>
      </c>
      <c r="C566" s="1" t="n">
        <v>45990</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45990</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47931-2024</t>
        </is>
      </c>
      <c r="B568" s="1" t="n">
        <v>45589</v>
      </c>
      <c r="C568" s="1" t="n">
        <v>45990</v>
      </c>
      <c r="D568" t="inlineStr">
        <is>
          <t>NORRBOTTENS LÄN</t>
        </is>
      </c>
      <c r="E568" t="inlineStr">
        <is>
          <t>LULEÅ</t>
        </is>
      </c>
      <c r="F568" t="inlineStr">
        <is>
          <t>Naturvårdsverket</t>
        </is>
      </c>
      <c r="G568" t="n">
        <v>1.2</v>
      </c>
      <c r="H568" t="n">
        <v>0</v>
      </c>
      <c r="I568" t="n">
        <v>0</v>
      </c>
      <c r="J568" t="n">
        <v>0</v>
      </c>
      <c r="K568" t="n">
        <v>0</v>
      </c>
      <c r="L568" t="n">
        <v>0</v>
      </c>
      <c r="M568" t="n">
        <v>0</v>
      </c>
      <c r="N568" t="n">
        <v>0</v>
      </c>
      <c r="O568" t="n">
        <v>0</v>
      </c>
      <c r="P568" t="n">
        <v>0</v>
      </c>
      <c r="Q568" t="n">
        <v>0</v>
      </c>
      <c r="R568" s="2" t="inlineStr"/>
    </row>
    <row r="569" ht="15" customHeight="1">
      <c r="A569" t="inlineStr">
        <is>
          <t>A 57764-2022</t>
        </is>
      </c>
      <c r="B569" s="1" t="n">
        <v>44890</v>
      </c>
      <c r="C569" s="1" t="n">
        <v>45990</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17176-2024</t>
        </is>
      </c>
      <c r="B570" s="1" t="n">
        <v>45412</v>
      </c>
      <c r="C570" s="1" t="n">
        <v>45990</v>
      </c>
      <c r="D570" t="inlineStr">
        <is>
          <t>NORRBOTTENS LÄN</t>
        </is>
      </c>
      <c r="E570" t="inlineStr">
        <is>
          <t>LULEÅ</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40974-2024</t>
        </is>
      </c>
      <c r="B571" s="1" t="n">
        <v>45558.6815162037</v>
      </c>
      <c r="C571" s="1" t="n">
        <v>45990</v>
      </c>
      <c r="D571" t="inlineStr">
        <is>
          <t>NORRBOTTENS LÄN</t>
        </is>
      </c>
      <c r="E571" t="inlineStr">
        <is>
          <t>LULEÅ</t>
        </is>
      </c>
      <c r="F571" t="inlineStr">
        <is>
          <t>Övriga Aktiebolag</t>
        </is>
      </c>
      <c r="G571" t="n">
        <v>1.1</v>
      </c>
      <c r="H571" t="n">
        <v>0</v>
      </c>
      <c r="I571" t="n">
        <v>0</v>
      </c>
      <c r="J571" t="n">
        <v>0</v>
      </c>
      <c r="K571" t="n">
        <v>0</v>
      </c>
      <c r="L571" t="n">
        <v>0</v>
      </c>
      <c r="M571" t="n">
        <v>0</v>
      </c>
      <c r="N571" t="n">
        <v>0</v>
      </c>
      <c r="O571" t="n">
        <v>0</v>
      </c>
      <c r="P571" t="n">
        <v>0</v>
      </c>
      <c r="Q571" t="n">
        <v>0</v>
      </c>
      <c r="R571" s="2" t="inlineStr"/>
    </row>
    <row r="572" ht="15" customHeight="1">
      <c r="A572" t="inlineStr">
        <is>
          <t>A 72756-2021</t>
        </is>
      </c>
      <c r="B572" s="1" t="n">
        <v>44546.92277777778</v>
      </c>
      <c r="C572" s="1" t="n">
        <v>45990</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22364-2021</t>
        </is>
      </c>
      <c r="B573" s="1" t="n">
        <v>44322</v>
      </c>
      <c r="C573" s="1" t="n">
        <v>45990</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7689-2025</t>
        </is>
      </c>
      <c r="B574" s="1" t="n">
        <v>45706</v>
      </c>
      <c r="C574" s="1" t="n">
        <v>45990</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29555-2024</t>
        </is>
      </c>
      <c r="B575" s="1" t="n">
        <v>45484</v>
      </c>
      <c r="C575" s="1" t="n">
        <v>45990</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60721-2024</t>
        </is>
      </c>
      <c r="B576" s="1" t="n">
        <v>45644</v>
      </c>
      <c r="C576" s="1" t="n">
        <v>45990</v>
      </c>
      <c r="D576" t="inlineStr">
        <is>
          <t>NORRBOTTENS LÄN</t>
        </is>
      </c>
      <c r="E576" t="inlineStr">
        <is>
          <t>LULEÅ</t>
        </is>
      </c>
      <c r="G576" t="n">
        <v>0.3</v>
      </c>
      <c r="H576" t="n">
        <v>0</v>
      </c>
      <c r="I576" t="n">
        <v>0</v>
      </c>
      <c r="J576" t="n">
        <v>0</v>
      </c>
      <c r="K576" t="n">
        <v>0</v>
      </c>
      <c r="L576" t="n">
        <v>0</v>
      </c>
      <c r="M576" t="n">
        <v>0</v>
      </c>
      <c r="N576" t="n">
        <v>0</v>
      </c>
      <c r="O576" t="n">
        <v>0</v>
      </c>
      <c r="P576" t="n">
        <v>0</v>
      </c>
      <c r="Q576" t="n">
        <v>0</v>
      </c>
      <c r="R576" s="2" t="inlineStr"/>
    </row>
    <row r="577" ht="15" customHeight="1">
      <c r="A577" t="inlineStr">
        <is>
          <t>A 20690-2024</t>
        </is>
      </c>
      <c r="B577" s="1" t="n">
        <v>45436</v>
      </c>
      <c r="C577" s="1" t="n">
        <v>45990</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45990</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59115-2021</t>
        </is>
      </c>
      <c r="B579" s="1" t="n">
        <v>44490.43877314815</v>
      </c>
      <c r="C579" s="1" t="n">
        <v>45990</v>
      </c>
      <c r="D579" t="inlineStr">
        <is>
          <t>NORRBOTTENS LÄN</t>
        </is>
      </c>
      <c r="E579" t="inlineStr">
        <is>
          <t>LULEÅ</t>
        </is>
      </c>
      <c r="F579" t="inlineStr">
        <is>
          <t>Kommuner</t>
        </is>
      </c>
      <c r="G579" t="n">
        <v>2.4</v>
      </c>
      <c r="H579" t="n">
        <v>0</v>
      </c>
      <c r="I579" t="n">
        <v>0</v>
      </c>
      <c r="J579" t="n">
        <v>0</v>
      </c>
      <c r="K579" t="n">
        <v>0</v>
      </c>
      <c r="L579" t="n">
        <v>0</v>
      </c>
      <c r="M579" t="n">
        <v>0</v>
      </c>
      <c r="N579" t="n">
        <v>0</v>
      </c>
      <c r="O579" t="n">
        <v>0</v>
      </c>
      <c r="P579" t="n">
        <v>0</v>
      </c>
      <c r="Q579" t="n">
        <v>0</v>
      </c>
      <c r="R579" s="2" t="inlineStr"/>
    </row>
    <row r="580" ht="15" customHeight="1">
      <c r="A580" t="inlineStr">
        <is>
          <t>A 26925-2024</t>
        </is>
      </c>
      <c r="B580" s="1" t="n">
        <v>45470.93118055556</v>
      </c>
      <c r="C580" s="1" t="n">
        <v>45990</v>
      </c>
      <c r="D580" t="inlineStr">
        <is>
          <t>NORRBOTTENS LÄN</t>
        </is>
      </c>
      <c r="E580" t="inlineStr">
        <is>
          <t>LULEÅ</t>
        </is>
      </c>
      <c r="G580" t="n">
        <v>1.6</v>
      </c>
      <c r="H580" t="n">
        <v>0</v>
      </c>
      <c r="I580" t="n">
        <v>0</v>
      </c>
      <c r="J580" t="n">
        <v>0</v>
      </c>
      <c r="K580" t="n">
        <v>0</v>
      </c>
      <c r="L580" t="n">
        <v>0</v>
      </c>
      <c r="M580" t="n">
        <v>0</v>
      </c>
      <c r="N580" t="n">
        <v>0</v>
      </c>
      <c r="O580" t="n">
        <v>0</v>
      </c>
      <c r="P580" t="n">
        <v>0</v>
      </c>
      <c r="Q580" t="n">
        <v>0</v>
      </c>
      <c r="R580" s="2" t="inlineStr"/>
    </row>
    <row r="581" ht="15" customHeight="1">
      <c r="A581" t="inlineStr">
        <is>
          <t>A 37765-2021</t>
        </is>
      </c>
      <c r="B581" s="1" t="n">
        <v>44400</v>
      </c>
      <c r="C581" s="1" t="n">
        <v>45990</v>
      </c>
      <c r="D581" t="inlineStr">
        <is>
          <t>NORRBOTTENS LÄN</t>
        </is>
      </c>
      <c r="E581" t="inlineStr">
        <is>
          <t>LULEÅ</t>
        </is>
      </c>
      <c r="G581" t="n">
        <v>1.6</v>
      </c>
      <c r="H581" t="n">
        <v>0</v>
      </c>
      <c r="I581" t="n">
        <v>0</v>
      </c>
      <c r="J581" t="n">
        <v>0</v>
      </c>
      <c r="K581" t="n">
        <v>0</v>
      </c>
      <c r="L581" t="n">
        <v>0</v>
      </c>
      <c r="M581" t="n">
        <v>0</v>
      </c>
      <c r="N581" t="n">
        <v>0</v>
      </c>
      <c r="O581" t="n">
        <v>0</v>
      </c>
      <c r="P581" t="n">
        <v>0</v>
      </c>
      <c r="Q581" t="n">
        <v>0</v>
      </c>
      <c r="R581" s="2" t="inlineStr"/>
    </row>
    <row r="582" ht="15" customHeight="1">
      <c r="A582" t="inlineStr">
        <is>
          <t>A 5038-2025</t>
        </is>
      </c>
      <c r="B582" s="1" t="n">
        <v>45691.42896990741</v>
      </c>
      <c r="C582" s="1" t="n">
        <v>45990</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5051-2025</t>
        </is>
      </c>
      <c r="B583" s="1" t="n">
        <v>45691.45101851852</v>
      </c>
      <c r="C583" s="1" t="n">
        <v>45990</v>
      </c>
      <c r="D583" t="inlineStr">
        <is>
          <t>NORRBOTTENS LÄN</t>
        </is>
      </c>
      <c r="E583" t="inlineStr">
        <is>
          <t>LULEÅ</t>
        </is>
      </c>
      <c r="G583" t="n">
        <v>0.9</v>
      </c>
      <c r="H583" t="n">
        <v>0</v>
      </c>
      <c r="I583" t="n">
        <v>0</v>
      </c>
      <c r="J583" t="n">
        <v>0</v>
      </c>
      <c r="K583" t="n">
        <v>0</v>
      </c>
      <c r="L583" t="n">
        <v>0</v>
      </c>
      <c r="M583" t="n">
        <v>0</v>
      </c>
      <c r="N583" t="n">
        <v>0</v>
      </c>
      <c r="O583" t="n">
        <v>0</v>
      </c>
      <c r="P583" t="n">
        <v>0</v>
      </c>
      <c r="Q583" t="n">
        <v>0</v>
      </c>
      <c r="R583" s="2" t="inlineStr"/>
    </row>
    <row r="584" ht="15" customHeight="1">
      <c r="A584" t="inlineStr">
        <is>
          <t>A 47246-2022</t>
        </is>
      </c>
      <c r="B584" s="1" t="n">
        <v>44852</v>
      </c>
      <c r="C584" s="1" t="n">
        <v>45990</v>
      </c>
      <c r="D584" t="inlineStr">
        <is>
          <t>NORRBOTTENS LÄN</t>
        </is>
      </c>
      <c r="E584" t="inlineStr">
        <is>
          <t>LULEÅ</t>
        </is>
      </c>
      <c r="G584" t="n">
        <v>2.9</v>
      </c>
      <c r="H584" t="n">
        <v>0</v>
      </c>
      <c r="I584" t="n">
        <v>0</v>
      </c>
      <c r="J584" t="n">
        <v>0</v>
      </c>
      <c r="K584" t="n">
        <v>0</v>
      </c>
      <c r="L584" t="n">
        <v>0</v>
      </c>
      <c r="M584" t="n">
        <v>0</v>
      </c>
      <c r="N584" t="n">
        <v>0</v>
      </c>
      <c r="O584" t="n">
        <v>0</v>
      </c>
      <c r="P584" t="n">
        <v>0</v>
      </c>
      <c r="Q584" t="n">
        <v>0</v>
      </c>
      <c r="R584" s="2" t="inlineStr"/>
    </row>
    <row r="585" ht="15" customHeight="1">
      <c r="A585" t="inlineStr">
        <is>
          <t>A 30785-2024</t>
        </is>
      </c>
      <c r="B585" s="1" t="n">
        <v>45496</v>
      </c>
      <c r="C585" s="1" t="n">
        <v>45990</v>
      </c>
      <c r="D585" t="inlineStr">
        <is>
          <t>NORRBOTTENS LÄN</t>
        </is>
      </c>
      <c r="E585" t="inlineStr">
        <is>
          <t>LULEÅ</t>
        </is>
      </c>
      <c r="F585" t="inlineStr">
        <is>
          <t>Naturvårdsverket</t>
        </is>
      </c>
      <c r="G585" t="n">
        <v>11.7</v>
      </c>
      <c r="H585" t="n">
        <v>0</v>
      </c>
      <c r="I585" t="n">
        <v>0</v>
      </c>
      <c r="J585" t="n">
        <v>0</v>
      </c>
      <c r="K585" t="n">
        <v>0</v>
      </c>
      <c r="L585" t="n">
        <v>0</v>
      </c>
      <c r="M585" t="n">
        <v>0</v>
      </c>
      <c r="N585" t="n">
        <v>0</v>
      </c>
      <c r="O585" t="n">
        <v>0</v>
      </c>
      <c r="P585" t="n">
        <v>0</v>
      </c>
      <c r="Q585" t="n">
        <v>0</v>
      </c>
      <c r="R585" s="2" t="inlineStr"/>
    </row>
    <row r="586" ht="15" customHeight="1">
      <c r="A586" t="inlineStr">
        <is>
          <t>A 8022-2024</t>
        </is>
      </c>
      <c r="B586" s="1" t="n">
        <v>45350</v>
      </c>
      <c r="C586" s="1" t="n">
        <v>45990</v>
      </c>
      <c r="D586" t="inlineStr">
        <is>
          <t>NORRBOTTENS LÄN</t>
        </is>
      </c>
      <c r="E586" t="inlineStr">
        <is>
          <t>LULEÅ</t>
        </is>
      </c>
      <c r="G586" t="n">
        <v>2.3</v>
      </c>
      <c r="H586" t="n">
        <v>0</v>
      </c>
      <c r="I586" t="n">
        <v>0</v>
      </c>
      <c r="J586" t="n">
        <v>0</v>
      </c>
      <c r="K586" t="n">
        <v>0</v>
      </c>
      <c r="L586" t="n">
        <v>0</v>
      </c>
      <c r="M586" t="n">
        <v>0</v>
      </c>
      <c r="N586" t="n">
        <v>0</v>
      </c>
      <c r="O586" t="n">
        <v>0</v>
      </c>
      <c r="P586" t="n">
        <v>0</v>
      </c>
      <c r="Q586" t="n">
        <v>0</v>
      </c>
      <c r="R586" s="2" t="inlineStr"/>
    </row>
    <row r="587" ht="15" customHeight="1">
      <c r="A587" t="inlineStr">
        <is>
          <t>A 12539-2024</t>
        </is>
      </c>
      <c r="B587" s="1" t="n">
        <v>45379</v>
      </c>
      <c r="C587" s="1" t="n">
        <v>45990</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30727-2023</t>
        </is>
      </c>
      <c r="B588" s="1" t="n">
        <v>45112</v>
      </c>
      <c r="C588" s="1" t="n">
        <v>45990</v>
      </c>
      <c r="D588" t="inlineStr">
        <is>
          <t>NORRBOTTENS LÄN</t>
        </is>
      </c>
      <c r="E588" t="inlineStr">
        <is>
          <t>LULEÅ</t>
        </is>
      </c>
      <c r="G588" t="n">
        <v>1.8</v>
      </c>
      <c r="H588" t="n">
        <v>0</v>
      </c>
      <c r="I588" t="n">
        <v>0</v>
      </c>
      <c r="J588" t="n">
        <v>0</v>
      </c>
      <c r="K588" t="n">
        <v>0</v>
      </c>
      <c r="L588" t="n">
        <v>0</v>
      </c>
      <c r="M588" t="n">
        <v>0</v>
      </c>
      <c r="N588" t="n">
        <v>0</v>
      </c>
      <c r="O588" t="n">
        <v>0</v>
      </c>
      <c r="P588" t="n">
        <v>0</v>
      </c>
      <c r="Q588" t="n">
        <v>0</v>
      </c>
      <c r="R588" s="2" t="inlineStr"/>
    </row>
    <row r="589" ht="15" customHeight="1">
      <c r="A589" t="inlineStr">
        <is>
          <t>A 59400-2024</t>
        </is>
      </c>
      <c r="B589" s="1" t="n">
        <v>45638</v>
      </c>
      <c r="C589" s="1" t="n">
        <v>45990</v>
      </c>
      <c r="D589" t="inlineStr">
        <is>
          <t>NORRBOTTENS LÄN</t>
        </is>
      </c>
      <c r="E589" t="inlineStr">
        <is>
          <t>LULEÅ</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35249-2021</t>
        </is>
      </c>
      <c r="B590" s="1" t="n">
        <v>44384</v>
      </c>
      <c r="C590" s="1" t="n">
        <v>45990</v>
      </c>
      <c r="D590" t="inlineStr">
        <is>
          <t>NORRBOTTENS LÄN</t>
        </is>
      </c>
      <c r="E590" t="inlineStr">
        <is>
          <t>LULEÅ</t>
        </is>
      </c>
      <c r="G590" t="n">
        <v>2.4</v>
      </c>
      <c r="H590" t="n">
        <v>0</v>
      </c>
      <c r="I590" t="n">
        <v>0</v>
      </c>
      <c r="J590" t="n">
        <v>0</v>
      </c>
      <c r="K590" t="n">
        <v>0</v>
      </c>
      <c r="L590" t="n">
        <v>0</v>
      </c>
      <c r="M590" t="n">
        <v>0</v>
      </c>
      <c r="N590" t="n">
        <v>0</v>
      </c>
      <c r="O590" t="n">
        <v>0</v>
      </c>
      <c r="P590" t="n">
        <v>0</v>
      </c>
      <c r="Q590" t="n">
        <v>0</v>
      </c>
      <c r="R590" s="2" t="inlineStr"/>
    </row>
    <row r="591" ht="15" customHeight="1">
      <c r="A591" t="inlineStr">
        <is>
          <t>A 35962-2021</t>
        </is>
      </c>
      <c r="B591" s="1" t="n">
        <v>44385</v>
      </c>
      <c r="C591" s="1" t="n">
        <v>45990</v>
      </c>
      <c r="D591" t="inlineStr">
        <is>
          <t>NORRBOTTENS LÄN</t>
        </is>
      </c>
      <c r="E591" t="inlineStr">
        <is>
          <t>LULEÅ</t>
        </is>
      </c>
      <c r="G591" t="n">
        <v>0.9</v>
      </c>
      <c r="H591" t="n">
        <v>0</v>
      </c>
      <c r="I591" t="n">
        <v>0</v>
      </c>
      <c r="J591" t="n">
        <v>0</v>
      </c>
      <c r="K591" t="n">
        <v>0</v>
      </c>
      <c r="L591" t="n">
        <v>0</v>
      </c>
      <c r="M591" t="n">
        <v>0</v>
      </c>
      <c r="N591" t="n">
        <v>0</v>
      </c>
      <c r="O591" t="n">
        <v>0</v>
      </c>
      <c r="P591" t="n">
        <v>0</v>
      </c>
      <c r="Q591" t="n">
        <v>0</v>
      </c>
      <c r="R591" s="2" t="inlineStr"/>
    </row>
    <row r="592" ht="15" customHeight="1">
      <c r="A592" t="inlineStr">
        <is>
          <t>A 7306-2024</t>
        </is>
      </c>
      <c r="B592" s="1" t="n">
        <v>45344</v>
      </c>
      <c r="C592" s="1" t="n">
        <v>45990</v>
      </c>
      <c r="D592" t="inlineStr">
        <is>
          <t>NORRBOTTENS LÄN</t>
        </is>
      </c>
      <c r="E592" t="inlineStr">
        <is>
          <t>LULEÅ</t>
        </is>
      </c>
      <c r="G592" t="n">
        <v>29.2</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45990</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61866-2023</t>
        </is>
      </c>
      <c r="B594" s="1" t="n">
        <v>45264</v>
      </c>
      <c r="C594" s="1" t="n">
        <v>45990</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3693-2025</t>
        </is>
      </c>
      <c r="B595" s="1" t="n">
        <v>45681.46563657407</v>
      </c>
      <c r="C595" s="1" t="n">
        <v>45990</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23819-2023</t>
        </is>
      </c>
      <c r="B596" s="1" t="n">
        <v>45075</v>
      </c>
      <c r="C596" s="1" t="n">
        <v>45990</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14447-2023</t>
        </is>
      </c>
      <c r="B597" s="1" t="n">
        <v>45012</v>
      </c>
      <c r="C597" s="1" t="n">
        <v>45990</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17304-2025</t>
        </is>
      </c>
      <c r="B598" s="1" t="n">
        <v>45756</v>
      </c>
      <c r="C598" s="1" t="n">
        <v>45990</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17306-2025</t>
        </is>
      </c>
      <c r="B599" s="1" t="n">
        <v>45756.60434027778</v>
      </c>
      <c r="C599" s="1" t="n">
        <v>45990</v>
      </c>
      <c r="D599" t="inlineStr">
        <is>
          <t>NORRBOTTENS LÄN</t>
        </is>
      </c>
      <c r="E599" t="inlineStr">
        <is>
          <t>LULEÅ</t>
        </is>
      </c>
      <c r="G599" t="n">
        <v>0.8</v>
      </c>
      <c r="H599" t="n">
        <v>0</v>
      </c>
      <c r="I599" t="n">
        <v>0</v>
      </c>
      <c r="J599" t="n">
        <v>0</v>
      </c>
      <c r="K599" t="n">
        <v>0</v>
      </c>
      <c r="L599" t="n">
        <v>0</v>
      </c>
      <c r="M599" t="n">
        <v>0</v>
      </c>
      <c r="N599" t="n">
        <v>0</v>
      </c>
      <c r="O599" t="n">
        <v>0</v>
      </c>
      <c r="P599" t="n">
        <v>0</v>
      </c>
      <c r="Q599" t="n">
        <v>0</v>
      </c>
      <c r="R599" s="2" t="inlineStr"/>
    </row>
    <row r="600" ht="15" customHeight="1">
      <c r="A600" t="inlineStr">
        <is>
          <t>A 57826-2022</t>
        </is>
      </c>
      <c r="B600" s="1" t="n">
        <v>44897</v>
      </c>
      <c r="C600" s="1" t="n">
        <v>45990</v>
      </c>
      <c r="D600" t="inlineStr">
        <is>
          <t>NORRBOTTENS LÄN</t>
        </is>
      </c>
      <c r="E600" t="inlineStr">
        <is>
          <t>LULEÅ</t>
        </is>
      </c>
      <c r="G600" t="n">
        <v>1.1</v>
      </c>
      <c r="H600" t="n">
        <v>0</v>
      </c>
      <c r="I600" t="n">
        <v>0</v>
      </c>
      <c r="J600" t="n">
        <v>0</v>
      </c>
      <c r="K600" t="n">
        <v>0</v>
      </c>
      <c r="L600" t="n">
        <v>0</v>
      </c>
      <c r="M600" t="n">
        <v>0</v>
      </c>
      <c r="N600" t="n">
        <v>0</v>
      </c>
      <c r="O600" t="n">
        <v>0</v>
      </c>
      <c r="P600" t="n">
        <v>0</v>
      </c>
      <c r="Q600" t="n">
        <v>0</v>
      </c>
      <c r="R600" s="2" t="inlineStr"/>
    </row>
    <row r="601" ht="15" customHeight="1">
      <c r="A601" t="inlineStr">
        <is>
          <t>A 42102-2024</t>
        </is>
      </c>
      <c r="B601" s="1" t="n">
        <v>45562.35875</v>
      </c>
      <c r="C601" s="1" t="n">
        <v>45990</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23744-2023</t>
        </is>
      </c>
      <c r="B602" s="1" t="n">
        <v>45077.82532407407</v>
      </c>
      <c r="C602" s="1" t="n">
        <v>45990</v>
      </c>
      <c r="D602" t="inlineStr">
        <is>
          <t>NORRBOTTENS LÄN</t>
        </is>
      </c>
      <c r="E602" t="inlineStr">
        <is>
          <t>LULEÅ</t>
        </is>
      </c>
      <c r="G602" t="n">
        <v>3.9</v>
      </c>
      <c r="H602" t="n">
        <v>0</v>
      </c>
      <c r="I602" t="n">
        <v>0</v>
      </c>
      <c r="J602" t="n">
        <v>0</v>
      </c>
      <c r="K602" t="n">
        <v>0</v>
      </c>
      <c r="L602" t="n">
        <v>0</v>
      </c>
      <c r="M602" t="n">
        <v>0</v>
      </c>
      <c r="N602" t="n">
        <v>0</v>
      </c>
      <c r="O602" t="n">
        <v>0</v>
      </c>
      <c r="P602" t="n">
        <v>0</v>
      </c>
      <c r="Q602" t="n">
        <v>0</v>
      </c>
      <c r="R602" s="2" t="inlineStr"/>
    </row>
    <row r="603" ht="15" customHeight="1">
      <c r="A603" t="inlineStr">
        <is>
          <t>A 1572-2025</t>
        </is>
      </c>
      <c r="B603" s="1" t="n">
        <v>45670.55724537037</v>
      </c>
      <c r="C603" s="1" t="n">
        <v>45990</v>
      </c>
      <c r="D603" t="inlineStr">
        <is>
          <t>NORRBOTTENS LÄN</t>
        </is>
      </c>
      <c r="E603" t="inlineStr">
        <is>
          <t>LULEÅ</t>
        </is>
      </c>
      <c r="G603" t="n">
        <v>5.2</v>
      </c>
      <c r="H603" t="n">
        <v>0</v>
      </c>
      <c r="I603" t="n">
        <v>0</v>
      </c>
      <c r="J603" t="n">
        <v>0</v>
      </c>
      <c r="K603" t="n">
        <v>0</v>
      </c>
      <c r="L603" t="n">
        <v>0</v>
      </c>
      <c r="M603" t="n">
        <v>0</v>
      </c>
      <c r="N603" t="n">
        <v>0</v>
      </c>
      <c r="O603" t="n">
        <v>0</v>
      </c>
      <c r="P603" t="n">
        <v>0</v>
      </c>
      <c r="Q603" t="n">
        <v>0</v>
      </c>
      <c r="R603" s="2" t="inlineStr"/>
    </row>
    <row r="604" ht="15" customHeight="1">
      <c r="A604" t="inlineStr">
        <is>
          <t>A 4940-2025</t>
        </is>
      </c>
      <c r="B604" s="1" t="n">
        <v>45688.69949074074</v>
      </c>
      <c r="C604" s="1" t="n">
        <v>45990</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59681-2023</t>
        </is>
      </c>
      <c r="B605" s="1" t="n">
        <v>45255</v>
      </c>
      <c r="C605" s="1" t="n">
        <v>45990</v>
      </c>
      <c r="D605" t="inlineStr">
        <is>
          <t>NORRBOTTENS LÄN</t>
        </is>
      </c>
      <c r="E605" t="inlineStr">
        <is>
          <t>LULEÅ</t>
        </is>
      </c>
      <c r="G605" t="n">
        <v>0.6</v>
      </c>
      <c r="H605" t="n">
        <v>0</v>
      </c>
      <c r="I605" t="n">
        <v>0</v>
      </c>
      <c r="J605" t="n">
        <v>0</v>
      </c>
      <c r="K605" t="n">
        <v>0</v>
      </c>
      <c r="L605" t="n">
        <v>0</v>
      </c>
      <c r="M605" t="n">
        <v>0</v>
      </c>
      <c r="N605" t="n">
        <v>0</v>
      </c>
      <c r="O605" t="n">
        <v>0</v>
      </c>
      <c r="P605" t="n">
        <v>0</v>
      </c>
      <c r="Q605" t="n">
        <v>0</v>
      </c>
      <c r="R605" s="2" t="inlineStr"/>
    </row>
    <row r="606" ht="15" customHeight="1">
      <c r="A606" t="inlineStr">
        <is>
          <t>A 49648-2024</t>
        </is>
      </c>
      <c r="B606" s="1" t="n">
        <v>45596</v>
      </c>
      <c r="C606" s="1" t="n">
        <v>45990</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1017-2025</t>
        </is>
      </c>
      <c r="B607" s="1" t="n">
        <v>45665</v>
      </c>
      <c r="C607" s="1" t="n">
        <v>45990</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12282-2024</t>
        </is>
      </c>
      <c r="B608" s="1" t="n">
        <v>45378</v>
      </c>
      <c r="C608" s="1" t="n">
        <v>45990</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12551-2024</t>
        </is>
      </c>
      <c r="B609" s="1" t="n">
        <v>45379</v>
      </c>
      <c r="C609" s="1" t="n">
        <v>45990</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17175-2024</t>
        </is>
      </c>
      <c r="B610" s="1" t="n">
        <v>45412</v>
      </c>
      <c r="C610" s="1" t="n">
        <v>45990</v>
      </c>
      <c r="D610" t="inlineStr">
        <is>
          <t>NORRBOTTENS LÄN</t>
        </is>
      </c>
      <c r="E610" t="inlineStr">
        <is>
          <t>LULEÅ</t>
        </is>
      </c>
      <c r="F610" t="inlineStr">
        <is>
          <t>SCA</t>
        </is>
      </c>
      <c r="G610" t="n">
        <v>18.5</v>
      </c>
      <c r="H610" t="n">
        <v>0</v>
      </c>
      <c r="I610" t="n">
        <v>0</v>
      </c>
      <c r="J610" t="n">
        <v>0</v>
      </c>
      <c r="K610" t="n">
        <v>0</v>
      </c>
      <c r="L610" t="n">
        <v>0</v>
      </c>
      <c r="M610" t="n">
        <v>0</v>
      </c>
      <c r="N610" t="n">
        <v>0</v>
      </c>
      <c r="O610" t="n">
        <v>0</v>
      </c>
      <c r="P610" t="n">
        <v>0</v>
      </c>
      <c r="Q610" t="n">
        <v>0</v>
      </c>
      <c r="R610" s="2" t="inlineStr"/>
    </row>
    <row r="611" ht="15" customHeight="1">
      <c r="A611" t="inlineStr">
        <is>
          <t>A 35234-2021</t>
        </is>
      </c>
      <c r="B611" s="1" t="n">
        <v>44384</v>
      </c>
      <c r="C611" s="1" t="n">
        <v>45990</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54213-2023</t>
        </is>
      </c>
      <c r="B612" s="1" t="n">
        <v>45232</v>
      </c>
      <c r="C612" s="1" t="n">
        <v>45990</v>
      </c>
      <c r="D612" t="inlineStr">
        <is>
          <t>NORRBOTTENS LÄN</t>
        </is>
      </c>
      <c r="E612" t="inlineStr">
        <is>
          <t>LULEÅ</t>
        </is>
      </c>
      <c r="G612" t="n">
        <v>0.2</v>
      </c>
      <c r="H612" t="n">
        <v>0</v>
      </c>
      <c r="I612" t="n">
        <v>0</v>
      </c>
      <c r="J612" t="n">
        <v>0</v>
      </c>
      <c r="K612" t="n">
        <v>0</v>
      </c>
      <c r="L612" t="n">
        <v>0</v>
      </c>
      <c r="M612" t="n">
        <v>0</v>
      </c>
      <c r="N612" t="n">
        <v>0</v>
      </c>
      <c r="O612" t="n">
        <v>0</v>
      </c>
      <c r="P612" t="n">
        <v>0</v>
      </c>
      <c r="Q612" t="n">
        <v>0</v>
      </c>
      <c r="R612" s="2" t="inlineStr"/>
    </row>
    <row r="613" ht="15" customHeight="1">
      <c r="A613" t="inlineStr">
        <is>
          <t>A 11135-2025</t>
        </is>
      </c>
      <c r="B613" s="1" t="n">
        <v>45723.65663194445</v>
      </c>
      <c r="C613" s="1" t="n">
        <v>45990</v>
      </c>
      <c r="D613" t="inlineStr">
        <is>
          <t>NORRBOTTENS LÄN</t>
        </is>
      </c>
      <c r="E613" t="inlineStr">
        <is>
          <t>LULEÅ</t>
        </is>
      </c>
      <c r="G613" t="n">
        <v>16.7</v>
      </c>
      <c r="H613" t="n">
        <v>0</v>
      </c>
      <c r="I613" t="n">
        <v>0</v>
      </c>
      <c r="J613" t="n">
        <v>0</v>
      </c>
      <c r="K613" t="n">
        <v>0</v>
      </c>
      <c r="L613" t="n">
        <v>0</v>
      </c>
      <c r="M613" t="n">
        <v>0</v>
      </c>
      <c r="N613" t="n">
        <v>0</v>
      </c>
      <c r="O613" t="n">
        <v>0</v>
      </c>
      <c r="P613" t="n">
        <v>0</v>
      </c>
      <c r="Q613" t="n">
        <v>0</v>
      </c>
      <c r="R613" s="2" t="inlineStr"/>
    </row>
    <row r="614" ht="15" customHeight="1">
      <c r="A614" t="inlineStr">
        <is>
          <t>A 60954-2021</t>
        </is>
      </c>
      <c r="B614" s="1" t="n">
        <v>44496</v>
      </c>
      <c r="C614" s="1" t="n">
        <v>45990</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20063-2023</t>
        </is>
      </c>
      <c r="B615" s="1" t="n">
        <v>45054</v>
      </c>
      <c r="C615" s="1" t="n">
        <v>45990</v>
      </c>
      <c r="D615" t="inlineStr">
        <is>
          <t>NORRBOTTENS LÄN</t>
        </is>
      </c>
      <c r="E615" t="inlineStr">
        <is>
          <t>LULEÅ</t>
        </is>
      </c>
      <c r="G615" t="n">
        <v>2.2</v>
      </c>
      <c r="H615" t="n">
        <v>0</v>
      </c>
      <c r="I615" t="n">
        <v>0</v>
      </c>
      <c r="J615" t="n">
        <v>0</v>
      </c>
      <c r="K615" t="n">
        <v>0</v>
      </c>
      <c r="L615" t="n">
        <v>0</v>
      </c>
      <c r="M615" t="n">
        <v>0</v>
      </c>
      <c r="N615" t="n">
        <v>0</v>
      </c>
      <c r="O615" t="n">
        <v>0</v>
      </c>
      <c r="P615" t="n">
        <v>0</v>
      </c>
      <c r="Q615" t="n">
        <v>0</v>
      </c>
      <c r="R615" s="2" t="inlineStr"/>
    </row>
    <row r="616" ht="15" customHeight="1">
      <c r="A616" t="inlineStr">
        <is>
          <t>A 26253-2023</t>
        </is>
      </c>
      <c r="B616" s="1" t="n">
        <v>45091</v>
      </c>
      <c r="C616" s="1" t="n">
        <v>45990</v>
      </c>
      <c r="D616" t="inlineStr">
        <is>
          <t>NORRBOTTENS LÄN</t>
        </is>
      </c>
      <c r="E616" t="inlineStr">
        <is>
          <t>LULEÅ</t>
        </is>
      </c>
      <c r="G616" t="n">
        <v>4.9</v>
      </c>
      <c r="H616" t="n">
        <v>0</v>
      </c>
      <c r="I616" t="n">
        <v>0</v>
      </c>
      <c r="J616" t="n">
        <v>0</v>
      </c>
      <c r="K616" t="n">
        <v>0</v>
      </c>
      <c r="L616" t="n">
        <v>0</v>
      </c>
      <c r="M616" t="n">
        <v>0</v>
      </c>
      <c r="N616" t="n">
        <v>0</v>
      </c>
      <c r="O616" t="n">
        <v>0</v>
      </c>
      <c r="P616" t="n">
        <v>0</v>
      </c>
      <c r="Q616" t="n">
        <v>0</v>
      </c>
      <c r="R616" s="2" t="inlineStr"/>
    </row>
    <row r="617" ht="15" customHeight="1">
      <c r="A617" t="inlineStr">
        <is>
          <t>A 49857-2023</t>
        </is>
      </c>
      <c r="B617" s="1" t="n">
        <v>45212</v>
      </c>
      <c r="C617" s="1" t="n">
        <v>45990</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49858-2023</t>
        </is>
      </c>
      <c r="B618" s="1" t="n">
        <v>45212.95483796296</v>
      </c>
      <c r="C618" s="1" t="n">
        <v>45990</v>
      </c>
      <c r="D618" t="inlineStr">
        <is>
          <t>NORRBOTTENS LÄN</t>
        </is>
      </c>
      <c r="E618" t="inlineStr">
        <is>
          <t>LULEÅ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44330-2024</t>
        </is>
      </c>
      <c r="B619" s="1" t="n">
        <v>45573.60027777778</v>
      </c>
      <c r="C619" s="1" t="n">
        <v>45990</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42103-2024</t>
        </is>
      </c>
      <c r="B620" s="1" t="n">
        <v>45562</v>
      </c>
      <c r="C620" s="1" t="n">
        <v>45990</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18208-2023</t>
        </is>
      </c>
      <c r="B621" s="1" t="n">
        <v>45040</v>
      </c>
      <c r="C621" s="1" t="n">
        <v>45990</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704-2025</t>
        </is>
      </c>
      <c r="B622" s="1" t="n">
        <v>45663</v>
      </c>
      <c r="C622" s="1" t="n">
        <v>45990</v>
      </c>
      <c r="D622" t="inlineStr">
        <is>
          <t>NORRBOTTENS LÄN</t>
        </is>
      </c>
      <c r="E622" t="inlineStr">
        <is>
          <t>LULEÅ</t>
        </is>
      </c>
      <c r="G622" t="n">
        <v>1.6</v>
      </c>
      <c r="H622" t="n">
        <v>0</v>
      </c>
      <c r="I622" t="n">
        <v>0</v>
      </c>
      <c r="J622" t="n">
        <v>0</v>
      </c>
      <c r="K622" t="n">
        <v>0</v>
      </c>
      <c r="L622" t="n">
        <v>0</v>
      </c>
      <c r="M622" t="n">
        <v>0</v>
      </c>
      <c r="N622" t="n">
        <v>0</v>
      </c>
      <c r="O622" t="n">
        <v>0</v>
      </c>
      <c r="P622" t="n">
        <v>0</v>
      </c>
      <c r="Q622" t="n">
        <v>0</v>
      </c>
      <c r="R622" s="2" t="inlineStr"/>
    </row>
    <row r="623" ht="15" customHeight="1">
      <c r="A623" t="inlineStr">
        <is>
          <t>A 731-2025</t>
        </is>
      </c>
      <c r="B623" s="1" t="n">
        <v>45664</v>
      </c>
      <c r="C623" s="1" t="n">
        <v>45990</v>
      </c>
      <c r="D623" t="inlineStr">
        <is>
          <t>NORRBOTTENS LÄN</t>
        </is>
      </c>
      <c r="E623" t="inlineStr">
        <is>
          <t>LULEÅ</t>
        </is>
      </c>
      <c r="G623" t="n">
        <v>0.4</v>
      </c>
      <c r="H623" t="n">
        <v>0</v>
      </c>
      <c r="I623" t="n">
        <v>0</v>
      </c>
      <c r="J623" t="n">
        <v>0</v>
      </c>
      <c r="K623" t="n">
        <v>0</v>
      </c>
      <c r="L623" t="n">
        <v>0</v>
      </c>
      <c r="M623" t="n">
        <v>0</v>
      </c>
      <c r="N623" t="n">
        <v>0</v>
      </c>
      <c r="O623" t="n">
        <v>0</v>
      </c>
      <c r="P623" t="n">
        <v>0</v>
      </c>
      <c r="Q623" t="n">
        <v>0</v>
      </c>
      <c r="R623" s="2" t="inlineStr"/>
    </row>
    <row r="624" ht="15" customHeight="1">
      <c r="A624" t="inlineStr">
        <is>
          <t>A 23730-2023</t>
        </is>
      </c>
      <c r="B624" s="1" t="n">
        <v>45077</v>
      </c>
      <c r="C624" s="1" t="n">
        <v>45990</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45990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58831-2024</t>
        </is>
      </c>
      <c r="B626" s="1" t="n">
        <v>45635</v>
      </c>
      <c r="C626" s="1" t="n">
        <v>45990</v>
      </c>
      <c r="D626" t="inlineStr">
        <is>
          <t>NORRBOTTENS LÄN</t>
        </is>
      </c>
      <c r="E626" t="inlineStr">
        <is>
          <t>LULEÅ</t>
        </is>
      </c>
      <c r="G626" t="n">
        <v>0.3</v>
      </c>
      <c r="H626" t="n">
        <v>0</v>
      </c>
      <c r="I626" t="n">
        <v>0</v>
      </c>
      <c r="J626" t="n">
        <v>0</v>
      </c>
      <c r="K626" t="n">
        <v>0</v>
      </c>
      <c r="L626" t="n">
        <v>0</v>
      </c>
      <c r="M626" t="n">
        <v>0</v>
      </c>
      <c r="N626" t="n">
        <v>0</v>
      </c>
      <c r="O626" t="n">
        <v>0</v>
      </c>
      <c r="P626" t="n">
        <v>0</v>
      </c>
      <c r="Q626" t="n">
        <v>0</v>
      </c>
      <c r="R626" s="2" t="inlineStr"/>
    </row>
    <row r="627" ht="15" customHeight="1">
      <c r="A627" t="inlineStr">
        <is>
          <t>A 2561-2022</t>
        </is>
      </c>
      <c r="B627" s="1" t="n">
        <v>44579</v>
      </c>
      <c r="C627" s="1" t="n">
        <v>45990</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48059-2023</t>
        </is>
      </c>
      <c r="B628" s="1" t="n">
        <v>45204</v>
      </c>
      <c r="C628" s="1" t="n">
        <v>45990</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14196-2025</t>
        </is>
      </c>
      <c r="B629" s="1" t="n">
        <v>45740.56502314815</v>
      </c>
      <c r="C629" s="1" t="n">
        <v>45990</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61891-2023</t>
        </is>
      </c>
      <c r="B630" s="1" t="n">
        <v>45264</v>
      </c>
      <c r="C630" s="1" t="n">
        <v>45990</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4137-2024</t>
        </is>
      </c>
      <c r="B631" s="1" t="n">
        <v>45323</v>
      </c>
      <c r="C631" s="1" t="n">
        <v>45990</v>
      </c>
      <c r="D631" t="inlineStr">
        <is>
          <t>NORRBOTTENS LÄN</t>
        </is>
      </c>
      <c r="E631" t="inlineStr">
        <is>
          <t>LULEÅ</t>
        </is>
      </c>
      <c r="G631" t="n">
        <v>13.1</v>
      </c>
      <c r="H631" t="n">
        <v>0</v>
      </c>
      <c r="I631" t="n">
        <v>0</v>
      </c>
      <c r="J631" t="n">
        <v>0</v>
      </c>
      <c r="K631" t="n">
        <v>0</v>
      </c>
      <c r="L631" t="n">
        <v>0</v>
      </c>
      <c r="M631" t="n">
        <v>0</v>
      </c>
      <c r="N631" t="n">
        <v>0</v>
      </c>
      <c r="O631" t="n">
        <v>0</v>
      </c>
      <c r="P631" t="n">
        <v>0</v>
      </c>
      <c r="Q631" t="n">
        <v>0</v>
      </c>
      <c r="R631" s="2" t="inlineStr"/>
    </row>
    <row r="632" ht="15" customHeight="1">
      <c r="A632" t="inlineStr">
        <is>
          <t>A 29457-2023</t>
        </is>
      </c>
      <c r="B632" s="1" t="n">
        <v>45106</v>
      </c>
      <c r="C632" s="1" t="n">
        <v>45990</v>
      </c>
      <c r="D632" t="inlineStr">
        <is>
          <t>NORRBOTTENS LÄN</t>
        </is>
      </c>
      <c r="E632" t="inlineStr">
        <is>
          <t>LULEÅ</t>
        </is>
      </c>
      <c r="G632" t="n">
        <v>7</v>
      </c>
      <c r="H632" t="n">
        <v>0</v>
      </c>
      <c r="I632" t="n">
        <v>0</v>
      </c>
      <c r="J632" t="n">
        <v>0</v>
      </c>
      <c r="K632" t="n">
        <v>0</v>
      </c>
      <c r="L632" t="n">
        <v>0</v>
      </c>
      <c r="M632" t="n">
        <v>0</v>
      </c>
      <c r="N632" t="n">
        <v>0</v>
      </c>
      <c r="O632" t="n">
        <v>0</v>
      </c>
      <c r="P632" t="n">
        <v>0</v>
      </c>
      <c r="Q632" t="n">
        <v>0</v>
      </c>
      <c r="R632" s="2" t="inlineStr"/>
    </row>
    <row r="633" ht="15" customHeight="1">
      <c r="A633" t="inlineStr">
        <is>
          <t>A 6739-2024</t>
        </is>
      </c>
      <c r="B633" s="1" t="n">
        <v>45342</v>
      </c>
      <c r="C633" s="1" t="n">
        <v>45990</v>
      </c>
      <c r="D633" t="inlineStr">
        <is>
          <t>NORRBOTTENS LÄN</t>
        </is>
      </c>
      <c r="E633" t="inlineStr">
        <is>
          <t>LULEÅ</t>
        </is>
      </c>
      <c r="G633" t="n">
        <v>2.1</v>
      </c>
      <c r="H633" t="n">
        <v>0</v>
      </c>
      <c r="I633" t="n">
        <v>0</v>
      </c>
      <c r="J633" t="n">
        <v>0</v>
      </c>
      <c r="K633" t="n">
        <v>0</v>
      </c>
      <c r="L633" t="n">
        <v>0</v>
      </c>
      <c r="M633" t="n">
        <v>0</v>
      </c>
      <c r="N633" t="n">
        <v>0</v>
      </c>
      <c r="O633" t="n">
        <v>0</v>
      </c>
      <c r="P633" t="n">
        <v>0</v>
      </c>
      <c r="Q633" t="n">
        <v>0</v>
      </c>
      <c r="R633" s="2" t="inlineStr"/>
    </row>
    <row r="634" ht="15" customHeight="1">
      <c r="A634" t="inlineStr">
        <is>
          <t>A 15127-2023</t>
        </is>
      </c>
      <c r="B634" s="1" t="n">
        <v>45016</v>
      </c>
      <c r="C634" s="1" t="n">
        <v>45990</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72752-2021</t>
        </is>
      </c>
      <c r="B635" s="1" t="n">
        <v>44546.92262731482</v>
      </c>
      <c r="C635" s="1" t="n">
        <v>45990</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50642-2024</t>
        </is>
      </c>
      <c r="B636" s="1" t="n">
        <v>45601.68076388889</v>
      </c>
      <c r="C636" s="1" t="n">
        <v>45990</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50645-2024</t>
        </is>
      </c>
      <c r="B637" s="1" t="n">
        <v>45601.68283564815</v>
      </c>
      <c r="C637" s="1" t="n">
        <v>45990</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25791-2024</t>
        </is>
      </c>
      <c r="B638" s="1" t="n">
        <v>45463</v>
      </c>
      <c r="C638" s="1" t="n">
        <v>45990</v>
      </c>
      <c r="D638" t="inlineStr">
        <is>
          <t>NORRBOTTENS LÄN</t>
        </is>
      </c>
      <c r="E638" t="inlineStr">
        <is>
          <t>LULEÅ</t>
        </is>
      </c>
      <c r="G638" t="n">
        <v>3.6</v>
      </c>
      <c r="H638" t="n">
        <v>0</v>
      </c>
      <c r="I638" t="n">
        <v>0</v>
      </c>
      <c r="J638" t="n">
        <v>0</v>
      </c>
      <c r="K638" t="n">
        <v>0</v>
      </c>
      <c r="L638" t="n">
        <v>0</v>
      </c>
      <c r="M638" t="n">
        <v>0</v>
      </c>
      <c r="N638" t="n">
        <v>0</v>
      </c>
      <c r="O638" t="n">
        <v>0</v>
      </c>
      <c r="P638" t="n">
        <v>0</v>
      </c>
      <c r="Q638" t="n">
        <v>0</v>
      </c>
      <c r="R638" s="2" t="inlineStr"/>
    </row>
    <row r="639" ht="15" customHeight="1">
      <c r="A639" t="inlineStr">
        <is>
          <t>A 9250-2025</t>
        </is>
      </c>
      <c r="B639" s="1" t="n">
        <v>45714</v>
      </c>
      <c r="C639" s="1" t="n">
        <v>45990</v>
      </c>
      <c r="D639" t="inlineStr">
        <is>
          <t>NORRBOTTENS LÄN</t>
        </is>
      </c>
      <c r="E639" t="inlineStr">
        <is>
          <t>LULEÅ</t>
        </is>
      </c>
      <c r="G639" t="n">
        <v>2.1</v>
      </c>
      <c r="H639" t="n">
        <v>0</v>
      </c>
      <c r="I639" t="n">
        <v>0</v>
      </c>
      <c r="J639" t="n">
        <v>0</v>
      </c>
      <c r="K639" t="n">
        <v>0</v>
      </c>
      <c r="L639" t="n">
        <v>0</v>
      </c>
      <c r="M639" t="n">
        <v>0</v>
      </c>
      <c r="N639" t="n">
        <v>0</v>
      </c>
      <c r="O639" t="n">
        <v>0</v>
      </c>
      <c r="P639" t="n">
        <v>0</v>
      </c>
      <c r="Q639" t="n">
        <v>0</v>
      </c>
      <c r="R639" s="2" t="inlineStr"/>
    </row>
    <row r="640" ht="15" customHeight="1">
      <c r="A640" t="inlineStr">
        <is>
          <t>A 37935-2024</t>
        </is>
      </c>
      <c r="B640" s="1" t="n">
        <v>45544</v>
      </c>
      <c r="C640" s="1" t="n">
        <v>45990</v>
      </c>
      <c r="D640" t="inlineStr">
        <is>
          <t>NORRBOTTENS LÄN</t>
        </is>
      </c>
      <c r="E640" t="inlineStr">
        <is>
          <t>LULEÅ</t>
        </is>
      </c>
      <c r="G640" t="n">
        <v>3.3</v>
      </c>
      <c r="H640" t="n">
        <v>0</v>
      </c>
      <c r="I640" t="n">
        <v>0</v>
      </c>
      <c r="J640" t="n">
        <v>0</v>
      </c>
      <c r="K640" t="n">
        <v>0</v>
      </c>
      <c r="L640" t="n">
        <v>0</v>
      </c>
      <c r="M640" t="n">
        <v>0</v>
      </c>
      <c r="N640" t="n">
        <v>0</v>
      </c>
      <c r="O640" t="n">
        <v>0</v>
      </c>
      <c r="P640" t="n">
        <v>0</v>
      </c>
      <c r="Q640" t="n">
        <v>0</v>
      </c>
      <c r="R640" s="2" t="inlineStr"/>
    </row>
    <row r="641" ht="15" customHeight="1">
      <c r="A641" t="inlineStr">
        <is>
          <t>A 23632-2021</t>
        </is>
      </c>
      <c r="B641" s="1" t="n">
        <v>44334</v>
      </c>
      <c r="C641" s="1" t="n">
        <v>45990</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19986-2025</t>
        </is>
      </c>
      <c r="B642" s="1" t="n">
        <v>45771.71979166667</v>
      </c>
      <c r="C642" s="1" t="n">
        <v>45990</v>
      </c>
      <c r="D642" t="inlineStr">
        <is>
          <t>NORRBOTTENS LÄN</t>
        </is>
      </c>
      <c r="E642" t="inlineStr">
        <is>
          <t>LULEÅ</t>
        </is>
      </c>
      <c r="F642" t="inlineStr">
        <is>
          <t>Naturvårdsverket</t>
        </is>
      </c>
      <c r="G642" t="n">
        <v>1.3</v>
      </c>
      <c r="H642" t="n">
        <v>0</v>
      </c>
      <c r="I642" t="n">
        <v>0</v>
      </c>
      <c r="J642" t="n">
        <v>0</v>
      </c>
      <c r="K642" t="n">
        <v>0</v>
      </c>
      <c r="L642" t="n">
        <v>0</v>
      </c>
      <c r="M642" t="n">
        <v>0</v>
      </c>
      <c r="N642" t="n">
        <v>0</v>
      </c>
      <c r="O642" t="n">
        <v>0</v>
      </c>
      <c r="P642" t="n">
        <v>0</v>
      </c>
      <c r="Q642" t="n">
        <v>0</v>
      </c>
      <c r="R642" s="2" t="inlineStr"/>
    </row>
    <row r="643" ht="15" customHeight="1">
      <c r="A643" t="inlineStr">
        <is>
          <t>A 5688-2023</t>
        </is>
      </c>
      <c r="B643" s="1" t="n">
        <v>44960.92371527778</v>
      </c>
      <c r="C643" s="1" t="n">
        <v>45990</v>
      </c>
      <c r="D643" t="inlineStr">
        <is>
          <t>NORRBOTTENS LÄN</t>
        </is>
      </c>
      <c r="E643" t="inlineStr">
        <is>
          <t>LULEÅ</t>
        </is>
      </c>
      <c r="G643" t="n">
        <v>5.9</v>
      </c>
      <c r="H643" t="n">
        <v>0</v>
      </c>
      <c r="I643" t="n">
        <v>0</v>
      </c>
      <c r="J643" t="n">
        <v>0</v>
      </c>
      <c r="K643" t="n">
        <v>0</v>
      </c>
      <c r="L643" t="n">
        <v>0</v>
      </c>
      <c r="M643" t="n">
        <v>0</v>
      </c>
      <c r="N643" t="n">
        <v>0</v>
      </c>
      <c r="O643" t="n">
        <v>0</v>
      </c>
      <c r="P643" t="n">
        <v>0</v>
      </c>
      <c r="Q643" t="n">
        <v>0</v>
      </c>
      <c r="R643" s="2" t="inlineStr"/>
    </row>
    <row r="644" ht="15" customHeight="1">
      <c r="A644" t="inlineStr">
        <is>
          <t>A 6269-2023</t>
        </is>
      </c>
      <c r="B644" s="1" t="n">
        <v>44960</v>
      </c>
      <c r="C644" s="1" t="n">
        <v>45990</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43765-2023</t>
        </is>
      </c>
      <c r="B645" s="1" t="n">
        <v>45187</v>
      </c>
      <c r="C645" s="1" t="n">
        <v>45990</v>
      </c>
      <c r="D645" t="inlineStr">
        <is>
          <t>NORRBOTTENS LÄN</t>
        </is>
      </c>
      <c r="E645" t="inlineStr">
        <is>
          <t>LULEÅ</t>
        </is>
      </c>
      <c r="G645" t="n">
        <v>13.7</v>
      </c>
      <c r="H645" t="n">
        <v>0</v>
      </c>
      <c r="I645" t="n">
        <v>0</v>
      </c>
      <c r="J645" t="n">
        <v>0</v>
      </c>
      <c r="K645" t="n">
        <v>0</v>
      </c>
      <c r="L645" t="n">
        <v>0</v>
      </c>
      <c r="M645" t="n">
        <v>0</v>
      </c>
      <c r="N645" t="n">
        <v>0</v>
      </c>
      <c r="O645" t="n">
        <v>0</v>
      </c>
      <c r="P645" t="n">
        <v>0</v>
      </c>
      <c r="Q645" t="n">
        <v>0</v>
      </c>
      <c r="R645" s="2" t="inlineStr"/>
    </row>
    <row r="646" ht="15" customHeight="1">
      <c r="A646" t="inlineStr">
        <is>
          <t>A 55747-2023</t>
        </is>
      </c>
      <c r="B646" s="1" t="n">
        <v>45232</v>
      </c>
      <c r="C646" s="1" t="n">
        <v>45990</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46547-2021</t>
        </is>
      </c>
      <c r="B647" s="1" t="n">
        <v>44445</v>
      </c>
      <c r="C647" s="1" t="n">
        <v>45990</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23884-2022</t>
        </is>
      </c>
      <c r="B648" s="1" t="n">
        <v>44722.57129629629</v>
      </c>
      <c r="C648" s="1" t="n">
        <v>45990</v>
      </c>
      <c r="D648" t="inlineStr">
        <is>
          <t>NORRBOTTENS LÄN</t>
        </is>
      </c>
      <c r="E648" t="inlineStr">
        <is>
          <t>LULEÅ</t>
        </is>
      </c>
      <c r="G648" t="n">
        <v>2.1</v>
      </c>
      <c r="H648" t="n">
        <v>0</v>
      </c>
      <c r="I648" t="n">
        <v>0</v>
      </c>
      <c r="J648" t="n">
        <v>0</v>
      </c>
      <c r="K648" t="n">
        <v>0</v>
      </c>
      <c r="L648" t="n">
        <v>0</v>
      </c>
      <c r="M648" t="n">
        <v>0</v>
      </c>
      <c r="N648" t="n">
        <v>0</v>
      </c>
      <c r="O648" t="n">
        <v>0</v>
      </c>
      <c r="P648" t="n">
        <v>0</v>
      </c>
      <c r="Q648" t="n">
        <v>0</v>
      </c>
      <c r="R648" s="2" t="inlineStr"/>
    </row>
    <row r="649" ht="15" customHeight="1">
      <c r="A649" t="inlineStr">
        <is>
          <t>A 52854-2022</t>
        </is>
      </c>
      <c r="B649" s="1" t="n">
        <v>44872</v>
      </c>
      <c r="C649" s="1" t="n">
        <v>45990</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10903-2023</t>
        </is>
      </c>
      <c r="B650" s="1" t="n">
        <v>44985</v>
      </c>
      <c r="C650" s="1" t="n">
        <v>45990</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6018-2021</t>
        </is>
      </c>
      <c r="B651" s="1" t="n">
        <v>44231.9415625</v>
      </c>
      <c r="C651" s="1" t="n">
        <v>45990</v>
      </c>
      <c r="D651" t="inlineStr">
        <is>
          <t>NORRBOTTENS LÄN</t>
        </is>
      </c>
      <c r="E651" t="inlineStr">
        <is>
          <t>LULEÅ</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14193-2025</t>
        </is>
      </c>
      <c r="B652" s="1" t="n">
        <v>45740.56127314815</v>
      </c>
      <c r="C652" s="1" t="n">
        <v>45990</v>
      </c>
      <c r="D652" t="inlineStr">
        <is>
          <t>NORRBOTTENS LÄN</t>
        </is>
      </c>
      <c r="E652" t="inlineStr">
        <is>
          <t>LULEÅ</t>
        </is>
      </c>
      <c r="G652" t="n">
        <v>0.9</v>
      </c>
      <c r="H652" t="n">
        <v>0</v>
      </c>
      <c r="I652" t="n">
        <v>0</v>
      </c>
      <c r="J652" t="n">
        <v>0</v>
      </c>
      <c r="K652" t="n">
        <v>0</v>
      </c>
      <c r="L652" t="n">
        <v>0</v>
      </c>
      <c r="M652" t="n">
        <v>0</v>
      </c>
      <c r="N652" t="n">
        <v>0</v>
      </c>
      <c r="O652" t="n">
        <v>0</v>
      </c>
      <c r="P652" t="n">
        <v>0</v>
      </c>
      <c r="Q652" t="n">
        <v>0</v>
      </c>
      <c r="R652" s="2" t="inlineStr"/>
    </row>
    <row r="653" ht="15" customHeight="1">
      <c r="A653" t="inlineStr">
        <is>
          <t>A 14195-2025</t>
        </is>
      </c>
      <c r="B653" s="1" t="n">
        <v>45740.56263888889</v>
      </c>
      <c r="C653" s="1" t="n">
        <v>45990</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62701-2022</t>
        </is>
      </c>
      <c r="B654" s="1" t="n">
        <v>44917</v>
      </c>
      <c r="C654" s="1" t="n">
        <v>45990</v>
      </c>
      <c r="D654" t="inlineStr">
        <is>
          <t>NORRBOTTENS LÄN</t>
        </is>
      </c>
      <c r="E654" t="inlineStr">
        <is>
          <t>LULEÅ</t>
        </is>
      </c>
      <c r="G654" t="n">
        <v>0.5</v>
      </c>
      <c r="H654" t="n">
        <v>0</v>
      </c>
      <c r="I654" t="n">
        <v>0</v>
      </c>
      <c r="J654" t="n">
        <v>0</v>
      </c>
      <c r="K654" t="n">
        <v>0</v>
      </c>
      <c r="L654" t="n">
        <v>0</v>
      </c>
      <c r="M654" t="n">
        <v>0</v>
      </c>
      <c r="N654" t="n">
        <v>0</v>
      </c>
      <c r="O654" t="n">
        <v>0</v>
      </c>
      <c r="P654" t="n">
        <v>0</v>
      </c>
      <c r="Q654" t="n">
        <v>0</v>
      </c>
      <c r="R654" s="2" t="inlineStr"/>
    </row>
    <row r="655" ht="15" customHeight="1">
      <c r="A655" t="inlineStr">
        <is>
          <t>A 2748-2022</t>
        </is>
      </c>
      <c r="B655" s="1" t="n">
        <v>44580</v>
      </c>
      <c r="C655" s="1" t="n">
        <v>45990</v>
      </c>
      <c r="D655" t="inlineStr">
        <is>
          <t>NORRBOTTENS LÄN</t>
        </is>
      </c>
      <c r="E655" t="inlineStr">
        <is>
          <t>LULEÅ</t>
        </is>
      </c>
      <c r="G655" t="n">
        <v>4.7</v>
      </c>
      <c r="H655" t="n">
        <v>0</v>
      </c>
      <c r="I655" t="n">
        <v>0</v>
      </c>
      <c r="J655" t="n">
        <v>0</v>
      </c>
      <c r="K655" t="n">
        <v>0</v>
      </c>
      <c r="L655" t="n">
        <v>0</v>
      </c>
      <c r="M655" t="n">
        <v>0</v>
      </c>
      <c r="N655" t="n">
        <v>0</v>
      </c>
      <c r="O655" t="n">
        <v>0</v>
      </c>
      <c r="P655" t="n">
        <v>0</v>
      </c>
      <c r="Q655" t="n">
        <v>0</v>
      </c>
      <c r="R655" s="2" t="inlineStr"/>
    </row>
    <row r="656" ht="15" customHeight="1">
      <c r="A656" t="inlineStr">
        <is>
          <t>A 705-2025</t>
        </is>
      </c>
      <c r="B656" s="1" t="n">
        <v>45663</v>
      </c>
      <c r="C656" s="1" t="n">
        <v>45990</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2208-2024</t>
        </is>
      </c>
      <c r="B657" s="1" t="n">
        <v>45309</v>
      </c>
      <c r="C657" s="1" t="n">
        <v>45990</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45990</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49018-2023</t>
        </is>
      </c>
      <c r="B659" s="1" t="n">
        <v>45204</v>
      </c>
      <c r="C659" s="1" t="n">
        <v>45990</v>
      </c>
      <c r="D659" t="inlineStr">
        <is>
          <t>NORRBOTTENS LÄN</t>
        </is>
      </c>
      <c r="E659" t="inlineStr">
        <is>
          <t>LULEÅ</t>
        </is>
      </c>
      <c r="G659" t="n">
        <v>2.8</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45990</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35158-2024</t>
        </is>
      </c>
      <c r="B661" s="1" t="n">
        <v>45530.39005787037</v>
      </c>
      <c r="C661" s="1" t="n">
        <v>45990</v>
      </c>
      <c r="D661" t="inlineStr">
        <is>
          <t>NORRBOTTENS LÄN</t>
        </is>
      </c>
      <c r="E661" t="inlineStr">
        <is>
          <t>LULEÅ</t>
        </is>
      </c>
      <c r="G661" t="n">
        <v>2.1</v>
      </c>
      <c r="H661" t="n">
        <v>0</v>
      </c>
      <c r="I661" t="n">
        <v>0</v>
      </c>
      <c r="J661" t="n">
        <v>0</v>
      </c>
      <c r="K661" t="n">
        <v>0</v>
      </c>
      <c r="L661" t="n">
        <v>0</v>
      </c>
      <c r="M661" t="n">
        <v>0</v>
      </c>
      <c r="N661" t="n">
        <v>0</v>
      </c>
      <c r="O661" t="n">
        <v>0</v>
      </c>
      <c r="P661" t="n">
        <v>0</v>
      </c>
      <c r="Q661" t="n">
        <v>0</v>
      </c>
      <c r="R661" s="2" t="inlineStr"/>
    </row>
    <row r="662" ht="15" customHeight="1">
      <c r="A662" t="inlineStr">
        <is>
          <t>A 17020-2024</t>
        </is>
      </c>
      <c r="B662" s="1" t="n">
        <v>45411</v>
      </c>
      <c r="C662" s="1" t="n">
        <v>45990</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17031-2024</t>
        </is>
      </c>
      <c r="B663" s="1" t="n">
        <v>45411</v>
      </c>
      <c r="C663" s="1" t="n">
        <v>45990</v>
      </c>
      <c r="D663" t="inlineStr">
        <is>
          <t>NORRBOTTENS LÄN</t>
        </is>
      </c>
      <c r="E663" t="inlineStr">
        <is>
          <t>LULEÅ</t>
        </is>
      </c>
      <c r="G663" t="n">
        <v>4.6</v>
      </c>
      <c r="H663" t="n">
        <v>0</v>
      </c>
      <c r="I663" t="n">
        <v>0</v>
      </c>
      <c r="J663" t="n">
        <v>0</v>
      </c>
      <c r="K663" t="n">
        <v>0</v>
      </c>
      <c r="L663" t="n">
        <v>0</v>
      </c>
      <c r="M663" t="n">
        <v>0</v>
      </c>
      <c r="N663" t="n">
        <v>0</v>
      </c>
      <c r="O663" t="n">
        <v>0</v>
      </c>
      <c r="P663" t="n">
        <v>0</v>
      </c>
      <c r="Q663" t="n">
        <v>0</v>
      </c>
      <c r="R663" s="2" t="inlineStr"/>
    </row>
    <row r="664" ht="15" customHeight="1">
      <c r="A664" t="inlineStr">
        <is>
          <t>A 40899-2024</t>
        </is>
      </c>
      <c r="B664" s="1" t="n">
        <v>45558.62070601852</v>
      </c>
      <c r="C664" s="1" t="n">
        <v>45990</v>
      </c>
      <c r="D664" t="inlineStr">
        <is>
          <t>NORRBOTTENS LÄN</t>
        </is>
      </c>
      <c r="E664" t="inlineStr">
        <is>
          <t>LULEÅ</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31347-2023</t>
        </is>
      </c>
      <c r="B665" s="1" t="n">
        <v>45104</v>
      </c>
      <c r="C665" s="1" t="n">
        <v>45990</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11242-2021</t>
        </is>
      </c>
      <c r="B666" s="1" t="n">
        <v>44263.39423611111</v>
      </c>
      <c r="C666" s="1" t="n">
        <v>45990</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4123-2024</t>
        </is>
      </c>
      <c r="B667" s="1" t="n">
        <v>45323</v>
      </c>
      <c r="C667" s="1" t="n">
        <v>45990</v>
      </c>
      <c r="D667" t="inlineStr">
        <is>
          <t>NORRBOTTENS LÄN</t>
        </is>
      </c>
      <c r="E667" t="inlineStr">
        <is>
          <t>LULEÅ</t>
        </is>
      </c>
      <c r="G667" t="n">
        <v>5.3</v>
      </c>
      <c r="H667" t="n">
        <v>0</v>
      </c>
      <c r="I667" t="n">
        <v>0</v>
      </c>
      <c r="J667" t="n">
        <v>0</v>
      </c>
      <c r="K667" t="n">
        <v>0</v>
      </c>
      <c r="L667" t="n">
        <v>0</v>
      </c>
      <c r="M667" t="n">
        <v>0</v>
      </c>
      <c r="N667" t="n">
        <v>0</v>
      </c>
      <c r="O667" t="n">
        <v>0</v>
      </c>
      <c r="P667" t="n">
        <v>0</v>
      </c>
      <c r="Q667" t="n">
        <v>0</v>
      </c>
      <c r="R667" s="2" t="inlineStr"/>
    </row>
    <row r="668" ht="15" customHeight="1">
      <c r="A668" t="inlineStr">
        <is>
          <t>A 57815-2022</t>
        </is>
      </c>
      <c r="B668" s="1" t="n">
        <v>44897.92459490741</v>
      </c>
      <c r="C668" s="1" t="n">
        <v>45990</v>
      </c>
      <c r="D668" t="inlineStr">
        <is>
          <t>NORRBOTTENS LÄN</t>
        </is>
      </c>
      <c r="E668" t="inlineStr">
        <is>
          <t>LULEÅ</t>
        </is>
      </c>
      <c r="G668" t="n">
        <v>2.4</v>
      </c>
      <c r="H668" t="n">
        <v>0</v>
      </c>
      <c r="I668" t="n">
        <v>0</v>
      </c>
      <c r="J668" t="n">
        <v>0</v>
      </c>
      <c r="K668" t="n">
        <v>0</v>
      </c>
      <c r="L668" t="n">
        <v>0</v>
      </c>
      <c r="M668" t="n">
        <v>0</v>
      </c>
      <c r="N668" t="n">
        <v>0</v>
      </c>
      <c r="O668" t="n">
        <v>0</v>
      </c>
      <c r="P668" t="n">
        <v>0</v>
      </c>
      <c r="Q668" t="n">
        <v>0</v>
      </c>
      <c r="R668" s="2" t="inlineStr"/>
    </row>
    <row r="669" ht="15" customHeight="1">
      <c r="A669" t="inlineStr">
        <is>
          <t>A 17425-2023</t>
        </is>
      </c>
      <c r="B669" s="1" t="n">
        <v>45035</v>
      </c>
      <c r="C669" s="1" t="n">
        <v>45990</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6986-2025</t>
        </is>
      </c>
      <c r="B670" s="1" t="n">
        <v>45701</v>
      </c>
      <c r="C670" s="1" t="n">
        <v>45990</v>
      </c>
      <c r="D670" t="inlineStr">
        <is>
          <t>NORRBOTTENS LÄN</t>
        </is>
      </c>
      <c r="E670" t="inlineStr">
        <is>
          <t>LULEÅ</t>
        </is>
      </c>
      <c r="G670" t="n">
        <v>2</v>
      </c>
      <c r="H670" t="n">
        <v>0</v>
      </c>
      <c r="I670" t="n">
        <v>0</v>
      </c>
      <c r="J670" t="n">
        <v>0</v>
      </c>
      <c r="K670" t="n">
        <v>0</v>
      </c>
      <c r="L670" t="n">
        <v>0</v>
      </c>
      <c r="M670" t="n">
        <v>0</v>
      </c>
      <c r="N670" t="n">
        <v>0</v>
      </c>
      <c r="O670" t="n">
        <v>0</v>
      </c>
      <c r="P670" t="n">
        <v>0</v>
      </c>
      <c r="Q670" t="n">
        <v>0</v>
      </c>
      <c r="R670" s="2" t="inlineStr"/>
    </row>
    <row r="671" ht="15" customHeight="1">
      <c r="A671" t="inlineStr">
        <is>
          <t>A 54769-2024</t>
        </is>
      </c>
      <c r="B671" s="1" t="n">
        <v>45618.47244212963</v>
      </c>
      <c r="C671" s="1" t="n">
        <v>45990</v>
      </c>
      <c r="D671" t="inlineStr">
        <is>
          <t>NORRBOTTENS LÄN</t>
        </is>
      </c>
      <c r="E671" t="inlineStr">
        <is>
          <t>LULEÅ</t>
        </is>
      </c>
      <c r="G671" t="n">
        <v>8.4</v>
      </c>
      <c r="H671" t="n">
        <v>0</v>
      </c>
      <c r="I671" t="n">
        <v>0</v>
      </c>
      <c r="J671" t="n">
        <v>0</v>
      </c>
      <c r="K671" t="n">
        <v>0</v>
      </c>
      <c r="L671" t="n">
        <v>0</v>
      </c>
      <c r="M671" t="n">
        <v>0</v>
      </c>
      <c r="N671" t="n">
        <v>0</v>
      </c>
      <c r="O671" t="n">
        <v>0</v>
      </c>
      <c r="P671" t="n">
        <v>0</v>
      </c>
      <c r="Q671" t="n">
        <v>0</v>
      </c>
      <c r="R671" s="2" t="inlineStr"/>
    </row>
    <row r="672" ht="15" customHeight="1">
      <c r="A672" t="inlineStr">
        <is>
          <t>A 4558-2024</t>
        </is>
      </c>
      <c r="B672" s="1" t="n">
        <v>45327</v>
      </c>
      <c r="C672" s="1" t="n">
        <v>45990</v>
      </c>
      <c r="D672" t="inlineStr">
        <is>
          <t>NORRBOTTENS LÄN</t>
        </is>
      </c>
      <c r="E672" t="inlineStr">
        <is>
          <t>LULEÅ</t>
        </is>
      </c>
      <c r="G672" t="n">
        <v>2.4</v>
      </c>
      <c r="H672" t="n">
        <v>0</v>
      </c>
      <c r="I672" t="n">
        <v>0</v>
      </c>
      <c r="J672" t="n">
        <v>0</v>
      </c>
      <c r="K672" t="n">
        <v>0</v>
      </c>
      <c r="L672" t="n">
        <v>0</v>
      </c>
      <c r="M672" t="n">
        <v>0</v>
      </c>
      <c r="N672" t="n">
        <v>0</v>
      </c>
      <c r="O672" t="n">
        <v>0</v>
      </c>
      <c r="P672" t="n">
        <v>0</v>
      </c>
      <c r="Q672" t="n">
        <v>0</v>
      </c>
      <c r="R672" s="2" t="inlineStr"/>
    </row>
    <row r="673" ht="15" customHeight="1">
      <c r="A673" t="inlineStr">
        <is>
          <t>A 31039-2024</t>
        </is>
      </c>
      <c r="B673" s="1" t="n">
        <v>45501.91951388889</v>
      </c>
      <c r="C673" s="1" t="n">
        <v>45990</v>
      </c>
      <c r="D673" t="inlineStr">
        <is>
          <t>NORRBOTTENS LÄN</t>
        </is>
      </c>
      <c r="E673" t="inlineStr">
        <is>
          <t>LULEÅ</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700-2025</t>
        </is>
      </c>
      <c r="B674" s="1" t="n">
        <v>45663</v>
      </c>
      <c r="C674" s="1" t="n">
        <v>45990</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10377-2025</t>
        </is>
      </c>
      <c r="B675" s="1" t="n">
        <v>45720.5630787037</v>
      </c>
      <c r="C675" s="1" t="n">
        <v>45990</v>
      </c>
      <c r="D675" t="inlineStr">
        <is>
          <t>NORRBOTTENS LÄN</t>
        </is>
      </c>
      <c r="E675" t="inlineStr">
        <is>
          <t>LULEÅ</t>
        </is>
      </c>
      <c r="G675" t="n">
        <v>3</v>
      </c>
      <c r="H675" t="n">
        <v>0</v>
      </c>
      <c r="I675" t="n">
        <v>0</v>
      </c>
      <c r="J675" t="n">
        <v>0</v>
      </c>
      <c r="K675" t="n">
        <v>0</v>
      </c>
      <c r="L675" t="n">
        <v>0</v>
      </c>
      <c r="M675" t="n">
        <v>0</v>
      </c>
      <c r="N675" t="n">
        <v>0</v>
      </c>
      <c r="O675" t="n">
        <v>0</v>
      </c>
      <c r="P675" t="n">
        <v>0</v>
      </c>
      <c r="Q675" t="n">
        <v>0</v>
      </c>
      <c r="R675" s="2" t="inlineStr"/>
    </row>
    <row r="676" ht="15" customHeight="1">
      <c r="A676" t="inlineStr">
        <is>
          <t>A 16052-2025</t>
        </is>
      </c>
      <c r="B676" s="1" t="n">
        <v>45749.64261574074</v>
      </c>
      <c r="C676" s="1" t="n">
        <v>45990</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49746-2022</t>
        </is>
      </c>
      <c r="B677" s="1" t="n">
        <v>44859</v>
      </c>
      <c r="C677" s="1" t="n">
        <v>45990</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8521-2022</t>
        </is>
      </c>
      <c r="B678" s="1" t="n">
        <v>44610</v>
      </c>
      <c r="C678" s="1" t="n">
        <v>45990</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14159-2024</t>
        </is>
      </c>
      <c r="B679" s="1" t="n">
        <v>45392.92930555555</v>
      </c>
      <c r="C679" s="1" t="n">
        <v>45990</v>
      </c>
      <c r="D679" t="inlineStr">
        <is>
          <t>NORRBOTTENS LÄN</t>
        </is>
      </c>
      <c r="E679" t="inlineStr">
        <is>
          <t>LULEÅ</t>
        </is>
      </c>
      <c r="G679" t="n">
        <v>33.9</v>
      </c>
      <c r="H679" t="n">
        <v>0</v>
      </c>
      <c r="I679" t="n">
        <v>0</v>
      </c>
      <c r="J679" t="n">
        <v>0</v>
      </c>
      <c r="K679" t="n">
        <v>0</v>
      </c>
      <c r="L679" t="n">
        <v>0</v>
      </c>
      <c r="M679" t="n">
        <v>0</v>
      </c>
      <c r="N679" t="n">
        <v>0</v>
      </c>
      <c r="O679" t="n">
        <v>0</v>
      </c>
      <c r="P679" t="n">
        <v>0</v>
      </c>
      <c r="Q679" t="n">
        <v>0</v>
      </c>
      <c r="R679" s="2" t="inlineStr"/>
    </row>
    <row r="680" ht="15" customHeight="1">
      <c r="A680" t="inlineStr">
        <is>
          <t>A 54879-2021</t>
        </is>
      </c>
      <c r="B680" s="1" t="n">
        <v>44473</v>
      </c>
      <c r="C680" s="1" t="n">
        <v>45990</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57816-2022</t>
        </is>
      </c>
      <c r="B681" s="1" t="n">
        <v>44897.92487268519</v>
      </c>
      <c r="C681" s="1" t="n">
        <v>45990</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7390-2023</t>
        </is>
      </c>
      <c r="B682" s="1" t="n">
        <v>44966</v>
      </c>
      <c r="C682" s="1" t="n">
        <v>45990</v>
      </c>
      <c r="D682" t="inlineStr">
        <is>
          <t>NORRBOTTENS LÄN</t>
        </is>
      </c>
      <c r="E682" t="inlineStr">
        <is>
          <t>LULEÅ</t>
        </is>
      </c>
      <c r="G682" t="n">
        <v>3</v>
      </c>
      <c r="H682" t="n">
        <v>0</v>
      </c>
      <c r="I682" t="n">
        <v>0</v>
      </c>
      <c r="J682" t="n">
        <v>0</v>
      </c>
      <c r="K682" t="n">
        <v>0</v>
      </c>
      <c r="L682" t="n">
        <v>0</v>
      </c>
      <c r="M682" t="n">
        <v>0</v>
      </c>
      <c r="N682" t="n">
        <v>0</v>
      </c>
      <c r="O682" t="n">
        <v>0</v>
      </c>
      <c r="P682" t="n">
        <v>0</v>
      </c>
      <c r="Q682" t="n">
        <v>0</v>
      </c>
      <c r="R682" s="2" t="inlineStr"/>
    </row>
    <row r="683" ht="15" customHeight="1">
      <c r="A683" t="inlineStr">
        <is>
          <t>A 12552-2024</t>
        </is>
      </c>
      <c r="B683" s="1" t="n">
        <v>45379</v>
      </c>
      <c r="C683" s="1" t="n">
        <v>45990</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8903-2025</t>
        </is>
      </c>
      <c r="B684" s="1" t="n">
        <v>45712</v>
      </c>
      <c r="C684" s="1" t="n">
        <v>45990</v>
      </c>
      <c r="D684" t="inlineStr">
        <is>
          <t>NORRBOTTENS LÄN</t>
        </is>
      </c>
      <c r="E684" t="inlineStr">
        <is>
          <t>LULEÅ</t>
        </is>
      </c>
      <c r="G684" t="n">
        <v>1.8</v>
      </c>
      <c r="H684" t="n">
        <v>0</v>
      </c>
      <c r="I684" t="n">
        <v>0</v>
      </c>
      <c r="J684" t="n">
        <v>0</v>
      </c>
      <c r="K684" t="n">
        <v>0</v>
      </c>
      <c r="L684" t="n">
        <v>0</v>
      </c>
      <c r="M684" t="n">
        <v>0</v>
      </c>
      <c r="N684" t="n">
        <v>0</v>
      </c>
      <c r="O684" t="n">
        <v>0</v>
      </c>
      <c r="P684" t="n">
        <v>0</v>
      </c>
      <c r="Q684" t="n">
        <v>0</v>
      </c>
      <c r="R684" s="2" t="inlineStr"/>
    </row>
    <row r="685" ht="15" customHeight="1">
      <c r="A685" t="inlineStr">
        <is>
          <t>A 14803-2023</t>
        </is>
      </c>
      <c r="B685" s="1" t="n">
        <v>45013</v>
      </c>
      <c r="C685" s="1" t="n">
        <v>45990</v>
      </c>
      <c r="D685" t="inlineStr">
        <is>
          <t>NORRBOTTENS LÄN</t>
        </is>
      </c>
      <c r="E685" t="inlineStr">
        <is>
          <t>LULEÅ</t>
        </is>
      </c>
      <c r="G685" t="n">
        <v>2.3</v>
      </c>
      <c r="H685" t="n">
        <v>0</v>
      </c>
      <c r="I685" t="n">
        <v>0</v>
      </c>
      <c r="J685" t="n">
        <v>0</v>
      </c>
      <c r="K685" t="n">
        <v>0</v>
      </c>
      <c r="L685" t="n">
        <v>0</v>
      </c>
      <c r="M685" t="n">
        <v>0</v>
      </c>
      <c r="N685" t="n">
        <v>0</v>
      </c>
      <c r="O685" t="n">
        <v>0</v>
      </c>
      <c r="P685" t="n">
        <v>0</v>
      </c>
      <c r="Q685" t="n">
        <v>0</v>
      </c>
      <c r="R685" s="2" t="inlineStr"/>
    </row>
    <row r="686" ht="15" customHeight="1">
      <c r="A686" t="inlineStr">
        <is>
          <t>A 2659-2025</t>
        </is>
      </c>
      <c r="B686" s="1" t="n">
        <v>45676.8134375</v>
      </c>
      <c r="C686" s="1" t="n">
        <v>45990</v>
      </c>
      <c r="D686" t="inlineStr">
        <is>
          <t>NORRBOTTENS LÄN</t>
        </is>
      </c>
      <c r="E686" t="inlineStr">
        <is>
          <t>LULEÅ</t>
        </is>
      </c>
      <c r="G686" t="n">
        <v>1.2</v>
      </c>
      <c r="H686" t="n">
        <v>0</v>
      </c>
      <c r="I686" t="n">
        <v>0</v>
      </c>
      <c r="J686" t="n">
        <v>0</v>
      </c>
      <c r="K686" t="n">
        <v>0</v>
      </c>
      <c r="L686" t="n">
        <v>0</v>
      </c>
      <c r="M686" t="n">
        <v>0</v>
      </c>
      <c r="N686" t="n">
        <v>0</v>
      </c>
      <c r="O686" t="n">
        <v>0</v>
      </c>
      <c r="P686" t="n">
        <v>0</v>
      </c>
      <c r="Q686" t="n">
        <v>0</v>
      </c>
      <c r="R686" s="2" t="inlineStr"/>
    </row>
    <row r="687" ht="15" customHeight="1">
      <c r="A687" t="inlineStr">
        <is>
          <t>A 8928-2025</t>
        </is>
      </c>
      <c r="B687" s="1" t="n">
        <v>45712</v>
      </c>
      <c r="C687" s="1" t="n">
        <v>45990</v>
      </c>
      <c r="D687" t="inlineStr">
        <is>
          <t>NORRBOTTENS LÄN</t>
        </is>
      </c>
      <c r="E687" t="inlineStr">
        <is>
          <t>LULEÅ</t>
        </is>
      </c>
      <c r="G687" t="n">
        <v>3.3</v>
      </c>
      <c r="H687" t="n">
        <v>0</v>
      </c>
      <c r="I687" t="n">
        <v>0</v>
      </c>
      <c r="J687" t="n">
        <v>0</v>
      </c>
      <c r="K687" t="n">
        <v>0</v>
      </c>
      <c r="L687" t="n">
        <v>0</v>
      </c>
      <c r="M687" t="n">
        <v>0</v>
      </c>
      <c r="N687" t="n">
        <v>0</v>
      </c>
      <c r="O687" t="n">
        <v>0</v>
      </c>
      <c r="P687" t="n">
        <v>0</v>
      </c>
      <c r="Q687" t="n">
        <v>0</v>
      </c>
      <c r="R687" s="2" t="inlineStr"/>
    </row>
    <row r="688" ht="15" customHeight="1">
      <c r="A688" t="inlineStr">
        <is>
          <t>A 61942-2024</t>
        </is>
      </c>
      <c r="B688" s="1" t="n">
        <v>45653.48405092592</v>
      </c>
      <c r="C688" s="1" t="n">
        <v>45990</v>
      </c>
      <c r="D688" t="inlineStr">
        <is>
          <t>NORRBOTTENS LÄN</t>
        </is>
      </c>
      <c r="E688" t="inlineStr">
        <is>
          <t>LULEÅ</t>
        </is>
      </c>
      <c r="G688" t="n">
        <v>2.2</v>
      </c>
      <c r="H688" t="n">
        <v>0</v>
      </c>
      <c r="I688" t="n">
        <v>0</v>
      </c>
      <c r="J688" t="n">
        <v>0</v>
      </c>
      <c r="K688" t="n">
        <v>0</v>
      </c>
      <c r="L688" t="n">
        <v>0</v>
      </c>
      <c r="M688" t="n">
        <v>0</v>
      </c>
      <c r="N688" t="n">
        <v>0</v>
      </c>
      <c r="O688" t="n">
        <v>0</v>
      </c>
      <c r="P688" t="n">
        <v>0</v>
      </c>
      <c r="Q688" t="n">
        <v>0</v>
      </c>
      <c r="R688" s="2" t="inlineStr"/>
    </row>
    <row r="689" ht="15" customHeight="1">
      <c r="A689" t="inlineStr">
        <is>
          <t>A 11845-2025</t>
        </is>
      </c>
      <c r="B689" s="1" t="n">
        <v>45727</v>
      </c>
      <c r="C689" s="1" t="n">
        <v>45990</v>
      </c>
      <c r="D689" t="inlineStr">
        <is>
          <t>NORRBOTTENS LÄN</t>
        </is>
      </c>
      <c r="E689" t="inlineStr">
        <is>
          <t>LULEÅ</t>
        </is>
      </c>
      <c r="G689" t="n">
        <v>9.6</v>
      </c>
      <c r="H689" t="n">
        <v>0</v>
      </c>
      <c r="I689" t="n">
        <v>0</v>
      </c>
      <c r="J689" t="n">
        <v>0</v>
      </c>
      <c r="K689" t="n">
        <v>0</v>
      </c>
      <c r="L689" t="n">
        <v>0</v>
      </c>
      <c r="M689" t="n">
        <v>0</v>
      </c>
      <c r="N689" t="n">
        <v>0</v>
      </c>
      <c r="O689" t="n">
        <v>0</v>
      </c>
      <c r="P689" t="n">
        <v>0</v>
      </c>
      <c r="Q689" t="n">
        <v>0</v>
      </c>
      <c r="R689" s="2" t="inlineStr"/>
    </row>
    <row r="690" ht="15" customHeight="1">
      <c r="A690" t="inlineStr">
        <is>
          <t>A 4771-2024</t>
        </is>
      </c>
      <c r="B690" s="1" t="n">
        <v>45328</v>
      </c>
      <c r="C690" s="1" t="n">
        <v>45990</v>
      </c>
      <c r="D690" t="inlineStr">
        <is>
          <t>NORRBOTTENS LÄN</t>
        </is>
      </c>
      <c r="E690" t="inlineStr">
        <is>
          <t>LULEÅ</t>
        </is>
      </c>
      <c r="G690" t="n">
        <v>1</v>
      </c>
      <c r="H690" t="n">
        <v>0</v>
      </c>
      <c r="I690" t="n">
        <v>0</v>
      </c>
      <c r="J690" t="n">
        <v>0</v>
      </c>
      <c r="K690" t="n">
        <v>0</v>
      </c>
      <c r="L690" t="n">
        <v>0</v>
      </c>
      <c r="M690" t="n">
        <v>0</v>
      </c>
      <c r="N690" t="n">
        <v>0</v>
      </c>
      <c r="O690" t="n">
        <v>0</v>
      </c>
      <c r="P690" t="n">
        <v>0</v>
      </c>
      <c r="Q690" t="n">
        <v>0</v>
      </c>
      <c r="R690" s="2" t="inlineStr"/>
    </row>
    <row r="691" ht="15" customHeight="1">
      <c r="A691" t="inlineStr">
        <is>
          <t>A 21597-2024</t>
        </is>
      </c>
      <c r="B691" s="1" t="n">
        <v>45441.9291087963</v>
      </c>
      <c r="C691" s="1" t="n">
        <v>45990</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59656-2024</t>
        </is>
      </c>
      <c r="B692" s="1" t="n">
        <v>45639</v>
      </c>
      <c r="C692" s="1" t="n">
        <v>45990</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20340-2023</t>
        </is>
      </c>
      <c r="B693" s="1" t="n">
        <v>45054</v>
      </c>
      <c r="C693" s="1" t="n">
        <v>45990</v>
      </c>
      <c r="D693" t="inlineStr">
        <is>
          <t>NORRBOTTENS LÄN</t>
        </is>
      </c>
      <c r="E693" t="inlineStr">
        <is>
          <t>LULEÅ</t>
        </is>
      </c>
      <c r="G693" t="n">
        <v>65</v>
      </c>
      <c r="H693" t="n">
        <v>0</v>
      </c>
      <c r="I693" t="n">
        <v>0</v>
      </c>
      <c r="J693" t="n">
        <v>0</v>
      </c>
      <c r="K693" t="n">
        <v>0</v>
      </c>
      <c r="L693" t="n">
        <v>0</v>
      </c>
      <c r="M693" t="n">
        <v>0</v>
      </c>
      <c r="N693" t="n">
        <v>0</v>
      </c>
      <c r="O693" t="n">
        <v>0</v>
      </c>
      <c r="P693" t="n">
        <v>0</v>
      </c>
      <c r="Q693" t="n">
        <v>0</v>
      </c>
      <c r="R693" s="2" t="inlineStr"/>
    </row>
    <row r="694" ht="15" customHeight="1">
      <c r="A694" t="inlineStr">
        <is>
          <t>A 45940-2021</t>
        </is>
      </c>
      <c r="B694" s="1" t="n">
        <v>44441</v>
      </c>
      <c r="C694" s="1" t="n">
        <v>45990</v>
      </c>
      <c r="D694" t="inlineStr">
        <is>
          <t>NORRBOTTENS LÄN</t>
        </is>
      </c>
      <c r="E694" t="inlineStr">
        <is>
          <t>LULEÅ</t>
        </is>
      </c>
      <c r="G694" t="n">
        <v>15.2</v>
      </c>
      <c r="H694" t="n">
        <v>0</v>
      </c>
      <c r="I694" t="n">
        <v>0</v>
      </c>
      <c r="J694" t="n">
        <v>0</v>
      </c>
      <c r="K694" t="n">
        <v>0</v>
      </c>
      <c r="L694" t="n">
        <v>0</v>
      </c>
      <c r="M694" t="n">
        <v>0</v>
      </c>
      <c r="N694" t="n">
        <v>0</v>
      </c>
      <c r="O694" t="n">
        <v>0</v>
      </c>
      <c r="P694" t="n">
        <v>0</v>
      </c>
      <c r="Q694" t="n">
        <v>0</v>
      </c>
      <c r="R694" s="2" t="inlineStr"/>
    </row>
    <row r="695" ht="15" customHeight="1">
      <c r="A695" t="inlineStr">
        <is>
          <t>A 57115-2024</t>
        </is>
      </c>
      <c r="B695" s="1" t="n">
        <v>45629.36509259259</v>
      </c>
      <c r="C695" s="1" t="n">
        <v>45990</v>
      </c>
      <c r="D695" t="inlineStr">
        <is>
          <t>NORRBOTTENS LÄN</t>
        </is>
      </c>
      <c r="E695" t="inlineStr">
        <is>
          <t>LULEÅ</t>
        </is>
      </c>
      <c r="G695" t="n">
        <v>10.4</v>
      </c>
      <c r="H695" t="n">
        <v>0</v>
      </c>
      <c r="I695" t="n">
        <v>0</v>
      </c>
      <c r="J695" t="n">
        <v>0</v>
      </c>
      <c r="K695" t="n">
        <v>0</v>
      </c>
      <c r="L695" t="n">
        <v>0</v>
      </c>
      <c r="M695" t="n">
        <v>0</v>
      </c>
      <c r="N695" t="n">
        <v>0</v>
      </c>
      <c r="O695" t="n">
        <v>0</v>
      </c>
      <c r="P695" t="n">
        <v>0</v>
      </c>
      <c r="Q695" t="n">
        <v>0</v>
      </c>
      <c r="R695" s="2" t="inlineStr"/>
    </row>
    <row r="696" ht="15" customHeight="1">
      <c r="A696" t="inlineStr">
        <is>
          <t>A 11853-2025</t>
        </is>
      </c>
      <c r="B696" s="1" t="n">
        <v>45727</v>
      </c>
      <c r="C696" s="1" t="n">
        <v>45990</v>
      </c>
      <c r="D696" t="inlineStr">
        <is>
          <t>NORRBOTTENS LÄN</t>
        </is>
      </c>
      <c r="E696" t="inlineStr">
        <is>
          <t>LULEÅ</t>
        </is>
      </c>
      <c r="G696" t="n">
        <v>6</v>
      </c>
      <c r="H696" t="n">
        <v>0</v>
      </c>
      <c r="I696" t="n">
        <v>0</v>
      </c>
      <c r="J696" t="n">
        <v>0</v>
      </c>
      <c r="K696" t="n">
        <v>0</v>
      </c>
      <c r="L696" t="n">
        <v>0</v>
      </c>
      <c r="M696" t="n">
        <v>0</v>
      </c>
      <c r="N696" t="n">
        <v>0</v>
      </c>
      <c r="O696" t="n">
        <v>0</v>
      </c>
      <c r="P696" t="n">
        <v>0</v>
      </c>
      <c r="Q696" t="n">
        <v>0</v>
      </c>
      <c r="R696" s="2" t="inlineStr"/>
    </row>
    <row r="697" ht="15" customHeight="1">
      <c r="A697" t="inlineStr">
        <is>
          <t>A 12323-2023</t>
        </is>
      </c>
      <c r="B697" s="1" t="n">
        <v>44995</v>
      </c>
      <c r="C697" s="1" t="n">
        <v>45990</v>
      </c>
      <c r="D697" t="inlineStr">
        <is>
          <t>NORRBOTTENS LÄN</t>
        </is>
      </c>
      <c r="E697" t="inlineStr">
        <is>
          <t>LULEÅ</t>
        </is>
      </c>
      <c r="G697" t="n">
        <v>1</v>
      </c>
      <c r="H697" t="n">
        <v>0</v>
      </c>
      <c r="I697" t="n">
        <v>0</v>
      </c>
      <c r="J697" t="n">
        <v>0</v>
      </c>
      <c r="K697" t="n">
        <v>0</v>
      </c>
      <c r="L697" t="n">
        <v>0</v>
      </c>
      <c r="M697" t="n">
        <v>0</v>
      </c>
      <c r="N697" t="n">
        <v>0</v>
      </c>
      <c r="O697" t="n">
        <v>0</v>
      </c>
      <c r="P697" t="n">
        <v>0</v>
      </c>
      <c r="Q697" t="n">
        <v>0</v>
      </c>
      <c r="R697" s="2" t="inlineStr"/>
    </row>
    <row r="698" ht="15" customHeight="1">
      <c r="A698" t="inlineStr">
        <is>
          <t>A 5342-2025</t>
        </is>
      </c>
      <c r="B698" s="1" t="n">
        <v>45692.55262731481</v>
      </c>
      <c r="C698" s="1" t="n">
        <v>45990</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24979-2024</t>
        </is>
      </c>
      <c r="B699" s="1" t="n">
        <v>45461</v>
      </c>
      <c r="C699" s="1" t="n">
        <v>45990</v>
      </c>
      <c r="D699" t="inlineStr">
        <is>
          <t>NORRBOTTENS LÄN</t>
        </is>
      </c>
      <c r="E699" t="inlineStr">
        <is>
          <t>LULEÅ</t>
        </is>
      </c>
      <c r="G699" t="n">
        <v>16.3</v>
      </c>
      <c r="H699" t="n">
        <v>0</v>
      </c>
      <c r="I699" t="n">
        <v>0</v>
      </c>
      <c r="J699" t="n">
        <v>0</v>
      </c>
      <c r="K699" t="n">
        <v>0</v>
      </c>
      <c r="L699" t="n">
        <v>0</v>
      </c>
      <c r="M699" t="n">
        <v>0</v>
      </c>
      <c r="N699" t="n">
        <v>0</v>
      </c>
      <c r="O699" t="n">
        <v>0</v>
      </c>
      <c r="P699" t="n">
        <v>0</v>
      </c>
      <c r="Q699" t="n">
        <v>0</v>
      </c>
      <c r="R699" s="2" t="inlineStr"/>
    </row>
    <row r="700" ht="15" customHeight="1">
      <c r="A700" t="inlineStr">
        <is>
          <t>A 52444-2021</t>
        </is>
      </c>
      <c r="B700" s="1" t="n">
        <v>44463</v>
      </c>
      <c r="C700" s="1" t="n">
        <v>45990</v>
      </c>
      <c r="D700" t="inlineStr">
        <is>
          <t>NORRBOTTENS LÄN</t>
        </is>
      </c>
      <c r="E700" t="inlineStr">
        <is>
          <t>LULEÅ</t>
        </is>
      </c>
      <c r="G700" t="n">
        <v>2.1</v>
      </c>
      <c r="H700" t="n">
        <v>0</v>
      </c>
      <c r="I700" t="n">
        <v>0</v>
      </c>
      <c r="J700" t="n">
        <v>0</v>
      </c>
      <c r="K700" t="n">
        <v>0</v>
      </c>
      <c r="L700" t="n">
        <v>0</v>
      </c>
      <c r="M700" t="n">
        <v>0</v>
      </c>
      <c r="N700" t="n">
        <v>0</v>
      </c>
      <c r="O700" t="n">
        <v>0</v>
      </c>
      <c r="P700" t="n">
        <v>0</v>
      </c>
      <c r="Q700" t="n">
        <v>0</v>
      </c>
      <c r="R700" s="2" t="inlineStr"/>
    </row>
    <row r="701" ht="15" customHeight="1">
      <c r="A701" t="inlineStr">
        <is>
          <t>A 62061-2022</t>
        </is>
      </c>
      <c r="B701" s="1" t="n">
        <v>44914</v>
      </c>
      <c r="C701" s="1" t="n">
        <v>45990</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3895-2025</t>
        </is>
      </c>
      <c r="B702" s="1" t="n">
        <v>45683</v>
      </c>
      <c r="C702" s="1" t="n">
        <v>45990</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60651-2023</t>
        </is>
      </c>
      <c r="B703" s="1" t="n">
        <v>45260</v>
      </c>
      <c r="C703" s="1" t="n">
        <v>45990</v>
      </c>
      <c r="D703" t="inlineStr">
        <is>
          <t>NORRBOTTENS LÄN</t>
        </is>
      </c>
      <c r="E703" t="inlineStr">
        <is>
          <t>LULEÅ</t>
        </is>
      </c>
      <c r="G703" t="n">
        <v>1.7</v>
      </c>
      <c r="H703" t="n">
        <v>0</v>
      </c>
      <c r="I703" t="n">
        <v>0</v>
      </c>
      <c r="J703" t="n">
        <v>0</v>
      </c>
      <c r="K703" t="n">
        <v>0</v>
      </c>
      <c r="L703" t="n">
        <v>0</v>
      </c>
      <c r="M703" t="n">
        <v>0</v>
      </c>
      <c r="N703" t="n">
        <v>0</v>
      </c>
      <c r="O703" t="n">
        <v>0</v>
      </c>
      <c r="P703" t="n">
        <v>0</v>
      </c>
      <c r="Q703" t="n">
        <v>0</v>
      </c>
      <c r="R703" s="2" t="inlineStr"/>
    </row>
    <row r="704" ht="15" customHeight="1">
      <c r="A704" t="inlineStr">
        <is>
          <t>A 8271-2025</t>
        </is>
      </c>
      <c r="B704" s="1" t="n">
        <v>45708</v>
      </c>
      <c r="C704" s="1" t="n">
        <v>45990</v>
      </c>
      <c r="D704" t="inlineStr">
        <is>
          <t>NORRBOTTENS LÄN</t>
        </is>
      </c>
      <c r="E704" t="inlineStr">
        <is>
          <t>LULEÅ</t>
        </is>
      </c>
      <c r="G704" t="n">
        <v>11.4</v>
      </c>
      <c r="H704" t="n">
        <v>0</v>
      </c>
      <c r="I704" t="n">
        <v>0</v>
      </c>
      <c r="J704" t="n">
        <v>0</v>
      </c>
      <c r="K704" t="n">
        <v>0</v>
      </c>
      <c r="L704" t="n">
        <v>0</v>
      </c>
      <c r="M704" t="n">
        <v>0</v>
      </c>
      <c r="N704" t="n">
        <v>0</v>
      </c>
      <c r="O704" t="n">
        <v>0</v>
      </c>
      <c r="P704" t="n">
        <v>0</v>
      </c>
      <c r="Q704" t="n">
        <v>0</v>
      </c>
      <c r="R704" s="2" t="inlineStr"/>
    </row>
    <row r="705" ht="15" customHeight="1">
      <c r="A705" t="inlineStr">
        <is>
          <t>A 52697-2023</t>
        </is>
      </c>
      <c r="B705" s="1" t="n">
        <v>45219</v>
      </c>
      <c r="C705" s="1" t="n">
        <v>45990</v>
      </c>
      <c r="D705" t="inlineStr">
        <is>
          <t>NORRBOTTENS LÄN</t>
        </is>
      </c>
      <c r="E705" t="inlineStr">
        <is>
          <t>LULEÅ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23516-2025</t>
        </is>
      </c>
      <c r="B706" s="1" t="n">
        <v>45792</v>
      </c>
      <c r="C706" s="1" t="n">
        <v>45990</v>
      </c>
      <c r="D706" t="inlineStr">
        <is>
          <t>NORRBOTTENS LÄN</t>
        </is>
      </c>
      <c r="E706" t="inlineStr">
        <is>
          <t>LULEÅ</t>
        </is>
      </c>
      <c r="G706" t="n">
        <v>2.7</v>
      </c>
      <c r="H706" t="n">
        <v>0</v>
      </c>
      <c r="I706" t="n">
        <v>0</v>
      </c>
      <c r="J706" t="n">
        <v>0</v>
      </c>
      <c r="K706" t="n">
        <v>0</v>
      </c>
      <c r="L706" t="n">
        <v>0</v>
      </c>
      <c r="M706" t="n">
        <v>0</v>
      </c>
      <c r="N706" t="n">
        <v>0</v>
      </c>
      <c r="O706" t="n">
        <v>0</v>
      </c>
      <c r="P706" t="n">
        <v>0</v>
      </c>
      <c r="Q706" t="n">
        <v>0</v>
      </c>
      <c r="R706" s="2" t="inlineStr"/>
    </row>
    <row r="707" ht="15" customHeight="1">
      <c r="A707" t="inlineStr">
        <is>
          <t>A 23519-2025</t>
        </is>
      </c>
      <c r="B707" s="1" t="n">
        <v>45792.51074074074</v>
      </c>
      <c r="C707" s="1" t="n">
        <v>45990</v>
      </c>
      <c r="D707" t="inlineStr">
        <is>
          <t>NORRBOTTENS LÄN</t>
        </is>
      </c>
      <c r="E707" t="inlineStr">
        <is>
          <t>LULEÅ</t>
        </is>
      </c>
      <c r="G707" t="n">
        <v>2.6</v>
      </c>
      <c r="H707" t="n">
        <v>0</v>
      </c>
      <c r="I707" t="n">
        <v>0</v>
      </c>
      <c r="J707" t="n">
        <v>0</v>
      </c>
      <c r="K707" t="n">
        <v>0</v>
      </c>
      <c r="L707" t="n">
        <v>0</v>
      </c>
      <c r="M707" t="n">
        <v>0</v>
      </c>
      <c r="N707" t="n">
        <v>0</v>
      </c>
      <c r="O707" t="n">
        <v>0</v>
      </c>
      <c r="P707" t="n">
        <v>0</v>
      </c>
      <c r="Q707" t="n">
        <v>0</v>
      </c>
      <c r="R707" s="2" t="inlineStr"/>
    </row>
    <row r="708" ht="15" customHeight="1">
      <c r="A708" t="inlineStr">
        <is>
          <t>A 53836-2024</t>
        </is>
      </c>
      <c r="B708" s="1" t="n">
        <v>45615.62185185185</v>
      </c>
      <c r="C708" s="1" t="n">
        <v>45990</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23520-2025</t>
        </is>
      </c>
      <c r="B709" s="1" t="n">
        <v>45792.51074074074</v>
      </c>
      <c r="C709" s="1" t="n">
        <v>45990</v>
      </c>
      <c r="D709" t="inlineStr">
        <is>
          <t>NORRBOTTENS LÄN</t>
        </is>
      </c>
      <c r="E709" t="inlineStr">
        <is>
          <t>LULEÅ</t>
        </is>
      </c>
      <c r="G709" t="n">
        <v>3.2</v>
      </c>
      <c r="H709" t="n">
        <v>0</v>
      </c>
      <c r="I709" t="n">
        <v>0</v>
      </c>
      <c r="J709" t="n">
        <v>0</v>
      </c>
      <c r="K709" t="n">
        <v>0</v>
      </c>
      <c r="L709" t="n">
        <v>0</v>
      </c>
      <c r="M709" t="n">
        <v>0</v>
      </c>
      <c r="N709" t="n">
        <v>0</v>
      </c>
      <c r="O709" t="n">
        <v>0</v>
      </c>
      <c r="P709" t="n">
        <v>0</v>
      </c>
      <c r="Q709" t="n">
        <v>0</v>
      </c>
      <c r="R709" s="2" t="inlineStr"/>
    </row>
    <row r="710" ht="15" customHeight="1">
      <c r="A710" t="inlineStr">
        <is>
          <t>A 23524-2025</t>
        </is>
      </c>
      <c r="B710" s="1" t="n">
        <v>45792</v>
      </c>
      <c r="C710" s="1" t="n">
        <v>45990</v>
      </c>
      <c r="D710" t="inlineStr">
        <is>
          <t>NORRBOTTENS LÄN</t>
        </is>
      </c>
      <c r="E710" t="inlineStr">
        <is>
          <t>LULEÅ</t>
        </is>
      </c>
      <c r="G710" t="n">
        <v>6.5</v>
      </c>
      <c r="H710" t="n">
        <v>0</v>
      </c>
      <c r="I710" t="n">
        <v>0</v>
      </c>
      <c r="J710" t="n">
        <v>0</v>
      </c>
      <c r="K710" t="n">
        <v>0</v>
      </c>
      <c r="L710" t="n">
        <v>0</v>
      </c>
      <c r="M710" t="n">
        <v>0</v>
      </c>
      <c r="N710" t="n">
        <v>0</v>
      </c>
      <c r="O710" t="n">
        <v>0</v>
      </c>
      <c r="P710" t="n">
        <v>0</v>
      </c>
      <c r="Q710" t="n">
        <v>0</v>
      </c>
      <c r="R710" s="2" t="inlineStr"/>
    </row>
    <row r="711" ht="15" customHeight="1">
      <c r="A711" t="inlineStr">
        <is>
          <t>A 23505-2025</t>
        </is>
      </c>
      <c r="B711" s="1" t="n">
        <v>45792</v>
      </c>
      <c r="C711" s="1" t="n">
        <v>45990</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30950-2024</t>
        </is>
      </c>
      <c r="B712" s="1" t="n">
        <v>45499</v>
      </c>
      <c r="C712" s="1" t="n">
        <v>45990</v>
      </c>
      <c r="D712" t="inlineStr">
        <is>
          <t>NORRBOTTENS LÄN</t>
        </is>
      </c>
      <c r="E712" t="inlineStr">
        <is>
          <t>LULEÅ</t>
        </is>
      </c>
      <c r="G712" t="n">
        <v>2.3</v>
      </c>
      <c r="H712" t="n">
        <v>0</v>
      </c>
      <c r="I712" t="n">
        <v>0</v>
      </c>
      <c r="J712" t="n">
        <v>0</v>
      </c>
      <c r="K712" t="n">
        <v>0</v>
      </c>
      <c r="L712" t="n">
        <v>0</v>
      </c>
      <c r="M712" t="n">
        <v>0</v>
      </c>
      <c r="N712" t="n">
        <v>0</v>
      </c>
      <c r="O712" t="n">
        <v>0</v>
      </c>
      <c r="P712" t="n">
        <v>0</v>
      </c>
      <c r="Q712" t="n">
        <v>0</v>
      </c>
      <c r="R712" s="2" t="inlineStr"/>
    </row>
    <row r="713" ht="15" customHeight="1">
      <c r="A713" t="inlineStr">
        <is>
          <t>A 34680-2023</t>
        </is>
      </c>
      <c r="B713" s="1" t="n">
        <v>45140</v>
      </c>
      <c r="C713" s="1" t="n">
        <v>45990</v>
      </c>
      <c r="D713" t="inlineStr">
        <is>
          <t>NORRBOTTENS LÄN</t>
        </is>
      </c>
      <c r="E713" t="inlineStr">
        <is>
          <t>LULEÅ</t>
        </is>
      </c>
      <c r="G713" t="n">
        <v>4.9</v>
      </c>
      <c r="H713" t="n">
        <v>0</v>
      </c>
      <c r="I713" t="n">
        <v>0</v>
      </c>
      <c r="J713" t="n">
        <v>0</v>
      </c>
      <c r="K713" t="n">
        <v>0</v>
      </c>
      <c r="L713" t="n">
        <v>0</v>
      </c>
      <c r="M713" t="n">
        <v>0</v>
      </c>
      <c r="N713" t="n">
        <v>0</v>
      </c>
      <c r="O713" t="n">
        <v>0</v>
      </c>
      <c r="P713" t="n">
        <v>0</v>
      </c>
      <c r="Q713" t="n">
        <v>0</v>
      </c>
      <c r="R713" s="2" t="inlineStr"/>
    </row>
    <row r="714" ht="15" customHeight="1">
      <c r="A714" t="inlineStr">
        <is>
          <t>A 6459-2025</t>
        </is>
      </c>
      <c r="B714" s="1" t="n">
        <v>45699.56368055556</v>
      </c>
      <c r="C714" s="1" t="n">
        <v>45990</v>
      </c>
      <c r="D714" t="inlineStr">
        <is>
          <t>NORRBOTTENS LÄN</t>
        </is>
      </c>
      <c r="E714" t="inlineStr">
        <is>
          <t>LULEÅ</t>
        </is>
      </c>
      <c r="F714" t="inlineStr">
        <is>
          <t>Övriga Aktiebolag</t>
        </is>
      </c>
      <c r="G714" t="n">
        <v>2.8</v>
      </c>
      <c r="H714" t="n">
        <v>0</v>
      </c>
      <c r="I714" t="n">
        <v>0</v>
      </c>
      <c r="J714" t="n">
        <v>0</v>
      </c>
      <c r="K714" t="n">
        <v>0</v>
      </c>
      <c r="L714" t="n">
        <v>0</v>
      </c>
      <c r="M714" t="n">
        <v>0</v>
      </c>
      <c r="N714" t="n">
        <v>0</v>
      </c>
      <c r="O714" t="n">
        <v>0</v>
      </c>
      <c r="P714" t="n">
        <v>0</v>
      </c>
      <c r="Q714" t="n">
        <v>0</v>
      </c>
      <c r="R714" s="2" t="inlineStr"/>
    </row>
    <row r="715" ht="15" customHeight="1">
      <c r="A715" t="inlineStr">
        <is>
          <t>A 49721-2022</t>
        </is>
      </c>
      <c r="B715" s="1" t="n">
        <v>44859</v>
      </c>
      <c r="C715" s="1" t="n">
        <v>45990</v>
      </c>
      <c r="D715" t="inlineStr">
        <is>
          <t>NORRBOTTENS LÄN</t>
        </is>
      </c>
      <c r="E715" t="inlineStr">
        <is>
          <t>LULEÅ</t>
        </is>
      </c>
      <c r="G715" t="n">
        <v>1.4</v>
      </c>
      <c r="H715" t="n">
        <v>0</v>
      </c>
      <c r="I715" t="n">
        <v>0</v>
      </c>
      <c r="J715" t="n">
        <v>0</v>
      </c>
      <c r="K715" t="n">
        <v>0</v>
      </c>
      <c r="L715" t="n">
        <v>0</v>
      </c>
      <c r="M715" t="n">
        <v>0</v>
      </c>
      <c r="N715" t="n">
        <v>0</v>
      </c>
      <c r="O715" t="n">
        <v>0</v>
      </c>
      <c r="P715" t="n">
        <v>0</v>
      </c>
      <c r="Q715" t="n">
        <v>0</v>
      </c>
      <c r="R715" s="2" t="inlineStr"/>
    </row>
    <row r="716" ht="15" customHeight="1">
      <c r="A716" t="inlineStr">
        <is>
          <t>A 86-2025</t>
        </is>
      </c>
      <c r="B716" s="1" t="n">
        <v>45659.45902777778</v>
      </c>
      <c r="C716" s="1" t="n">
        <v>45990</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c r="A717" t="inlineStr">
        <is>
          <t>A 59825-2024</t>
        </is>
      </c>
      <c r="B717" s="1" t="n">
        <v>45639.64152777778</v>
      </c>
      <c r="C717" s="1" t="n">
        <v>45990</v>
      </c>
      <c r="D717" t="inlineStr">
        <is>
          <t>NORRBOTTENS LÄN</t>
        </is>
      </c>
      <c r="E717" t="inlineStr">
        <is>
          <t>LULEÅ</t>
        </is>
      </c>
      <c r="G717" t="n">
        <v>1.1</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2025-11-29T10:25:18Z</dcterms:created>
  <dcterms:modified xmlns:dcterms="http://purl.org/dc/terms/" xmlns:xsi="http://www.w3.org/2001/XMLSchema-instance" xsi:type="dcterms:W3CDTF">2025-11-29T10:25:18Z</dcterms:modified>
</cp:coreProperties>
</file>