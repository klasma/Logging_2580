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45688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45688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45688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45688</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45688</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45688</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45688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45688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45688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45688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45688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45688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45688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45688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45688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45688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45688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45688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45688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45688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45688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45688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45688</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45688</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45688</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45688</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45688</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45688</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45688</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45688</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45688</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45688</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45688</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45688</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45688</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45688</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45688</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45688</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45688</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45688</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45688</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45688</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45688</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45688</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45688</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45688</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45688</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45688</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45688</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45688</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45688</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45688</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45688</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45688</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45688</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45688</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45688</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45688</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45688</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45688</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45688</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45688</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45688</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733-2025</t>
        </is>
      </c>
      <c r="B66" s="1" t="n">
        <v>45664</v>
      </c>
      <c r="C66" s="1" t="n">
        <v>45688</v>
      </c>
      <c r="D66" t="inlineStr">
        <is>
          <t>NORRBOTTENS LÄN</t>
        </is>
      </c>
      <c r="E66" t="inlineStr">
        <is>
          <t>LULEÅ</t>
        </is>
      </c>
      <c r="G66" t="n">
        <v>0.8</v>
      </c>
      <c r="H66" t="n">
        <v>0</v>
      </c>
      <c r="I66" t="n">
        <v>0</v>
      </c>
      <c r="J66" t="n">
        <v>1</v>
      </c>
      <c r="K66" t="n">
        <v>0</v>
      </c>
      <c r="L66" t="n">
        <v>0</v>
      </c>
      <c r="M66" t="n">
        <v>0</v>
      </c>
      <c r="N66" t="n">
        <v>0</v>
      </c>
      <c r="O66" t="n">
        <v>1</v>
      </c>
      <c r="P66" t="n">
        <v>0</v>
      </c>
      <c r="Q66" t="n">
        <v>1</v>
      </c>
      <c r="R66" s="2" t="inlineStr">
        <is>
          <t>Gränsticka</t>
        </is>
      </c>
      <c r="S66">
        <f>HYPERLINK("https://klasma.github.io/Logging_2580/artfynd/A 733-2025 artfynd.xlsx", "A 733-2025")</f>
        <v/>
      </c>
      <c r="T66">
        <f>HYPERLINK("https://klasma.github.io/Logging_2580/kartor/A 733-2025 karta.png", "A 733-2025")</f>
        <v/>
      </c>
      <c r="V66">
        <f>HYPERLINK("https://klasma.github.io/Logging_2580/klagomål/A 733-2025 FSC-klagomål.docx", "A 733-2025")</f>
        <v/>
      </c>
      <c r="W66">
        <f>HYPERLINK("https://klasma.github.io/Logging_2580/klagomålsmail/A 733-2025 FSC-klagomål mail.docx", "A 733-2025")</f>
        <v/>
      </c>
      <c r="X66">
        <f>HYPERLINK("https://klasma.github.io/Logging_2580/tillsyn/A 733-2025 tillsynsbegäran.docx", "A 733-2025")</f>
        <v/>
      </c>
      <c r="Y66">
        <f>HYPERLINK("https://klasma.github.io/Logging_2580/tillsynsmail/A 733-2025 tillsynsbegäran mail.docx", "A 733-2025")</f>
        <v/>
      </c>
    </row>
    <row r="67" ht="15" customHeight="1">
      <c r="A67" t="inlineStr">
        <is>
          <t>A 739-2025</t>
        </is>
      </c>
      <c r="B67" s="1" t="n">
        <v>45664</v>
      </c>
      <c r="C67" s="1" t="n">
        <v>45688</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3578-2025</t>
        </is>
      </c>
      <c r="B68" s="1" t="n">
        <v>45680</v>
      </c>
      <c r="C68" s="1" t="n">
        <v>45688</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45688</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45688</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45688</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45688</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45688</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45688</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45688</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45688</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45688</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45688</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45688</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45688</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45688</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45688</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45688</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45688</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45688</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45688</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45688</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45688</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45688</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45688</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45688</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45688</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45688</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45688</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45688</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45688</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45688</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45688</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45688</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45688</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45688</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45688</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45688</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45688</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45688</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45688</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45688</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45688</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45688</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45688</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45688</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45688</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45688</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45688</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45688</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45688</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45688</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45688</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45688</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45688</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45688</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45688</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45688</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45688</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45688</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45688</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45688</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45688</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45688</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45688</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45688</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45688</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45688</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45688</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45688</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45688</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45688</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45688</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45688</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45688</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45688</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45688</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45688</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45688</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45688</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45688</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45688</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45688</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45688</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45688</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45688</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45688</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45688</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45688</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45688</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45688</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45688</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45688</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45688</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45688</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45688</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45688</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45688</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45688</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45688</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45688</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45688</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45688</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45688</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45688</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45688</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45688</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45688</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45688</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45688</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45688</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45688</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45688</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45688</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45688</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45688</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45688</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45688</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45688</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45688</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45688</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45688</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45688</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45688</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45688</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45688</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45688</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45688</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45688</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45688</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45688</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45688</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45688</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45688</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45688</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45688</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45688</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45688</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45688</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45688</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45688</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45688</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45688</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45688</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45688</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45688</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45688</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45688</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45688</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45688</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45688</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45688</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45688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45688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45688</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45688</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45688</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45688</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45688</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45688</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45688</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45688</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45688</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45688</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45688</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45688</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45688</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45688</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45688</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45688</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45688</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45688</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45688</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45688</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45688</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45688</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45688</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45688</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45688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45688</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45688</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45688</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45688</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45688</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45688</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45688</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45688</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45688</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45688</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45688</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45688</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45688</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45688</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45688</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45688</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45688</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45688</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45688</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45688</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45688</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45688</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45688</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45688</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45688</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45688</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45688</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45688</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45688</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45688</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45688</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45688</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45688</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45688</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45688</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45688</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45688</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45688</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45688</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45688</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45688</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45688</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45688</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45688</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45688</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45688</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45688</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45688</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45688</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45688</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45688</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45688</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45688</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45688</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45688</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45688</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45688</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45688</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45688</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45688</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45688</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45688</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45688</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45688</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45688</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45688</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45688</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45688</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45688</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45688</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45688</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45688</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45688</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45688</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45688</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45688</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45688</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45688</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45688</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45688</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45688</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45688</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45688</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45688</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45688</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45688</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45688</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45688</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45688</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45688</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45688</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45688</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45688</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45688</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45688</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45688</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45688</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45688</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45688</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45688</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45688</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45688</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45688</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45688</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45688</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45688</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45688</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45688</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45688</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45688</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45688</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45688</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45688</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45688</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45688</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45688</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45688</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45688</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45688</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45688</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45688</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45688</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45688</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45688</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45688</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45688</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45688</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45688</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45688</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45688</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45688</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45688</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45688</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45688</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45688</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45688</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45688</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45688</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45688</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45688</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45688</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45688</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45688</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45688</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45688</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45688</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45688</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45688</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45688</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45688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45688</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45688</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45688</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45688</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45688</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45688</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45688</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45688</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45688</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45688</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45688</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45688</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45688</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45688</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45688</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45688</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45688</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45688</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45688</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45688</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45688</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45688</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45688</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45688</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45688</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45688</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45688</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45688</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45688</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45688</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45688</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45688</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45688</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45688</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45688</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45688</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45688</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45688</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45688</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45688</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45688</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45688</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45688</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45688</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45688</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45688</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45688</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45688</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45688</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45688</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45688</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45688</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45688</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45688</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45688</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45688</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45688</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45688</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45688</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45688</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45688</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45688</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45688</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45688</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45688</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45688</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45688</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45688</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45688</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45688</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45688</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45688</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45688</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45688</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45688</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45688</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45688</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45688</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45688</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45688</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45688</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45688</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45688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45688</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45688</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45688</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45688</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45688</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45688</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45688</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45688</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45688</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45688</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45688</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45688</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45688</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45688</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45688</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45688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45688</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45688</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45688</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45688</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45688</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45688</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45688</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45688</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45688</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45688</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45688</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45688</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45688</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45688</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45688</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45688</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45688</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45688</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45688</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45688</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45688</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45688</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45688</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45688</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45688</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45688</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45688</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45688</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45688</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45688</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45688</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45688</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45688</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45688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45688</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45688</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45688</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45688</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45688</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45688</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45688</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45688</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45688</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45688</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45688</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45688</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45688</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45688</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45688</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45688</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45688</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45688</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45688</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45688</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45688</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45688</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45688</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45688</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45688</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45688</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45688</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45688</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45688</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45688</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45688</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45688</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45688</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45688</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45688</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45688</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45688</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45688</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45688</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45688</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45688</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45688</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45688</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45688</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45688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45688</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45688</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45688</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45688</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45688</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45688</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45688</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45688</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45688</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45688</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45688</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45688</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45688</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45688</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45688</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45688</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45688</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45688</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45688</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45688</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45688</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45688</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45688</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45688</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45688</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45688</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45688</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45688</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45688</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45688</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45688</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45688</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45688</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45688</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45688</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45688</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45688</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45688</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45688</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45688</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45688</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45688</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45688</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45688</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45688</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45688</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45688</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45688</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45688</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45688</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45688</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45688</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45688</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45688</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45688</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45688</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45688</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45688</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45688</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45688</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45688</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45688</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45688</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45688</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45688</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45688</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45688</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45688</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45688</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45688</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45688</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45688</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45688</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45688</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45688</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45688</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45688</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45688</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45688</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45688</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45688</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45688</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45688</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45688</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45688</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45688</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45688</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45688</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45688</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45688</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45688</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45688</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45688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45688</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45688</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45688</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45688</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45688</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45688</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45688</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45688</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45688</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45688</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45688</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45688</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45688</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45688</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45688</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45688</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45688</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45688</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45688</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45688</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45688</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45688</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45688</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45688</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45688</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45688</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45688</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45688</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45688</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45688</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45688</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45688</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45688</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45688</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45688</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45688</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45688</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45688</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45688</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45688</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45688</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45688</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45688</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45688</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45688</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45688</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45688</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45688</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45688</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45688</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45688</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45688</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45688</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45688</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45688</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45688</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45688</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45688</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45688</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45688</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45688</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45688</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45688</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45688</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45688</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45688</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45688</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45688</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45688</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45688</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45688</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45688</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45688</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45688</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45688</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45688</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45688</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45688</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45688</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45688</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45688</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45688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45688</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45688</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45688</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45688</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45688</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45688</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45688</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45688</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45688</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45688</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45688</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45688</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45688</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45688</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45688</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45688</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45688</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45688</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45688</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45688</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45688</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45688</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45688</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45688</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45688</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45688</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45688</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45688</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45688</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45688</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45688</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45688</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45688</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45688</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45688</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45688</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45688</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45688</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45688</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45688</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45688</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45688</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45688</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45688</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45688</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45688</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45688</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45688</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45688</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45688</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45688</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45688</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45688</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45688</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45688</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45688</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45688</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45688</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45688</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45688</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45688</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45688</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45688</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45688</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45688</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45688</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45688</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45688</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45688</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45688</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45688</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45688</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45688</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45688</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45688</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45688</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45688</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45688</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45688</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45688</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45688</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45688</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45688</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45688</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45688</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45688</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45688</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45688</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45688</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45688</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45688</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45688</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45688</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45688</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45688</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45688</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45688</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45688</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45688</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45688</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45688</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45688</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45688</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45688</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45688</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45688</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45688</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45688</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45688</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45688</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45688</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45688</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45688</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45688</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45688</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45688</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45688</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45688</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45688</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45688</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45688</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45688</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45688</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45688</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45688</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45688</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45688</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45688</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45688</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45688</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45688</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45688</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45688</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45688</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45688</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45688</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45688</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45688</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45688</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45688</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45688</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45688</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45688</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45688</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45688</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45688</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45688</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45688</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45688</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45688</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45688</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45688</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45688</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45688</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45688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45688</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45688</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45688</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45688</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45688</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45688</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45688</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45688</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45688</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45688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45688</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45688</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45688</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45688</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45688</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45688</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45688</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45688</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45688</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45688</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45688</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45688</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45688</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45688</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45688</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45688</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45688</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45688</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45688</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45688</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45688</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45688</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45688</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45688</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45688</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45688</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45688</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45688</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45688</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45688</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45688</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45688</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45688</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45688</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45688</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45688</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45688</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45688</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45688</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45688</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45688</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45688</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45688</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45688</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45688</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45688</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45688</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45688</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45688</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45688</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45688</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45688</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45688</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45688</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45688</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45688</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45688</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45688</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45688</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45688</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45688</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45688</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45688</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45688</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45688</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45688</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45688</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45688</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45688</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45688</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649-2025</t>
        </is>
      </c>
      <c r="B983" s="1" t="n">
        <v>45661</v>
      </c>
      <c r="C983" s="1" t="n">
        <v>45688</v>
      </c>
      <c r="D983" t="inlineStr">
        <is>
          <t>NORRBOTTENS LÄN</t>
        </is>
      </c>
      <c r="E983" t="inlineStr">
        <is>
          <t>LULEÅ</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376-2025</t>
        </is>
      </c>
      <c r="B984" s="1" t="n">
        <v>45661</v>
      </c>
      <c r="C984" s="1" t="n">
        <v>45688</v>
      </c>
      <c r="D984" t="inlineStr">
        <is>
          <t>NORRBOTTENS LÄN</t>
        </is>
      </c>
      <c r="E984" t="inlineStr">
        <is>
          <t>LULEÅ</t>
        </is>
      </c>
      <c r="G984" t="n">
        <v>2.9</v>
      </c>
      <c r="H984" t="n">
        <v>0</v>
      </c>
      <c r="I984" t="n">
        <v>0</v>
      </c>
      <c r="J984" t="n">
        <v>0</v>
      </c>
      <c r="K984" t="n">
        <v>0</v>
      </c>
      <c r="L984" t="n">
        <v>0</v>
      </c>
      <c r="M984" t="n">
        <v>0</v>
      </c>
      <c r="N984" t="n">
        <v>0</v>
      </c>
      <c r="O984" t="n">
        <v>0</v>
      </c>
      <c r="P984" t="n">
        <v>0</v>
      </c>
      <c r="Q984" t="n">
        <v>0</v>
      </c>
      <c r="R984" s="2" t="inlineStr"/>
    </row>
    <row r="985" ht="15" customHeight="1">
      <c r="A985" t="inlineStr">
        <is>
          <t>A 656-2025</t>
        </is>
      </c>
      <c r="B985" s="1" t="n">
        <v>45661</v>
      </c>
      <c r="C985" s="1" t="n">
        <v>45688</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45688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704-2025</t>
        </is>
      </c>
      <c r="B987" s="1" t="n">
        <v>45663</v>
      </c>
      <c r="C987" s="1" t="n">
        <v>45688</v>
      </c>
      <c r="D987" t="inlineStr">
        <is>
          <t>NORRBOTTENS LÄN</t>
        </is>
      </c>
      <c r="E987" t="inlineStr">
        <is>
          <t>LULEÅ</t>
        </is>
      </c>
      <c r="G987" t="n">
        <v>1.6</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45688</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45688</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45688</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736-2025</t>
        </is>
      </c>
      <c r="B991" s="1" t="n">
        <v>45664</v>
      </c>
      <c r="C991" s="1" t="n">
        <v>45688</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814-2025</t>
        </is>
      </c>
      <c r="B992" s="1" t="n">
        <v>45664</v>
      </c>
      <c r="C992" s="1" t="n">
        <v>45688</v>
      </c>
      <c r="D992" t="inlineStr">
        <is>
          <t>NORRBOTTENS LÄN</t>
        </is>
      </c>
      <c r="E992" t="inlineStr">
        <is>
          <t>LULEÅ</t>
        </is>
      </c>
      <c r="G992" t="n">
        <v>3.4</v>
      </c>
      <c r="H992" t="n">
        <v>0</v>
      </c>
      <c r="I992" t="n">
        <v>0</v>
      </c>
      <c r="J992" t="n">
        <v>0</v>
      </c>
      <c r="K992" t="n">
        <v>0</v>
      </c>
      <c r="L992" t="n">
        <v>0</v>
      </c>
      <c r="M992" t="n">
        <v>0</v>
      </c>
      <c r="N992" t="n">
        <v>0</v>
      </c>
      <c r="O992" t="n">
        <v>0</v>
      </c>
      <c r="P992" t="n">
        <v>0</v>
      </c>
      <c r="Q992" t="n">
        <v>0</v>
      </c>
      <c r="R992" s="2" t="inlineStr"/>
    </row>
    <row r="993" ht="15" customHeight="1">
      <c r="A993" t="inlineStr">
        <is>
          <t>A 877-2025</t>
        </is>
      </c>
      <c r="B993" s="1" t="n">
        <v>45664</v>
      </c>
      <c r="C993" s="1" t="n">
        <v>45688</v>
      </c>
      <c r="D993" t="inlineStr">
        <is>
          <t>NORRBOTTENS LÄN</t>
        </is>
      </c>
      <c r="E993" t="inlineStr">
        <is>
          <t>LULEÅ</t>
        </is>
      </c>
      <c r="G993" t="n">
        <v>1.9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45688</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45688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45688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45688</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45688</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822-2025</t>
        </is>
      </c>
      <c r="B999" s="1" t="n">
        <v>45664</v>
      </c>
      <c r="C999" s="1" t="n">
        <v>45688</v>
      </c>
      <c r="D999" t="inlineStr">
        <is>
          <t>NORRBOTTENS LÄN</t>
        </is>
      </c>
      <c r="E999" t="inlineStr">
        <is>
          <t>LULEÅ</t>
        </is>
      </c>
      <c r="G999" t="n">
        <v>0.9</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45688</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1010-2025</t>
        </is>
      </c>
      <c r="B1001" s="1" t="n">
        <v>45665</v>
      </c>
      <c r="C1001" s="1" t="n">
        <v>45688</v>
      </c>
      <c r="D1001" t="inlineStr">
        <is>
          <t>NORRBOTTENS LÄN</t>
        </is>
      </c>
      <c r="E1001" t="inlineStr">
        <is>
          <t>LULEÅ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1058-2025</t>
        </is>
      </c>
      <c r="B1002" s="1" t="n">
        <v>45665</v>
      </c>
      <c r="C1002" s="1" t="n">
        <v>45688</v>
      </c>
      <c r="D1002" t="inlineStr">
        <is>
          <t>NORRBOTTENS LÄN</t>
        </is>
      </c>
      <c r="E1002" t="inlineStr">
        <is>
          <t>LULEÅ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45688</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45688</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1513-2025</t>
        </is>
      </c>
      <c r="B1005" s="1" t="n">
        <v>45670</v>
      </c>
      <c r="C1005" s="1" t="n">
        <v>45688</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1572-2025</t>
        </is>
      </c>
      <c r="B1006" s="1" t="n">
        <v>45670</v>
      </c>
      <c r="C1006" s="1" t="n">
        <v>45688</v>
      </c>
      <c r="D1006" t="inlineStr">
        <is>
          <t>NORRBOTTENS LÄN</t>
        </is>
      </c>
      <c r="E1006" t="inlineStr">
        <is>
          <t>LULEÅ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45688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45688</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45688</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45688</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45688</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45688</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45688</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3872-2025</t>
        </is>
      </c>
      <c r="B1014" s="1" t="n">
        <v>45683</v>
      </c>
      <c r="C1014" s="1" t="n">
        <v>45688</v>
      </c>
      <c r="D1014" t="inlineStr">
        <is>
          <t>NORRBOTTENS LÄN</t>
        </is>
      </c>
      <c r="E1014" t="inlineStr">
        <is>
          <t>LULEÅ</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3895-2025</t>
        </is>
      </c>
      <c r="B1015" s="1" t="n">
        <v>45683</v>
      </c>
      <c r="C1015" s="1" t="n">
        <v>45688</v>
      </c>
      <c r="D1015" t="inlineStr">
        <is>
          <t>NORRBOTTENS LÄN</t>
        </is>
      </c>
      <c r="E1015" t="inlineStr">
        <is>
          <t>LULEÅ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45688</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3902-2025</t>
        </is>
      </c>
      <c r="B1017" s="1" t="n">
        <v>45683</v>
      </c>
      <c r="C1017" s="1" t="n">
        <v>45688</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45688</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45688</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45688</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4347-2025</t>
        </is>
      </c>
      <c r="B1021" s="1" t="n">
        <v>45685</v>
      </c>
      <c r="C1021" s="1" t="n">
        <v>45688</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row r="1022">
      <c r="A1022" t="inlineStr">
        <is>
          <t>A 4547-2025</t>
        </is>
      </c>
      <c r="B1022" s="1" t="n">
        <v>45687</v>
      </c>
      <c r="C1022" s="1" t="n">
        <v>45688</v>
      </c>
      <c r="D1022" t="inlineStr">
        <is>
          <t>NORRBOTTENS LÄN</t>
        </is>
      </c>
      <c r="E1022" t="inlineStr">
        <is>
          <t>LULEÅ</t>
        </is>
      </c>
      <c r="G1022" t="n">
        <v>1.3</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2025-01-31T22:02:25Z</dcterms:created>
  <dcterms:modified xmlns:dcterms="http://purl.org/dc/terms/" xmlns:xsi="http://www.w3.org/2001/XMLSchema-instance" xsi:type="dcterms:W3CDTF">2025-01-31T22:02:25Z</dcterms:modified>
</cp:coreProperties>
</file>