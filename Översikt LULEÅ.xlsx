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45697</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45697</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45697</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45697</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45697</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45697</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45697</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45697</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45697</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45697</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45697</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45697</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45697</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45697</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45697</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45697</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45697</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45697</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45697</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45697</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45697</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45697</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45697</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45697</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45697</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45697</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45697</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45697</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45697</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45697</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45697</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45697</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45697</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45697</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45697</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45697</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45697</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45697</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45697</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45697</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45697</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45697</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45697</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45697</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739-2025</t>
        </is>
      </c>
      <c r="B66" s="1" t="n">
        <v>45664</v>
      </c>
      <c r="C66" s="1" t="n">
        <v>45697</v>
      </c>
      <c r="D66" t="inlineStr">
        <is>
          <t>NORRBOTTENS LÄN</t>
        </is>
      </c>
      <c r="E66" t="inlineStr">
        <is>
          <t>LULEÅ</t>
        </is>
      </c>
      <c r="G66" t="n">
        <v>1.8</v>
      </c>
      <c r="H66" t="n">
        <v>0</v>
      </c>
      <c r="I66" t="n">
        <v>0</v>
      </c>
      <c r="J66" t="n">
        <v>1</v>
      </c>
      <c r="K66" t="n">
        <v>0</v>
      </c>
      <c r="L66" t="n">
        <v>0</v>
      </c>
      <c r="M66" t="n">
        <v>0</v>
      </c>
      <c r="N66" t="n">
        <v>0</v>
      </c>
      <c r="O66" t="n">
        <v>1</v>
      </c>
      <c r="P66" t="n">
        <v>0</v>
      </c>
      <c r="Q66" t="n">
        <v>1</v>
      </c>
      <c r="R66" s="2" t="inlineStr">
        <is>
          <t>Garnlav</t>
        </is>
      </c>
      <c r="S66">
        <f>HYPERLINK("https://klasma.github.io/Logging_2580/artfynd/A 739-2025 artfynd.xlsx", "A 739-2025")</f>
        <v/>
      </c>
      <c r="T66">
        <f>HYPERLINK("https://klasma.github.io/Logging_2580/kartor/A 739-2025 karta.png", "A 739-2025")</f>
        <v/>
      </c>
      <c r="U66">
        <f>HYPERLINK("https://klasma.github.io/Logging_2580/knärot/A 739-2025 karta knärot.png", "A 739-2025")</f>
        <v/>
      </c>
      <c r="V66">
        <f>HYPERLINK("https://klasma.github.io/Logging_2580/klagomål/A 739-2025 FSC-klagomål.docx", "A 739-2025")</f>
        <v/>
      </c>
      <c r="W66">
        <f>HYPERLINK("https://klasma.github.io/Logging_2580/klagomålsmail/A 739-2025 FSC-klagomål mail.docx", "A 739-2025")</f>
        <v/>
      </c>
      <c r="X66">
        <f>HYPERLINK("https://klasma.github.io/Logging_2580/tillsyn/A 739-2025 tillsynsbegäran.docx", "A 739-2025")</f>
        <v/>
      </c>
      <c r="Y66">
        <f>HYPERLINK("https://klasma.github.io/Logging_2580/tillsynsmail/A 739-2025 tillsynsbegäran mail.docx", "A 739-2025")</f>
        <v/>
      </c>
    </row>
    <row r="67" ht="15" customHeight="1">
      <c r="A67" t="inlineStr">
        <is>
          <t>A 733-2025</t>
        </is>
      </c>
      <c r="B67" s="1" t="n">
        <v>45664</v>
      </c>
      <c r="C67" s="1" t="n">
        <v>45697</v>
      </c>
      <c r="D67" t="inlineStr">
        <is>
          <t>NORRBOTTENS LÄN</t>
        </is>
      </c>
      <c r="E67" t="inlineStr">
        <is>
          <t>LULEÅ</t>
        </is>
      </c>
      <c r="G67" t="n">
        <v>0.8</v>
      </c>
      <c r="H67" t="n">
        <v>0</v>
      </c>
      <c r="I67" t="n">
        <v>0</v>
      </c>
      <c r="J67" t="n">
        <v>1</v>
      </c>
      <c r="K67" t="n">
        <v>0</v>
      </c>
      <c r="L67" t="n">
        <v>0</v>
      </c>
      <c r="M67" t="n">
        <v>0</v>
      </c>
      <c r="N67" t="n">
        <v>0</v>
      </c>
      <c r="O67" t="n">
        <v>1</v>
      </c>
      <c r="P67" t="n">
        <v>0</v>
      </c>
      <c r="Q67" t="n">
        <v>1</v>
      </c>
      <c r="R67" s="2" t="inlineStr">
        <is>
          <t>Gränsticka</t>
        </is>
      </c>
      <c r="S67">
        <f>HYPERLINK("https://klasma.github.io/Logging_2580/artfynd/A 733-2025 artfynd.xlsx", "A 733-2025")</f>
        <v/>
      </c>
      <c r="T67">
        <f>HYPERLINK("https://klasma.github.io/Logging_2580/kartor/A 733-2025 karta.png", "A 733-2025")</f>
        <v/>
      </c>
      <c r="V67">
        <f>HYPERLINK("https://klasma.github.io/Logging_2580/klagomål/A 733-2025 FSC-klagomål.docx", "A 733-2025")</f>
        <v/>
      </c>
      <c r="W67">
        <f>HYPERLINK("https://klasma.github.io/Logging_2580/klagomålsmail/A 733-2025 FSC-klagomål mail.docx", "A 733-2025")</f>
        <v/>
      </c>
      <c r="X67">
        <f>HYPERLINK("https://klasma.github.io/Logging_2580/tillsyn/A 733-2025 tillsynsbegäran.docx", "A 733-2025")</f>
        <v/>
      </c>
      <c r="Y67">
        <f>HYPERLINK("https://klasma.github.io/Logging_2580/tillsynsmail/A 733-2025 tillsynsbegäran mail.docx", "A 733-2025")</f>
        <v/>
      </c>
    </row>
    <row r="68" ht="15" customHeight="1">
      <c r="A68" t="inlineStr">
        <is>
          <t>A 3578-2025</t>
        </is>
      </c>
      <c r="B68" s="1" t="n">
        <v>45680</v>
      </c>
      <c r="C68" s="1" t="n">
        <v>45697</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45697</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45697</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45697</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45697</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45697</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45697</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45697</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45697</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45697</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45697</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45697</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45697</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45697</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45697</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45697</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45697</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45697</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45697</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45697</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45697</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45697</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45697</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45697</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45697</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45697</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45697</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45697</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45697</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45697</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45697</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45697</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45697</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45697</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45697</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45697</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45697</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45697</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45697</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45697</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45697</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45697</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45697</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45697</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45697</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45697</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45697</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45697</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45697</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45697</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45697</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45697</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45697</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45697</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45697</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45697</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45697</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45697</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45697</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45697</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45697</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45697</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45697</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45697</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45697</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45697</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45697</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45697</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45697</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45697</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45697</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45697</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45697</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45697</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45697</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45697</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45697</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45697</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45697</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45697</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45697</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45697</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45697</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45697</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45697</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45697</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45697</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45697</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45697</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45697</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45697</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45697</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45697</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45697</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45697</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45697</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45697</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45697</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45697</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45697</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45697</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45697</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45697</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45697</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45697</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45697</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45697</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45697</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45697</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45697</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45697</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45697</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45697</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45697</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45697</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45697</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45697</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45697</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45697</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45697</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45697</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45697</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45697</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45697</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45697</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45697</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45697</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45697</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45697</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45697</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45697</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45697</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45697</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45697</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45697</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45697</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45697</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45697</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45697</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45697</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45697</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45697</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45697</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45697</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45697</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45697</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45697</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45697</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45697</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45697</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45697</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45697</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45697</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45697</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45697</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45697</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45697</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45697</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45697</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45697</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45697</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45697</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45697</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45697</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45697</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45697</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45697</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45697</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45697</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45697</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45697</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45697</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45697</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45697</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45697</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45697</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45697</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45697</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45697</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45697</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45697</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45697</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45697</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45697</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45697</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45697</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45697</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45697</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45697</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45697</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45697</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45697</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45697</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45697</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45697</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45697</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45697</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45697</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45697</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45697</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45697</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45697</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45697</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45697</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45697</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45697</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45697</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45697</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45697</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45697</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45697</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45697</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45697</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45697</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45697</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45697</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45697</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45697</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45697</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45697</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45697</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45697</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45697</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45697</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45697</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45697</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45697</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45697</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45697</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45697</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45697</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45697</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45697</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45697</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45697</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45697</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45697</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45697</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45697</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45697</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45697</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45697</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45697</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45697</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45697</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45697</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45697</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45697</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45697</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45697</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45697</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45697</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45697</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45697</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45697</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45697</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45697</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45697</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45697</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45697</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45697</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45697</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45697</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45697</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45697</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45697</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45697</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45697</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45697</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45697</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45697</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45697</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45697</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45697</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45697</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45697</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45697</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45697</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45697</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45697</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45697</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45697</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45697</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45697</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45697</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45697</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45697</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45697</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45697</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45697</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45697</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45697</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45697</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45697</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45697</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45697</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45697</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45697</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45697</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45697</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45697</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45697</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45697</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45697</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45697</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45697</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45697</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45697</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45697</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45697</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45697</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45697</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45697</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45697</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45697</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45697</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45697</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45697</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45697</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45697</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45697</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45697</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45697</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45697</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45697</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45697</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45697</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45697</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45697</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45697</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45697</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45697</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45697</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45697</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45697</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45697</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45697</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45697</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45697</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45697</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45697</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45697</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45697</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45697</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45697</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45697</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45697</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45697</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45697</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45697</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45697</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45697</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45697</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45697</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45697</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45697</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45697</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45697</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45697</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45697</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45697</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45697</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45697</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45697</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45697</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45697</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45697</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45697</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45697</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45697</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45697</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45697</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45697</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45697</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45697</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45697</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45697</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45697</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45697</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45697</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45697</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45697</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45697</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45697</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45697</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45697</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45697</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45697</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45697</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45697</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45697</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45697</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45697</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45697</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45697</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45697</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45697</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45697</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45697</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45697</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45697</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45697</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45697</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45697</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45697</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45697</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45697</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45697</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45697</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45697</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45697</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45697</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45697</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45697</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45697</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45697</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45697</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45697</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45697</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45697</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45697</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45697</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45697</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45697</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45697</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45697</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45697</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45697</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45697</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45697</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45697</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45697</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45697</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45697</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45697</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45697</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45697</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45697</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45697</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45697</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45697</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45697</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45697</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45697</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45697</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45697</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45697</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45697</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45697</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45697</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45697</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45697</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45697</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45697</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45697</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45697</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45697</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45697</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45697</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45697</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45697</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45697</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45697</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45697</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45697</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45697</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45697</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45697</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45697</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45697</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45697</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45697</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45697</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45697</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45697</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45697</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45697</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45697</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45697</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45697</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45697</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45697</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45697</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45697</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45697</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45697</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45697</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45697</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45697</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45697</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45697</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45697</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45697</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45697</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45697</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45697</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45697</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45697</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45697</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45697</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45697</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45697</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45697</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45697</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45697</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45697</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45697</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45697</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45697</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45697</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45697</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45697</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45697</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45697</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45697</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45697</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45697</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45697</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45697</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45697</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45697</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45697</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45697</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45697</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45697</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45697</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45697</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45697</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45697</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45697</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45697</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45697</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45697</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45697</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45697</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45697</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45697</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45697</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45697</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45697</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45697</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45697</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45697</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45697</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45697</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45697</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45697</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45697</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45697</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45697</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45697</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45697</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45697</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45697</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45697</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45697</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45697</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45697</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45697</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45697</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45697</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45697</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45697</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45697</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45697</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45697</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45697</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45697</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45697</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45697</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45697</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45697</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45697</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45697</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45697</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45697</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45697</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45697</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45697</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45697</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45697</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45697</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45697</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45697</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45697</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45697</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45697</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45697</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45697</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45697</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45697</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45697</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45697</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45697</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45697</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45697</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45697</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45697</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45697</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45697</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45697</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45697</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45697</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45697</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45697</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45697</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45697</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45697</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45697</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45697</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45697</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45697</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45697</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45697</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45697</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45697</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45697</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45697</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45697</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45697</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45697</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45697</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45697</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45697</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45697</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45697</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45697</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45697</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45697</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45697</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45697</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45697</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45697</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45697</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45697</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45697</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45697</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45697</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45697</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45697</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45697</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45697</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45697</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45697</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45697</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45697</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45697</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45697</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45697</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45697</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45697</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45697</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45697</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45697</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45697</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45697</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45697</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45697</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45697</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45697</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45697</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45697</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45697</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45697</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45697</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45697</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45697</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45697</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45697</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45697</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45697</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45697</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45697</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45697</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45697</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45697</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45697</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45697</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45697</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45697</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45697</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45697</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45697</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45697</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45697</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45697</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45697</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45697</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45697</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45697</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45697</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45697</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45697</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45697</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45697</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45697</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45697</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45697</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45697</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45697</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45697</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45697</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45697</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45697</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45697</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45697</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45697</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45697</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45697</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45697</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45697</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45697</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45697</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45697</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45697</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45697</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45697</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45697</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45697</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45697</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45697</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45697</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45697</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45697</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45697</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45697</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45697</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45697</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45697</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45697</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45697</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45697</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45697</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45697</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45697</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45697</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45697</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45697</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45697</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45697</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45697</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45697</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45697</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45697</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45697</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45697</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45697</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45697</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45697</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45697</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45697</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45697</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45697</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45697</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45697</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45697</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45697</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45697</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45697</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45697</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45697</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45697</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45697</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45697</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45697</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45697</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45697</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45697</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45697</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45697</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45697</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45697</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45697</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45697</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45697</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45697</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45697</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45697</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45697</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45697</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45697</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45697</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45697</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45697</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45697</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45697</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45697</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45697</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45697</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45697</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45697</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45697</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45697</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45697</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45697</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45697</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45697</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45697</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45697</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45697</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45697</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45697</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45697</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45697</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45697</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45697</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45697</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45697</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45697</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45697</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45697</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45697</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45697</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45697</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45697</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45697</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45697</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45697</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45697</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45697</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45697</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45697</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45697</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45697</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45697</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45697</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45697</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45697</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45697</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45697</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45697</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45697</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45697</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45697</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45697</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45697</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45697</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45697</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45697</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45697</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45697</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45697</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45697</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45697</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45697</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45697</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45697</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45697</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45697</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45697</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45697</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45697</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45697</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45697</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45697</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45697</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45697</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45697</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45697</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45697</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45697</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45697</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45697</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45697</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45697</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45697</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45697</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45697</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45697</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45697</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45697</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45697</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45697</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45697</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45697</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45697</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45697</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45697</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45697</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45697</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45697</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45697</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45697</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45697</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45697</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45697</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45697</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45697</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45697</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45697</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45697</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45697</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45697</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45697</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45697</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45697</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45697</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45697</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45697</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45697</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45697</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45697</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45697</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45697</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45697</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45697</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45697</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45697</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45697</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45697</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45697</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45697</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45697</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45697</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45697</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45697</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45697</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45697</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700-2025</t>
        </is>
      </c>
      <c r="B986" s="1" t="n">
        <v>45663</v>
      </c>
      <c r="C986" s="1" t="n">
        <v>45697</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702-2025</t>
        </is>
      </c>
      <c r="B987" s="1" t="n">
        <v>45663</v>
      </c>
      <c r="C987" s="1" t="n">
        <v>45697</v>
      </c>
      <c r="D987" t="inlineStr">
        <is>
          <t>NORRBOTTENS LÄN</t>
        </is>
      </c>
      <c r="E987" t="inlineStr">
        <is>
          <t>LULEÅ</t>
        </is>
      </c>
      <c r="G987" t="n">
        <v>2.4</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45697</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45697</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704-2025</t>
        </is>
      </c>
      <c r="B990" s="1" t="n">
        <v>45663</v>
      </c>
      <c r="C990" s="1" t="n">
        <v>45697</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822-2025</t>
        </is>
      </c>
      <c r="B991" s="1" t="n">
        <v>45664</v>
      </c>
      <c r="C991" s="1" t="n">
        <v>45697</v>
      </c>
      <c r="D991" t="inlineStr">
        <is>
          <t>NORRBOTTENS LÄN</t>
        </is>
      </c>
      <c r="E991" t="inlineStr">
        <is>
          <t>LULEÅ</t>
        </is>
      </c>
      <c r="G991" t="n">
        <v>0.9</v>
      </c>
      <c r="H991" t="n">
        <v>0</v>
      </c>
      <c r="I991" t="n">
        <v>0</v>
      </c>
      <c r="J991" t="n">
        <v>0</v>
      </c>
      <c r="K991" t="n">
        <v>0</v>
      </c>
      <c r="L991" t="n">
        <v>0</v>
      </c>
      <c r="M991" t="n">
        <v>0</v>
      </c>
      <c r="N991" t="n">
        <v>0</v>
      </c>
      <c r="O991" t="n">
        <v>0</v>
      </c>
      <c r="P991" t="n">
        <v>0</v>
      </c>
      <c r="Q991" t="n">
        <v>0</v>
      </c>
      <c r="R991" s="2" t="inlineStr"/>
    </row>
    <row r="992" ht="15" customHeight="1">
      <c r="A992" t="inlineStr">
        <is>
          <t>A 731-2025</t>
        </is>
      </c>
      <c r="B992" s="1" t="n">
        <v>45664</v>
      </c>
      <c r="C992" s="1" t="n">
        <v>45697</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806-2025</t>
        </is>
      </c>
      <c r="B993" s="1" t="n">
        <v>45664</v>
      </c>
      <c r="C993" s="1" t="n">
        <v>45697</v>
      </c>
      <c r="D993" t="inlineStr">
        <is>
          <t>NORRBOTTENS LÄN</t>
        </is>
      </c>
      <c r="E993" t="inlineStr">
        <is>
          <t>LULEÅ</t>
        </is>
      </c>
      <c r="G993" t="n">
        <v>0.6</v>
      </c>
      <c r="H993" t="n">
        <v>0</v>
      </c>
      <c r="I993" t="n">
        <v>0</v>
      </c>
      <c r="J993" t="n">
        <v>0</v>
      </c>
      <c r="K993" t="n">
        <v>0</v>
      </c>
      <c r="L993" t="n">
        <v>0</v>
      </c>
      <c r="M993" t="n">
        <v>0</v>
      </c>
      <c r="N993" t="n">
        <v>0</v>
      </c>
      <c r="O993" t="n">
        <v>0</v>
      </c>
      <c r="P993" t="n">
        <v>0</v>
      </c>
      <c r="Q993" t="n">
        <v>0</v>
      </c>
      <c r="R993" s="2" t="inlineStr"/>
    </row>
    <row r="994" ht="15" customHeight="1">
      <c r="A994" t="inlineStr">
        <is>
          <t>A 825-2025</t>
        </is>
      </c>
      <c r="B994" s="1" t="n">
        <v>45664</v>
      </c>
      <c r="C994" s="1" t="n">
        <v>45697</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884-2025</t>
        </is>
      </c>
      <c r="B995" s="1" t="n">
        <v>45664</v>
      </c>
      <c r="C995" s="1" t="n">
        <v>45697</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814-2025</t>
        </is>
      </c>
      <c r="B996" s="1" t="n">
        <v>45664</v>
      </c>
      <c r="C996" s="1" t="n">
        <v>45697</v>
      </c>
      <c r="D996" t="inlineStr">
        <is>
          <t>NORRBOTTENS LÄN</t>
        </is>
      </c>
      <c r="E996" t="inlineStr">
        <is>
          <t>LULEÅ</t>
        </is>
      </c>
      <c r="G996" t="n">
        <v>3.4</v>
      </c>
      <c r="H996" t="n">
        <v>0</v>
      </c>
      <c r="I996" t="n">
        <v>0</v>
      </c>
      <c r="J996" t="n">
        <v>0</v>
      </c>
      <c r="K996" t="n">
        <v>0</v>
      </c>
      <c r="L996" t="n">
        <v>0</v>
      </c>
      <c r="M996" t="n">
        <v>0</v>
      </c>
      <c r="N996" t="n">
        <v>0</v>
      </c>
      <c r="O996" t="n">
        <v>0</v>
      </c>
      <c r="P996" t="n">
        <v>0</v>
      </c>
      <c r="Q996" t="n">
        <v>0</v>
      </c>
      <c r="R996" s="2" t="inlineStr"/>
    </row>
    <row r="997" ht="15" customHeight="1">
      <c r="A997" t="inlineStr">
        <is>
          <t>A 877-2025</t>
        </is>
      </c>
      <c r="B997" s="1" t="n">
        <v>45664</v>
      </c>
      <c r="C997" s="1" t="n">
        <v>45697</v>
      </c>
      <c r="D997" t="inlineStr">
        <is>
          <t>NORRBOTTENS LÄN</t>
        </is>
      </c>
      <c r="E997" t="inlineStr">
        <is>
          <t>LULEÅ</t>
        </is>
      </c>
      <c r="G997" t="n">
        <v>1.9</v>
      </c>
      <c r="H997" t="n">
        <v>0</v>
      </c>
      <c r="I997" t="n">
        <v>0</v>
      </c>
      <c r="J997" t="n">
        <v>0</v>
      </c>
      <c r="K997" t="n">
        <v>0</v>
      </c>
      <c r="L997" t="n">
        <v>0</v>
      </c>
      <c r="M997" t="n">
        <v>0</v>
      </c>
      <c r="N997" t="n">
        <v>0</v>
      </c>
      <c r="O997" t="n">
        <v>0</v>
      </c>
      <c r="P997" t="n">
        <v>0</v>
      </c>
      <c r="Q997" t="n">
        <v>0</v>
      </c>
      <c r="R997" s="2" t="inlineStr"/>
    </row>
    <row r="998" ht="15" customHeight="1">
      <c r="A998" t="inlineStr">
        <is>
          <t>A 804-2025</t>
        </is>
      </c>
      <c r="B998" s="1" t="n">
        <v>45664</v>
      </c>
      <c r="C998" s="1" t="n">
        <v>45697</v>
      </c>
      <c r="D998" t="inlineStr">
        <is>
          <t>NORRBOTTENS LÄN</t>
        </is>
      </c>
      <c r="E998" t="inlineStr">
        <is>
          <t>LULEÅ</t>
        </is>
      </c>
      <c r="G998" t="n">
        <v>2.1</v>
      </c>
      <c r="H998" t="n">
        <v>0</v>
      </c>
      <c r="I998" t="n">
        <v>0</v>
      </c>
      <c r="J998" t="n">
        <v>0</v>
      </c>
      <c r="K998" t="n">
        <v>0</v>
      </c>
      <c r="L998" t="n">
        <v>0</v>
      </c>
      <c r="M998" t="n">
        <v>0</v>
      </c>
      <c r="N998" t="n">
        <v>0</v>
      </c>
      <c r="O998" t="n">
        <v>0</v>
      </c>
      <c r="P998" t="n">
        <v>0</v>
      </c>
      <c r="Q998" t="n">
        <v>0</v>
      </c>
      <c r="R998" s="2" t="inlineStr"/>
    </row>
    <row r="999" ht="15" customHeight="1">
      <c r="A999" t="inlineStr">
        <is>
          <t>A 817-2025</t>
        </is>
      </c>
      <c r="B999" s="1" t="n">
        <v>45664</v>
      </c>
      <c r="C999" s="1" t="n">
        <v>45697</v>
      </c>
      <c r="D999" t="inlineStr">
        <is>
          <t>NORRBOTTENS LÄN</t>
        </is>
      </c>
      <c r="E999" t="inlineStr">
        <is>
          <t>LULEÅ</t>
        </is>
      </c>
      <c r="G999" t="n">
        <v>2.6</v>
      </c>
      <c r="H999" t="n">
        <v>0</v>
      </c>
      <c r="I999" t="n">
        <v>0</v>
      </c>
      <c r="J999" t="n">
        <v>0</v>
      </c>
      <c r="K999" t="n">
        <v>0</v>
      </c>
      <c r="L999" t="n">
        <v>0</v>
      </c>
      <c r="M999" t="n">
        <v>0</v>
      </c>
      <c r="N999" t="n">
        <v>0</v>
      </c>
      <c r="O999" t="n">
        <v>0</v>
      </c>
      <c r="P999" t="n">
        <v>0</v>
      </c>
      <c r="Q999" t="n">
        <v>0</v>
      </c>
      <c r="R999" s="2" t="inlineStr"/>
    </row>
    <row r="1000" ht="15" customHeight="1">
      <c r="A1000" t="inlineStr">
        <is>
          <t>A 736-2025</t>
        </is>
      </c>
      <c r="B1000" s="1" t="n">
        <v>45664</v>
      </c>
      <c r="C1000" s="1" t="n">
        <v>45697</v>
      </c>
      <c r="D1000" t="inlineStr">
        <is>
          <t>NORRBOTTENS LÄN</t>
        </is>
      </c>
      <c r="E1000" t="inlineStr">
        <is>
          <t>LULEÅ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1017-2025</t>
        </is>
      </c>
      <c r="B1001" s="1" t="n">
        <v>45665</v>
      </c>
      <c r="C1001" s="1" t="n">
        <v>45697</v>
      </c>
      <c r="D1001" t="inlineStr">
        <is>
          <t>NORRBOTTENS LÄN</t>
        </is>
      </c>
      <c r="E1001" t="inlineStr">
        <is>
          <t>LULEÅ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1002-2025</t>
        </is>
      </c>
      <c r="B1002" s="1" t="n">
        <v>45665</v>
      </c>
      <c r="C1002" s="1" t="n">
        <v>45697</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1058-2025</t>
        </is>
      </c>
      <c r="B1003" s="1" t="n">
        <v>45665</v>
      </c>
      <c r="C1003" s="1" t="n">
        <v>45697</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1010-2025</t>
        </is>
      </c>
      <c r="B1004" s="1" t="n">
        <v>45665</v>
      </c>
      <c r="C1004" s="1" t="n">
        <v>45697</v>
      </c>
      <c r="D1004" t="inlineStr">
        <is>
          <t>NORRBOTTENS LÄN</t>
        </is>
      </c>
      <c r="E1004" t="inlineStr">
        <is>
          <t>LULEÅ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1513-2025</t>
        </is>
      </c>
      <c r="B1005" s="1" t="n">
        <v>45670</v>
      </c>
      <c r="C1005" s="1" t="n">
        <v>45697</v>
      </c>
      <c r="D1005" t="inlineStr">
        <is>
          <t>NORRBOTTENS LÄN</t>
        </is>
      </c>
      <c r="E1005" t="inlineStr">
        <is>
          <t>LULEÅ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1683-2025</t>
        </is>
      </c>
      <c r="B1006" s="1" t="n">
        <v>45670</v>
      </c>
      <c r="C1006" s="1" t="n">
        <v>45697</v>
      </c>
      <c r="D1006" t="inlineStr">
        <is>
          <t>NORRBOTTENS LÄN</t>
        </is>
      </c>
      <c r="E1006" t="inlineStr">
        <is>
          <t>LULEÅ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1572-2025</t>
        </is>
      </c>
      <c r="B1007" s="1" t="n">
        <v>45670</v>
      </c>
      <c r="C1007" s="1" t="n">
        <v>45697</v>
      </c>
      <c r="D1007" t="inlineStr">
        <is>
          <t>NORRBOTTENS LÄN</t>
        </is>
      </c>
      <c r="E1007" t="inlineStr">
        <is>
          <t>LULEÅ</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45697</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45697</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45697</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45697</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45697</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45697</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3871-2025</t>
        </is>
      </c>
      <c r="B1014" s="1" t="n">
        <v>45683</v>
      </c>
      <c r="C1014" s="1" t="n">
        <v>45697</v>
      </c>
      <c r="D1014" t="inlineStr">
        <is>
          <t>NORRBOTTENS LÄN</t>
        </is>
      </c>
      <c r="E1014" t="inlineStr">
        <is>
          <t>LULEÅ</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3902-2025</t>
        </is>
      </c>
      <c r="B1015" s="1" t="n">
        <v>45683</v>
      </c>
      <c r="C1015" s="1" t="n">
        <v>45697</v>
      </c>
      <c r="D1015" t="inlineStr">
        <is>
          <t>NORRBOTTENS LÄN</t>
        </is>
      </c>
      <c r="E1015" t="inlineStr">
        <is>
          <t>LULEÅ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3895-2025</t>
        </is>
      </c>
      <c r="B1016" s="1" t="n">
        <v>45683</v>
      </c>
      <c r="C1016" s="1" t="n">
        <v>45697</v>
      </c>
      <c r="D1016" t="inlineStr">
        <is>
          <t>NORRBOTTENS LÄN</t>
        </is>
      </c>
      <c r="E1016" t="inlineStr">
        <is>
          <t>LULEÅ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45697</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45697</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45697</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45697</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45697</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45697</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4547-2025</t>
        </is>
      </c>
      <c r="B1023" s="1" t="n">
        <v>45687</v>
      </c>
      <c r="C1023" s="1" t="n">
        <v>45697</v>
      </c>
      <c r="D1023" t="inlineStr">
        <is>
          <t>NORRBOTTENS LÄN</t>
        </is>
      </c>
      <c r="E1023" t="inlineStr">
        <is>
          <t>LULEÅ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4920-2025</t>
        </is>
      </c>
      <c r="B1024" s="1" t="n">
        <v>45688</v>
      </c>
      <c r="C1024" s="1" t="n">
        <v>45697</v>
      </c>
      <c r="D1024" t="inlineStr">
        <is>
          <t>NORRBOTTENS LÄN</t>
        </is>
      </c>
      <c r="E1024" t="inlineStr">
        <is>
          <t>LULEÅ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4921-2025</t>
        </is>
      </c>
      <c r="B1025" s="1" t="n">
        <v>45688</v>
      </c>
      <c r="C1025" s="1" t="n">
        <v>45697</v>
      </c>
      <c r="D1025" t="inlineStr">
        <is>
          <t>NORRBOTTENS LÄN</t>
        </is>
      </c>
      <c r="E1025" t="inlineStr">
        <is>
          <t>LULEÅ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4941-2025</t>
        </is>
      </c>
      <c r="B1026" s="1" t="n">
        <v>45688</v>
      </c>
      <c r="C1026" s="1" t="n">
        <v>45697</v>
      </c>
      <c r="D1026" t="inlineStr">
        <is>
          <t>NORRBOTTENS LÄN</t>
        </is>
      </c>
      <c r="E1026" t="inlineStr">
        <is>
          <t>LULEÅ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45697</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45697</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5038-2025</t>
        </is>
      </c>
      <c r="B1029" s="1" t="n">
        <v>45691</v>
      </c>
      <c r="C1029" s="1" t="n">
        <v>45697</v>
      </c>
      <c r="D1029" t="inlineStr">
        <is>
          <t>NORRBOTTENS LÄN</t>
        </is>
      </c>
      <c r="E1029" t="inlineStr">
        <is>
          <t>LULEÅ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5050-2025</t>
        </is>
      </c>
      <c r="B1030" s="1" t="n">
        <v>45691</v>
      </c>
      <c r="C1030" s="1" t="n">
        <v>45697</v>
      </c>
      <c r="D1030" t="inlineStr">
        <is>
          <t>NORRBOTTENS LÄN</t>
        </is>
      </c>
      <c r="E1030" t="inlineStr">
        <is>
          <t>LULEÅ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5058-2025</t>
        </is>
      </c>
      <c r="B1031" s="1" t="n">
        <v>45691</v>
      </c>
      <c r="C1031" s="1" t="n">
        <v>45697</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5051-2025</t>
        </is>
      </c>
      <c r="B1032" s="1" t="n">
        <v>45691</v>
      </c>
      <c r="C1032" s="1" t="n">
        <v>45697</v>
      </c>
      <c r="D1032" t="inlineStr">
        <is>
          <t>NORRBOTTENS LÄN</t>
        </is>
      </c>
      <c r="E1032" t="inlineStr">
        <is>
          <t>LULEÅ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5131-2025</t>
        </is>
      </c>
      <c r="B1033" s="1" t="n">
        <v>45691</v>
      </c>
      <c r="C1033" s="1" t="n">
        <v>45697</v>
      </c>
      <c r="D1033" t="inlineStr">
        <is>
          <t>NORRBOTTENS LÄN</t>
        </is>
      </c>
      <c r="E1033" t="inlineStr">
        <is>
          <t>LULEÅ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45697</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5342-2025</t>
        </is>
      </c>
      <c r="B1035" s="1" t="n">
        <v>45692</v>
      </c>
      <c r="C1035" s="1" t="n">
        <v>45697</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5727-2025</t>
        </is>
      </c>
      <c r="B1036" s="1" t="n">
        <v>45694</v>
      </c>
      <c r="C1036" s="1" t="n">
        <v>45697</v>
      </c>
      <c r="D1036" t="inlineStr">
        <is>
          <t>NORRBOTTENS LÄN</t>
        </is>
      </c>
      <c r="E1036" t="inlineStr">
        <is>
          <t>LULEÅ</t>
        </is>
      </c>
      <c r="G1036" t="n">
        <v>5.4</v>
      </c>
      <c r="H1036" t="n">
        <v>0</v>
      </c>
      <c r="I1036" t="n">
        <v>0</v>
      </c>
      <c r="J1036" t="n">
        <v>0</v>
      </c>
      <c r="K1036" t="n">
        <v>0</v>
      </c>
      <c r="L1036" t="n">
        <v>0</v>
      </c>
      <c r="M1036" t="n">
        <v>0</v>
      </c>
      <c r="N1036" t="n">
        <v>0</v>
      </c>
      <c r="O1036" t="n">
        <v>0</v>
      </c>
      <c r="P1036" t="n">
        <v>0</v>
      </c>
      <c r="Q1036" t="n">
        <v>0</v>
      </c>
      <c r="R1036" s="2" t="inlineStr"/>
    </row>
    <row r="1037">
      <c r="A1037" t="inlineStr">
        <is>
          <t>A 5822-2025</t>
        </is>
      </c>
      <c r="B1037" s="1" t="n">
        <v>45694</v>
      </c>
      <c r="C1037" s="1" t="n">
        <v>45697</v>
      </c>
      <c r="D1037" t="inlineStr">
        <is>
          <t>NORRBOTTENS LÄN</t>
        </is>
      </c>
      <c r="E1037" t="inlineStr">
        <is>
          <t>LULEÅ</t>
        </is>
      </c>
      <c r="G1037" t="n">
        <v>2.5</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2025-02-09T17:03:52Z</dcterms:created>
  <dcterms:modified xmlns:dcterms="http://purl.org/dc/terms/" xmlns:xsi="http://www.w3.org/2001/XMLSchema-instance" xsi:type="dcterms:W3CDTF">2025-02-09T17:03:53Z</dcterms:modified>
</cp:coreProperties>
</file>