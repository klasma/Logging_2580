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45821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45821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45821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45821</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45821</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45821</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45821</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45821</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45821</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45821</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45821</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45821</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45821</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45821</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45821</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45821</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45821</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45821</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45821</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45821</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45821</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45821</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45821</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45821</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45821</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45821</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45821</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45821</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45821</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45821</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45821</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45821</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45821</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45821</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45821</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45821</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45821</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45821</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45821</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45821</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45821</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45821</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45821</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45821</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45821</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45821</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45821</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45821</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45821</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45821</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45821</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45821</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45821</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45821</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45821</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45821</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45821</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45821</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56564-2023</t>
        </is>
      </c>
      <c r="B60" s="1" t="n">
        <v>45237</v>
      </c>
      <c r="C60" s="1" t="n">
        <v>45821</v>
      </c>
      <c r="D60" t="inlineStr">
        <is>
          <t>NORRBOTTENS LÄN</t>
        </is>
      </c>
      <c r="E60" t="inlineStr">
        <is>
          <t>LULEÅ</t>
        </is>
      </c>
      <c r="G60" t="n">
        <v>33</v>
      </c>
      <c r="H60" t="n">
        <v>1</v>
      </c>
      <c r="I60" t="n">
        <v>0</v>
      </c>
      <c r="J60" t="n">
        <v>1</v>
      </c>
      <c r="K60" t="n">
        <v>0</v>
      </c>
      <c r="L60" t="n">
        <v>0</v>
      </c>
      <c r="M60" t="n">
        <v>0</v>
      </c>
      <c r="N60" t="n">
        <v>0</v>
      </c>
      <c r="O60" t="n">
        <v>1</v>
      </c>
      <c r="P60" t="n">
        <v>0</v>
      </c>
      <c r="Q60" t="n">
        <v>1</v>
      </c>
      <c r="R60" s="2" t="inlineStr">
        <is>
          <t>Järpe</t>
        </is>
      </c>
      <c r="S60">
        <f>HYPERLINK("https://klasma.github.io/Logging_2580/artfynd/A 56564-2023 artfynd.xlsx", "A 56564-2023")</f>
        <v/>
      </c>
      <c r="T60">
        <f>HYPERLINK("https://klasma.github.io/Logging_2580/kartor/A 56564-2023 karta.png", "A 56564-2023")</f>
        <v/>
      </c>
      <c r="V60">
        <f>HYPERLINK("https://klasma.github.io/Logging_2580/klagomål/A 56564-2023 FSC-klagomål.docx", "A 56564-2023")</f>
        <v/>
      </c>
      <c r="W60">
        <f>HYPERLINK("https://klasma.github.io/Logging_2580/klagomålsmail/A 56564-2023 FSC-klagomål mail.docx", "A 56564-2023")</f>
        <v/>
      </c>
      <c r="X60">
        <f>HYPERLINK("https://klasma.github.io/Logging_2580/tillsyn/A 56564-2023 tillsynsbegäran.docx", "A 56564-2023")</f>
        <v/>
      </c>
      <c r="Y60">
        <f>HYPERLINK("https://klasma.github.io/Logging_2580/tillsynsmail/A 56564-2023 tillsynsbegäran mail.docx", "A 56564-2023")</f>
        <v/>
      </c>
      <c r="Z60">
        <f>HYPERLINK("https://klasma.github.io/Logging_2580/fåglar/A 56564-2023 prioriterade fågelarter.docx", "A 56564-2023")</f>
        <v/>
      </c>
    </row>
    <row r="61" ht="15" customHeight="1">
      <c r="A61" t="inlineStr">
        <is>
          <t>A 59466-2023</t>
        </is>
      </c>
      <c r="B61" s="1" t="n">
        <v>45254</v>
      </c>
      <c r="C61" s="1" t="n">
        <v>45821</v>
      </c>
      <c r="D61" t="inlineStr">
        <is>
          <t>NORRBOTTENS LÄN</t>
        </is>
      </c>
      <c r="E61" t="inlineStr">
        <is>
          <t>LULEÅ</t>
        </is>
      </c>
      <c r="F61" t="inlineStr">
        <is>
          <t>Sveaskog</t>
        </is>
      </c>
      <c r="G61" t="n">
        <v>0.4</v>
      </c>
      <c r="H61" t="n">
        <v>0</v>
      </c>
      <c r="I61" t="n">
        <v>0</v>
      </c>
      <c r="J61" t="n">
        <v>1</v>
      </c>
      <c r="K61" t="n">
        <v>0</v>
      </c>
      <c r="L61" t="n">
        <v>0</v>
      </c>
      <c r="M61" t="n">
        <v>0</v>
      </c>
      <c r="N61" t="n">
        <v>0</v>
      </c>
      <c r="O61" t="n">
        <v>1</v>
      </c>
      <c r="P61" t="n">
        <v>0</v>
      </c>
      <c r="Q61" t="n">
        <v>1</v>
      </c>
      <c r="R61" s="2" t="inlineStr">
        <is>
          <t>Motaggsvamp</t>
        </is>
      </c>
      <c r="S61">
        <f>HYPERLINK("https://klasma.github.io/Logging_2580/artfynd/A 59466-2023 artfynd.xlsx", "A 59466-2023")</f>
        <v/>
      </c>
      <c r="T61">
        <f>HYPERLINK("https://klasma.github.io/Logging_2580/kartor/A 59466-2023 karta.png", "A 59466-2023")</f>
        <v/>
      </c>
      <c r="V61">
        <f>HYPERLINK("https://klasma.github.io/Logging_2580/klagomål/A 59466-2023 FSC-klagomål.docx", "A 59466-2023")</f>
        <v/>
      </c>
      <c r="W61">
        <f>HYPERLINK("https://klasma.github.io/Logging_2580/klagomålsmail/A 59466-2023 FSC-klagomål mail.docx", "A 59466-2023")</f>
        <v/>
      </c>
      <c r="X61">
        <f>HYPERLINK("https://klasma.github.io/Logging_2580/tillsyn/A 59466-2023 tillsynsbegäran.docx", "A 59466-2023")</f>
        <v/>
      </c>
      <c r="Y61">
        <f>HYPERLINK("https://klasma.github.io/Logging_2580/tillsynsmail/A 59466-2023 tillsynsbegäran mail.docx", "A 59466-2023")</f>
        <v/>
      </c>
    </row>
    <row r="62" ht="15" customHeight="1">
      <c r="A62" t="inlineStr">
        <is>
          <t>A 63879-2023</t>
        </is>
      </c>
      <c r="B62" s="1" t="n">
        <v>45278</v>
      </c>
      <c r="C62" s="1" t="n">
        <v>45821</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Nattviol</t>
        </is>
      </c>
      <c r="S62">
        <f>HYPERLINK("https://klasma.github.io/Logging_2580/artfynd/A 63879-2023 artfynd.xlsx", "A 63879-2023")</f>
        <v/>
      </c>
      <c r="T62">
        <f>HYPERLINK("https://klasma.github.io/Logging_2580/kartor/A 63879-2023 karta.png", "A 63879-2023")</f>
        <v/>
      </c>
      <c r="V62">
        <f>HYPERLINK("https://klasma.github.io/Logging_2580/klagomål/A 63879-2023 FSC-klagomål.docx", "A 63879-2023")</f>
        <v/>
      </c>
      <c r="W62">
        <f>HYPERLINK("https://klasma.github.io/Logging_2580/klagomålsmail/A 63879-2023 FSC-klagomål mail.docx", "A 63879-2023")</f>
        <v/>
      </c>
      <c r="X62">
        <f>HYPERLINK("https://klasma.github.io/Logging_2580/tillsyn/A 63879-2023 tillsynsbegäran.docx", "A 63879-2023")</f>
        <v/>
      </c>
      <c r="Y62">
        <f>HYPERLINK("https://klasma.github.io/Logging_2580/tillsynsmail/A 63879-2023 tillsynsbegäran mail.docx", "A 63879-2023")</f>
        <v/>
      </c>
    </row>
    <row r="63" ht="15" customHeight="1">
      <c r="A63" t="inlineStr">
        <is>
          <t>A 4141-2024</t>
        </is>
      </c>
      <c r="B63" s="1" t="n">
        <v>45323</v>
      </c>
      <c r="C63" s="1" t="n">
        <v>45821</v>
      </c>
      <c r="D63" t="inlineStr">
        <is>
          <t>NORRBOTTENS LÄN</t>
        </is>
      </c>
      <c r="E63" t="inlineStr">
        <is>
          <t>LULEÅ</t>
        </is>
      </c>
      <c r="G63" t="n">
        <v>24</v>
      </c>
      <c r="H63" t="n">
        <v>1</v>
      </c>
      <c r="I63" t="n">
        <v>0</v>
      </c>
      <c r="J63" t="n">
        <v>1</v>
      </c>
      <c r="K63" t="n">
        <v>0</v>
      </c>
      <c r="L63" t="n">
        <v>0</v>
      </c>
      <c r="M63" t="n">
        <v>0</v>
      </c>
      <c r="N63" t="n">
        <v>0</v>
      </c>
      <c r="O63" t="n">
        <v>1</v>
      </c>
      <c r="P63" t="n">
        <v>0</v>
      </c>
      <c r="Q63" t="n">
        <v>1</v>
      </c>
      <c r="R63" s="2" t="inlineStr">
        <is>
          <t>Havsörn</t>
        </is>
      </c>
      <c r="S63">
        <f>HYPERLINK("https://klasma.github.io/Logging_2580/artfynd/A 4141-2024 artfynd.xlsx", "A 4141-2024")</f>
        <v/>
      </c>
      <c r="T63">
        <f>HYPERLINK("https://klasma.github.io/Logging_2580/kartor/A 4141-2024 karta.png", "A 4141-2024")</f>
        <v/>
      </c>
      <c r="V63">
        <f>HYPERLINK("https://klasma.github.io/Logging_2580/klagomål/A 4141-2024 FSC-klagomål.docx", "A 4141-2024")</f>
        <v/>
      </c>
      <c r="W63">
        <f>HYPERLINK("https://klasma.github.io/Logging_2580/klagomålsmail/A 4141-2024 FSC-klagomål mail.docx", "A 4141-2024")</f>
        <v/>
      </c>
      <c r="X63">
        <f>HYPERLINK("https://klasma.github.io/Logging_2580/tillsyn/A 4141-2024 tillsynsbegäran.docx", "A 4141-2024")</f>
        <v/>
      </c>
      <c r="Y63">
        <f>HYPERLINK("https://klasma.github.io/Logging_2580/tillsynsmail/A 4141-2024 tillsynsbegäran mail.docx", "A 4141-2024")</f>
        <v/>
      </c>
      <c r="Z63">
        <f>HYPERLINK("https://klasma.github.io/Logging_2580/fåglar/A 4141-2024 prioriterade fågelarter.docx", "A 4141-2024")</f>
        <v/>
      </c>
    </row>
    <row r="64" ht="15" customHeight="1">
      <c r="A64" t="inlineStr">
        <is>
          <t>A 4692-2024</t>
        </is>
      </c>
      <c r="B64" s="1" t="n">
        <v>45328</v>
      </c>
      <c r="C64" s="1" t="n">
        <v>45821</v>
      </c>
      <c r="D64" t="inlineStr">
        <is>
          <t>NORRBOTTENS LÄN</t>
        </is>
      </c>
      <c r="E64" t="inlineStr">
        <is>
          <t>LULEÅ</t>
        </is>
      </c>
      <c r="G64" t="n">
        <v>4</v>
      </c>
      <c r="H64" t="n">
        <v>1</v>
      </c>
      <c r="I64" t="n">
        <v>0</v>
      </c>
      <c r="J64" t="n">
        <v>0</v>
      </c>
      <c r="K64" t="n">
        <v>0</v>
      </c>
      <c r="L64" t="n">
        <v>0</v>
      </c>
      <c r="M64" t="n">
        <v>0</v>
      </c>
      <c r="N64" t="n">
        <v>0</v>
      </c>
      <c r="O64" t="n">
        <v>0</v>
      </c>
      <c r="P64" t="n">
        <v>0</v>
      </c>
      <c r="Q64" t="n">
        <v>1</v>
      </c>
      <c r="R64" s="2" t="inlineStr">
        <is>
          <t>Fläcknycklar</t>
        </is>
      </c>
      <c r="S64">
        <f>HYPERLINK("https://klasma.github.io/Logging_2580/artfynd/A 4692-2024 artfynd.xlsx", "A 4692-2024")</f>
        <v/>
      </c>
      <c r="T64">
        <f>HYPERLINK("https://klasma.github.io/Logging_2580/kartor/A 4692-2024 karta.png", "A 4692-2024")</f>
        <v/>
      </c>
      <c r="V64">
        <f>HYPERLINK("https://klasma.github.io/Logging_2580/klagomål/A 4692-2024 FSC-klagomål.docx", "A 4692-2024")</f>
        <v/>
      </c>
      <c r="W64">
        <f>HYPERLINK("https://klasma.github.io/Logging_2580/klagomålsmail/A 4692-2024 FSC-klagomål mail.docx", "A 4692-2024")</f>
        <v/>
      </c>
      <c r="X64">
        <f>HYPERLINK("https://klasma.github.io/Logging_2580/tillsyn/A 4692-2024 tillsynsbegäran.docx", "A 4692-2024")</f>
        <v/>
      </c>
      <c r="Y64">
        <f>HYPERLINK("https://klasma.github.io/Logging_2580/tillsynsmail/A 4692-2024 tillsynsbegäran mail.docx", "A 4692-2024")</f>
        <v/>
      </c>
    </row>
    <row r="65" ht="15" customHeight="1">
      <c r="A65" t="inlineStr">
        <is>
          <t>A 12462-2024</t>
        </is>
      </c>
      <c r="B65" s="1" t="n">
        <v>45378</v>
      </c>
      <c r="C65" s="1" t="n">
        <v>45821</v>
      </c>
      <c r="D65" t="inlineStr">
        <is>
          <t>NORRBOTTENS LÄN</t>
        </is>
      </c>
      <c r="E65" t="inlineStr">
        <is>
          <t>LULEÅ</t>
        </is>
      </c>
      <c r="G65" t="n">
        <v>6.9</v>
      </c>
      <c r="H65" t="n">
        <v>0</v>
      </c>
      <c r="I65" t="n">
        <v>0</v>
      </c>
      <c r="J65" t="n">
        <v>1</v>
      </c>
      <c r="K65" t="n">
        <v>0</v>
      </c>
      <c r="L65" t="n">
        <v>0</v>
      </c>
      <c r="M65" t="n">
        <v>0</v>
      </c>
      <c r="N65" t="n">
        <v>0</v>
      </c>
      <c r="O65" t="n">
        <v>1</v>
      </c>
      <c r="P65" t="n">
        <v>0</v>
      </c>
      <c r="Q65" t="n">
        <v>1</v>
      </c>
      <c r="R65" s="2" t="inlineStr">
        <is>
          <t>Ullticka</t>
        </is>
      </c>
      <c r="S65">
        <f>HYPERLINK("https://klasma.github.io/Logging_2580/artfynd/A 12462-2024 artfynd.xlsx", "A 12462-2024")</f>
        <v/>
      </c>
      <c r="T65">
        <f>HYPERLINK("https://klasma.github.io/Logging_2580/kartor/A 12462-2024 karta.png", "A 12462-2024")</f>
        <v/>
      </c>
      <c r="V65">
        <f>HYPERLINK("https://klasma.github.io/Logging_2580/klagomål/A 12462-2024 FSC-klagomål.docx", "A 12462-2024")</f>
        <v/>
      </c>
      <c r="W65">
        <f>HYPERLINK("https://klasma.github.io/Logging_2580/klagomålsmail/A 12462-2024 FSC-klagomål mail.docx", "A 12462-2024")</f>
        <v/>
      </c>
      <c r="X65">
        <f>HYPERLINK("https://klasma.github.io/Logging_2580/tillsyn/A 12462-2024 tillsynsbegäran.docx", "A 12462-2024")</f>
        <v/>
      </c>
      <c r="Y65">
        <f>HYPERLINK("https://klasma.github.io/Logging_2580/tillsynsmail/A 12462-2024 tillsynsbegäran mail.docx", "A 12462-2024")</f>
        <v/>
      </c>
    </row>
    <row r="66" ht="15" customHeight="1">
      <c r="A66" t="inlineStr">
        <is>
          <t>A 19552-2024</t>
        </is>
      </c>
      <c r="B66" s="1" t="n">
        <v>45429</v>
      </c>
      <c r="C66" s="1" t="n">
        <v>45821</v>
      </c>
      <c r="D66" t="inlineStr">
        <is>
          <t>NORRBOTTENS LÄN</t>
        </is>
      </c>
      <c r="E66" t="inlineStr">
        <is>
          <t>LULEÅ</t>
        </is>
      </c>
      <c r="G66" t="n">
        <v>0.7</v>
      </c>
      <c r="H66" t="n">
        <v>0</v>
      </c>
      <c r="I66" t="n">
        <v>0</v>
      </c>
      <c r="J66" t="n">
        <v>0</v>
      </c>
      <c r="K66" t="n">
        <v>1</v>
      </c>
      <c r="L66" t="n">
        <v>0</v>
      </c>
      <c r="M66" t="n">
        <v>0</v>
      </c>
      <c r="N66" t="n">
        <v>0</v>
      </c>
      <c r="O66" t="n">
        <v>1</v>
      </c>
      <c r="P66" t="n">
        <v>1</v>
      </c>
      <c r="Q66" t="n">
        <v>1</v>
      </c>
      <c r="R66" s="2" t="inlineStr">
        <is>
          <t>Smalfotad taggsvamp</t>
        </is>
      </c>
      <c r="S66">
        <f>HYPERLINK("https://klasma.github.io/Logging_2580/artfynd/A 19552-2024 artfynd.xlsx", "A 19552-2024")</f>
        <v/>
      </c>
      <c r="T66">
        <f>HYPERLINK("https://klasma.github.io/Logging_2580/kartor/A 19552-2024 karta.png", "A 19552-2024")</f>
        <v/>
      </c>
      <c r="V66">
        <f>HYPERLINK("https://klasma.github.io/Logging_2580/klagomål/A 19552-2024 FSC-klagomål.docx", "A 19552-2024")</f>
        <v/>
      </c>
      <c r="W66">
        <f>HYPERLINK("https://klasma.github.io/Logging_2580/klagomålsmail/A 19552-2024 FSC-klagomål mail.docx", "A 19552-2024")</f>
        <v/>
      </c>
      <c r="X66">
        <f>HYPERLINK("https://klasma.github.io/Logging_2580/tillsyn/A 19552-2024 tillsynsbegäran.docx", "A 19552-2024")</f>
        <v/>
      </c>
      <c r="Y66">
        <f>HYPERLINK("https://klasma.github.io/Logging_2580/tillsynsmail/A 19552-2024 tillsynsbegäran mail.docx", "A 19552-2024")</f>
        <v/>
      </c>
    </row>
    <row r="67" ht="15" customHeight="1">
      <c r="A67" t="inlineStr">
        <is>
          <t>A 25528-2024</t>
        </is>
      </c>
      <c r="B67" s="1" t="n">
        <v>45463</v>
      </c>
      <c r="C67" s="1" t="n">
        <v>45821</v>
      </c>
      <c r="D67" t="inlineStr">
        <is>
          <t>NORRBOTTENS LÄN</t>
        </is>
      </c>
      <c r="E67" t="inlineStr">
        <is>
          <t>LULEÅ</t>
        </is>
      </c>
      <c r="G67" t="n">
        <v>1.4</v>
      </c>
      <c r="H67" t="n">
        <v>0</v>
      </c>
      <c r="I67" t="n">
        <v>0</v>
      </c>
      <c r="J67" t="n">
        <v>1</v>
      </c>
      <c r="K67" t="n">
        <v>0</v>
      </c>
      <c r="L67" t="n">
        <v>0</v>
      </c>
      <c r="M67" t="n">
        <v>0</v>
      </c>
      <c r="N67" t="n">
        <v>0</v>
      </c>
      <c r="O67" t="n">
        <v>1</v>
      </c>
      <c r="P67" t="n">
        <v>0</v>
      </c>
      <c r="Q67" t="n">
        <v>1</v>
      </c>
      <c r="R67" s="2" t="inlineStr">
        <is>
          <t>Granticka</t>
        </is>
      </c>
      <c r="S67">
        <f>HYPERLINK("https://klasma.github.io/Logging_2580/artfynd/A 25528-2024 artfynd.xlsx", "A 25528-2024")</f>
        <v/>
      </c>
      <c r="T67">
        <f>HYPERLINK("https://klasma.github.io/Logging_2580/kartor/A 25528-2024 karta.png", "A 25528-2024")</f>
        <v/>
      </c>
      <c r="V67">
        <f>HYPERLINK("https://klasma.github.io/Logging_2580/klagomål/A 25528-2024 FSC-klagomål.docx", "A 25528-2024")</f>
        <v/>
      </c>
      <c r="W67">
        <f>HYPERLINK("https://klasma.github.io/Logging_2580/klagomålsmail/A 25528-2024 FSC-klagomål mail.docx", "A 25528-2024")</f>
        <v/>
      </c>
      <c r="X67">
        <f>HYPERLINK("https://klasma.github.io/Logging_2580/tillsyn/A 25528-2024 tillsynsbegäran.docx", "A 25528-2024")</f>
        <v/>
      </c>
      <c r="Y67">
        <f>HYPERLINK("https://klasma.github.io/Logging_2580/tillsynsmail/A 25528-2024 tillsynsbegäran mail.docx", "A 25528-2024")</f>
        <v/>
      </c>
    </row>
    <row r="68" ht="15" customHeight="1">
      <c r="A68" t="inlineStr">
        <is>
          <t>A 35545-2024</t>
        </is>
      </c>
      <c r="B68" s="1" t="n">
        <v>45531</v>
      </c>
      <c r="C68" s="1" t="n">
        <v>45821</v>
      </c>
      <c r="D68" t="inlineStr">
        <is>
          <t>NORRBOTTENS LÄN</t>
        </is>
      </c>
      <c r="E68" t="inlineStr">
        <is>
          <t>LULEÅ</t>
        </is>
      </c>
      <c r="G68" t="n">
        <v>19.7</v>
      </c>
      <c r="H68" t="n">
        <v>0</v>
      </c>
      <c r="I68" t="n">
        <v>0</v>
      </c>
      <c r="J68" t="n">
        <v>0</v>
      </c>
      <c r="K68" t="n">
        <v>1</v>
      </c>
      <c r="L68" t="n">
        <v>0</v>
      </c>
      <c r="M68" t="n">
        <v>0</v>
      </c>
      <c r="N68" t="n">
        <v>0</v>
      </c>
      <c r="O68" t="n">
        <v>1</v>
      </c>
      <c r="P68" t="n">
        <v>1</v>
      </c>
      <c r="Q68" t="n">
        <v>1</v>
      </c>
      <c r="R68" s="2" t="inlineStr">
        <is>
          <t>Liten aspgelélav</t>
        </is>
      </c>
      <c r="S68">
        <f>HYPERLINK("https://klasma.github.io/Logging_2580/artfynd/A 35545-2024 artfynd.xlsx", "A 35545-2024")</f>
        <v/>
      </c>
      <c r="T68">
        <f>HYPERLINK("https://klasma.github.io/Logging_2580/kartor/A 35545-2024 karta.png", "A 35545-2024")</f>
        <v/>
      </c>
      <c r="V68">
        <f>HYPERLINK("https://klasma.github.io/Logging_2580/klagomål/A 35545-2024 FSC-klagomål.docx", "A 35545-2024")</f>
        <v/>
      </c>
      <c r="W68">
        <f>HYPERLINK("https://klasma.github.io/Logging_2580/klagomålsmail/A 35545-2024 FSC-klagomål mail.docx", "A 35545-2024")</f>
        <v/>
      </c>
      <c r="X68">
        <f>HYPERLINK("https://klasma.github.io/Logging_2580/tillsyn/A 35545-2024 tillsynsbegäran.docx", "A 35545-2024")</f>
        <v/>
      </c>
      <c r="Y68">
        <f>HYPERLINK("https://klasma.github.io/Logging_2580/tillsynsmail/A 35545-2024 tillsynsbegäran mail.docx", "A 35545-2024")</f>
        <v/>
      </c>
    </row>
    <row r="69" ht="15" customHeight="1">
      <c r="A69" t="inlineStr">
        <is>
          <t>A 38333-2024</t>
        </is>
      </c>
      <c r="B69" s="1" t="n">
        <v>45545</v>
      </c>
      <c r="C69" s="1" t="n">
        <v>45821</v>
      </c>
      <c r="D69" t="inlineStr">
        <is>
          <t>NORRBOTTENS LÄN</t>
        </is>
      </c>
      <c r="E69" t="inlineStr">
        <is>
          <t>LULEÅ</t>
        </is>
      </c>
      <c r="F69" t="inlineStr">
        <is>
          <t>Sveaskog</t>
        </is>
      </c>
      <c r="G69" t="n">
        <v>2.9</v>
      </c>
      <c r="H69" t="n">
        <v>1</v>
      </c>
      <c r="I69" t="n">
        <v>0</v>
      </c>
      <c r="J69" t="n">
        <v>0</v>
      </c>
      <c r="K69" t="n">
        <v>1</v>
      </c>
      <c r="L69" t="n">
        <v>0</v>
      </c>
      <c r="M69" t="n">
        <v>0</v>
      </c>
      <c r="N69" t="n">
        <v>0</v>
      </c>
      <c r="O69" t="n">
        <v>1</v>
      </c>
      <c r="P69" t="n">
        <v>1</v>
      </c>
      <c r="Q69" t="n">
        <v>1</v>
      </c>
      <c r="R69" s="2" t="inlineStr">
        <is>
          <t>Knärot</t>
        </is>
      </c>
      <c r="S69">
        <f>HYPERLINK("https://klasma.github.io/Logging_2580/artfynd/A 38333-2024 artfynd.xlsx", "A 38333-2024")</f>
        <v/>
      </c>
      <c r="T69">
        <f>HYPERLINK("https://klasma.github.io/Logging_2580/kartor/A 38333-2024 karta.png", "A 38333-2024")</f>
        <v/>
      </c>
      <c r="U69">
        <f>HYPERLINK("https://klasma.github.io/Logging_2580/knärot/A 38333-2024 karta knärot.png", "A 38333-2024")</f>
        <v/>
      </c>
      <c r="V69">
        <f>HYPERLINK("https://klasma.github.io/Logging_2580/klagomål/A 38333-2024 FSC-klagomål.docx", "A 38333-2024")</f>
        <v/>
      </c>
      <c r="W69">
        <f>HYPERLINK("https://klasma.github.io/Logging_2580/klagomålsmail/A 38333-2024 FSC-klagomål mail.docx", "A 38333-2024")</f>
        <v/>
      </c>
      <c r="X69">
        <f>HYPERLINK("https://klasma.github.io/Logging_2580/tillsyn/A 38333-2024 tillsynsbegäran.docx", "A 38333-2024")</f>
        <v/>
      </c>
      <c r="Y69">
        <f>HYPERLINK("https://klasma.github.io/Logging_2580/tillsynsmail/A 38333-2024 tillsynsbegäran mail.docx", "A 38333-2024")</f>
        <v/>
      </c>
    </row>
    <row r="70" ht="15" customHeight="1">
      <c r="A70" t="inlineStr">
        <is>
          <t>A 59395-2024</t>
        </is>
      </c>
      <c r="B70" s="1" t="n">
        <v>45638</v>
      </c>
      <c r="C70" s="1" t="n">
        <v>45821</v>
      </c>
      <c r="D70" t="inlineStr">
        <is>
          <t>NORRBOTTENS LÄN</t>
        </is>
      </c>
      <c r="E70" t="inlineStr">
        <is>
          <t>LULEÅ</t>
        </is>
      </c>
      <c r="F70" t="inlineStr">
        <is>
          <t>Sveaskog</t>
        </is>
      </c>
      <c r="G70" t="n">
        <v>18.3</v>
      </c>
      <c r="H70" t="n">
        <v>0</v>
      </c>
      <c r="I70" t="n">
        <v>1</v>
      </c>
      <c r="J70" t="n">
        <v>0</v>
      </c>
      <c r="K70" t="n">
        <v>0</v>
      </c>
      <c r="L70" t="n">
        <v>0</v>
      </c>
      <c r="M70" t="n">
        <v>0</v>
      </c>
      <c r="N70" t="n">
        <v>0</v>
      </c>
      <c r="O70" t="n">
        <v>0</v>
      </c>
      <c r="P70" t="n">
        <v>0</v>
      </c>
      <c r="Q70" t="n">
        <v>1</v>
      </c>
      <c r="R70" s="2" t="inlineStr">
        <is>
          <t>Stuplav</t>
        </is>
      </c>
      <c r="S70">
        <f>HYPERLINK("https://klasma.github.io/Logging_2580/artfynd/A 59395-2024 artfynd.xlsx", "A 59395-2024")</f>
        <v/>
      </c>
      <c r="T70">
        <f>HYPERLINK("https://klasma.github.io/Logging_2580/kartor/A 59395-2024 karta.png", "A 59395-2024")</f>
        <v/>
      </c>
      <c r="V70">
        <f>HYPERLINK("https://klasma.github.io/Logging_2580/klagomål/A 59395-2024 FSC-klagomål.docx", "A 59395-2024")</f>
        <v/>
      </c>
      <c r="W70">
        <f>HYPERLINK("https://klasma.github.io/Logging_2580/klagomålsmail/A 59395-2024 FSC-klagomål mail.docx", "A 59395-2024")</f>
        <v/>
      </c>
      <c r="X70">
        <f>HYPERLINK("https://klasma.github.io/Logging_2580/tillsyn/A 59395-2024 tillsynsbegäran.docx", "A 59395-2024")</f>
        <v/>
      </c>
      <c r="Y70">
        <f>HYPERLINK("https://klasma.github.io/Logging_2580/tillsynsmail/A 59395-2024 tillsynsbegäran mail.docx", "A 59395-2024")</f>
        <v/>
      </c>
    </row>
    <row r="71" ht="15" customHeight="1">
      <c r="A71" t="inlineStr">
        <is>
          <t>A 60002-2024</t>
        </is>
      </c>
      <c r="B71" s="1" t="n">
        <v>45642</v>
      </c>
      <c r="C71" s="1" t="n">
        <v>45821</v>
      </c>
      <c r="D71" t="inlineStr">
        <is>
          <t>NORRBOTTENS LÄN</t>
        </is>
      </c>
      <c r="E71" t="inlineStr">
        <is>
          <t>LULEÅ</t>
        </is>
      </c>
      <c r="G71" t="n">
        <v>5</v>
      </c>
      <c r="H71" t="n">
        <v>1</v>
      </c>
      <c r="I71" t="n">
        <v>0</v>
      </c>
      <c r="J71" t="n">
        <v>0</v>
      </c>
      <c r="K71" t="n">
        <v>0</v>
      </c>
      <c r="L71" t="n">
        <v>0</v>
      </c>
      <c r="M71" t="n">
        <v>0</v>
      </c>
      <c r="N71" t="n">
        <v>0</v>
      </c>
      <c r="O71" t="n">
        <v>0</v>
      </c>
      <c r="P71" t="n">
        <v>0</v>
      </c>
      <c r="Q71" t="n">
        <v>1</v>
      </c>
      <c r="R71" s="2" t="inlineStr">
        <is>
          <t>Fläcknycklar</t>
        </is>
      </c>
      <c r="S71">
        <f>HYPERLINK("https://klasma.github.io/Logging_2580/artfynd/A 60002-2024 artfynd.xlsx", "A 60002-2024")</f>
        <v/>
      </c>
      <c r="T71">
        <f>HYPERLINK("https://klasma.github.io/Logging_2580/kartor/A 60002-2024 karta.png", "A 60002-2024")</f>
        <v/>
      </c>
      <c r="V71">
        <f>HYPERLINK("https://klasma.github.io/Logging_2580/klagomål/A 60002-2024 FSC-klagomål.docx", "A 60002-2024")</f>
        <v/>
      </c>
      <c r="W71">
        <f>HYPERLINK("https://klasma.github.io/Logging_2580/klagomålsmail/A 60002-2024 FSC-klagomål mail.docx", "A 60002-2024")</f>
        <v/>
      </c>
      <c r="X71">
        <f>HYPERLINK("https://klasma.github.io/Logging_2580/tillsyn/A 60002-2024 tillsynsbegäran.docx", "A 60002-2024")</f>
        <v/>
      </c>
      <c r="Y71">
        <f>HYPERLINK("https://klasma.github.io/Logging_2580/tillsynsmail/A 60002-2024 tillsynsbegäran mail.docx", "A 60002-2024")</f>
        <v/>
      </c>
    </row>
    <row r="72" ht="15" customHeight="1">
      <c r="A72" t="inlineStr">
        <is>
          <t>A 739-2025</t>
        </is>
      </c>
      <c r="B72" s="1" t="n">
        <v>45664</v>
      </c>
      <c r="C72" s="1" t="n">
        <v>45821</v>
      </c>
      <c r="D72" t="inlineStr">
        <is>
          <t>NORRBOTTENS LÄN</t>
        </is>
      </c>
      <c r="E72" t="inlineStr">
        <is>
          <t>LULEÅ</t>
        </is>
      </c>
      <c r="G72" t="n">
        <v>1.8</v>
      </c>
      <c r="H72" t="n">
        <v>0</v>
      </c>
      <c r="I72" t="n">
        <v>0</v>
      </c>
      <c r="J72" t="n">
        <v>1</v>
      </c>
      <c r="K72" t="n">
        <v>0</v>
      </c>
      <c r="L72" t="n">
        <v>0</v>
      </c>
      <c r="M72" t="n">
        <v>0</v>
      </c>
      <c r="N72" t="n">
        <v>0</v>
      </c>
      <c r="O72" t="n">
        <v>1</v>
      </c>
      <c r="P72" t="n">
        <v>0</v>
      </c>
      <c r="Q72" t="n">
        <v>1</v>
      </c>
      <c r="R72" s="2" t="inlineStr">
        <is>
          <t>Garnlav</t>
        </is>
      </c>
      <c r="S72">
        <f>HYPERLINK("https://klasma.github.io/Logging_2580/artfynd/A 739-2025 artfynd.xlsx", "A 739-2025")</f>
        <v/>
      </c>
      <c r="T72">
        <f>HYPERLINK("https://klasma.github.io/Logging_2580/kartor/A 739-2025 karta.png", "A 739-2025")</f>
        <v/>
      </c>
      <c r="U72">
        <f>HYPERLINK("https://klasma.github.io/Logging_2580/knärot/A 739-2025 karta knärot.png", "A 739-2025")</f>
        <v/>
      </c>
      <c r="V72">
        <f>HYPERLINK("https://klasma.github.io/Logging_2580/klagomål/A 739-2025 FSC-klagomål.docx", "A 739-2025")</f>
        <v/>
      </c>
      <c r="W72">
        <f>HYPERLINK("https://klasma.github.io/Logging_2580/klagomålsmail/A 739-2025 FSC-klagomål mail.docx", "A 739-2025")</f>
        <v/>
      </c>
      <c r="X72">
        <f>HYPERLINK("https://klasma.github.io/Logging_2580/tillsyn/A 739-2025 tillsynsbegäran.docx", "A 739-2025")</f>
        <v/>
      </c>
      <c r="Y72">
        <f>HYPERLINK("https://klasma.github.io/Logging_2580/tillsynsmail/A 739-2025 tillsynsbegäran mail.docx", "A 739-2025")</f>
        <v/>
      </c>
    </row>
    <row r="73" ht="15" customHeight="1">
      <c r="A73" t="inlineStr">
        <is>
          <t>A 733-2025</t>
        </is>
      </c>
      <c r="B73" s="1" t="n">
        <v>45664</v>
      </c>
      <c r="C73" s="1" t="n">
        <v>45821</v>
      </c>
      <c r="D73" t="inlineStr">
        <is>
          <t>NORRBOTTENS LÄN</t>
        </is>
      </c>
      <c r="E73" t="inlineStr">
        <is>
          <t>LULEÅ</t>
        </is>
      </c>
      <c r="G73" t="n">
        <v>0.8</v>
      </c>
      <c r="H73" t="n">
        <v>0</v>
      </c>
      <c r="I73" t="n">
        <v>0</v>
      </c>
      <c r="J73" t="n">
        <v>1</v>
      </c>
      <c r="K73" t="n">
        <v>0</v>
      </c>
      <c r="L73" t="n">
        <v>0</v>
      </c>
      <c r="M73" t="n">
        <v>0</v>
      </c>
      <c r="N73" t="n">
        <v>0</v>
      </c>
      <c r="O73" t="n">
        <v>1</v>
      </c>
      <c r="P73" t="n">
        <v>0</v>
      </c>
      <c r="Q73" t="n">
        <v>1</v>
      </c>
      <c r="R73" s="2" t="inlineStr">
        <is>
          <t>Gränsticka</t>
        </is>
      </c>
      <c r="S73">
        <f>HYPERLINK("https://klasma.github.io/Logging_2580/artfynd/A 733-2025 artfynd.xlsx", "A 733-2025")</f>
        <v/>
      </c>
      <c r="T73">
        <f>HYPERLINK("https://klasma.github.io/Logging_2580/kartor/A 733-2025 karta.png", "A 733-2025")</f>
        <v/>
      </c>
      <c r="V73">
        <f>HYPERLINK("https://klasma.github.io/Logging_2580/klagomål/A 733-2025 FSC-klagomål.docx", "A 733-2025")</f>
        <v/>
      </c>
      <c r="W73">
        <f>HYPERLINK("https://klasma.github.io/Logging_2580/klagomålsmail/A 733-2025 FSC-klagomål mail.docx", "A 733-2025")</f>
        <v/>
      </c>
      <c r="X73">
        <f>HYPERLINK("https://klasma.github.io/Logging_2580/tillsyn/A 733-2025 tillsynsbegäran.docx", "A 733-2025")</f>
        <v/>
      </c>
      <c r="Y73">
        <f>HYPERLINK("https://klasma.github.io/Logging_2580/tillsynsmail/A 733-2025 tillsynsbegäran mail.docx", "A 733-2025")</f>
        <v/>
      </c>
    </row>
    <row r="74" ht="15" customHeight="1">
      <c r="A74" t="inlineStr">
        <is>
          <t>A 3578-2025</t>
        </is>
      </c>
      <c r="B74" s="1" t="n">
        <v>45680</v>
      </c>
      <c r="C74" s="1" t="n">
        <v>45821</v>
      </c>
      <c r="D74" t="inlineStr">
        <is>
          <t>NORRBOTTENS LÄN</t>
        </is>
      </c>
      <c r="E74" t="inlineStr">
        <is>
          <t>LULEÅ</t>
        </is>
      </c>
      <c r="G74" t="n">
        <v>3.7</v>
      </c>
      <c r="H74" t="n">
        <v>1</v>
      </c>
      <c r="I74" t="n">
        <v>0</v>
      </c>
      <c r="J74" t="n">
        <v>1</v>
      </c>
      <c r="K74" t="n">
        <v>0</v>
      </c>
      <c r="L74" t="n">
        <v>0</v>
      </c>
      <c r="M74" t="n">
        <v>0</v>
      </c>
      <c r="N74" t="n">
        <v>0</v>
      </c>
      <c r="O74" t="n">
        <v>1</v>
      </c>
      <c r="P74" t="n">
        <v>0</v>
      </c>
      <c r="Q74" t="n">
        <v>1</v>
      </c>
      <c r="R74" s="2" t="inlineStr">
        <is>
          <t>Spillkråka</t>
        </is>
      </c>
      <c r="S74">
        <f>HYPERLINK("https://klasma.github.io/Logging_2580/artfynd/A 3578-2025 artfynd.xlsx", "A 3578-2025")</f>
        <v/>
      </c>
      <c r="T74">
        <f>HYPERLINK("https://klasma.github.io/Logging_2580/kartor/A 3578-2025 karta.png", "A 3578-2025")</f>
        <v/>
      </c>
      <c r="V74">
        <f>HYPERLINK("https://klasma.github.io/Logging_2580/klagomål/A 3578-2025 FSC-klagomål.docx", "A 3578-2025")</f>
        <v/>
      </c>
      <c r="W74">
        <f>HYPERLINK("https://klasma.github.io/Logging_2580/klagomålsmail/A 3578-2025 FSC-klagomål mail.docx", "A 3578-2025")</f>
        <v/>
      </c>
      <c r="X74">
        <f>HYPERLINK("https://klasma.github.io/Logging_2580/tillsyn/A 3578-2025 tillsynsbegäran.docx", "A 3578-2025")</f>
        <v/>
      </c>
      <c r="Y74">
        <f>HYPERLINK("https://klasma.github.io/Logging_2580/tillsynsmail/A 3578-2025 tillsynsbegäran mail.docx", "A 3578-2025")</f>
        <v/>
      </c>
      <c r="Z74">
        <f>HYPERLINK("https://klasma.github.io/Logging_2580/fåglar/A 3578-2025 prioriterade fågelarter.docx", "A 3578-2025")</f>
        <v/>
      </c>
    </row>
    <row r="75" ht="15" customHeight="1">
      <c r="A75" t="inlineStr">
        <is>
          <t>A 4346-2025</t>
        </is>
      </c>
      <c r="B75" s="1" t="n">
        <v>45685</v>
      </c>
      <c r="C75" s="1" t="n">
        <v>45821</v>
      </c>
      <c r="D75" t="inlineStr">
        <is>
          <t>NORRBOTTENS LÄN</t>
        </is>
      </c>
      <c r="E75" t="inlineStr">
        <is>
          <t>LULEÅ</t>
        </is>
      </c>
      <c r="G75" t="n">
        <v>12.3</v>
      </c>
      <c r="H75" t="n">
        <v>0</v>
      </c>
      <c r="I75" t="n">
        <v>0</v>
      </c>
      <c r="J75" t="n">
        <v>1</v>
      </c>
      <c r="K75" t="n">
        <v>0</v>
      </c>
      <c r="L75" t="n">
        <v>0</v>
      </c>
      <c r="M75" t="n">
        <v>0</v>
      </c>
      <c r="N75" t="n">
        <v>0</v>
      </c>
      <c r="O75" t="n">
        <v>1</v>
      </c>
      <c r="P75" t="n">
        <v>0</v>
      </c>
      <c r="Q75" t="n">
        <v>1</v>
      </c>
      <c r="R75" s="2" t="inlineStr">
        <is>
          <t>Garnlav</t>
        </is>
      </c>
      <c r="S75">
        <f>HYPERLINK("https://klasma.github.io/Logging_2580/artfynd/A 4346-2025 artfynd.xlsx", "A 4346-2025")</f>
        <v/>
      </c>
      <c r="T75">
        <f>HYPERLINK("https://klasma.github.io/Logging_2580/kartor/A 4346-2025 karta.png", "A 4346-2025")</f>
        <v/>
      </c>
      <c r="V75">
        <f>HYPERLINK("https://klasma.github.io/Logging_2580/klagomål/A 4346-2025 FSC-klagomål.docx", "A 4346-2025")</f>
        <v/>
      </c>
      <c r="W75">
        <f>HYPERLINK("https://klasma.github.io/Logging_2580/klagomålsmail/A 4346-2025 FSC-klagomål mail.docx", "A 4346-2025")</f>
        <v/>
      </c>
      <c r="X75">
        <f>HYPERLINK("https://klasma.github.io/Logging_2580/tillsyn/A 4346-2025 tillsynsbegäran.docx", "A 4346-2025")</f>
        <v/>
      </c>
      <c r="Y75">
        <f>HYPERLINK("https://klasma.github.io/Logging_2580/tillsynsmail/A 4346-2025 tillsynsbegäran mail.docx", "A 4346-2025")</f>
        <v/>
      </c>
    </row>
    <row r="76" ht="15" customHeight="1">
      <c r="A76" t="inlineStr">
        <is>
          <t>A 6923-2025</t>
        </is>
      </c>
      <c r="B76" s="1" t="n">
        <v>45701</v>
      </c>
      <c r="C76" s="1" t="n">
        <v>45821</v>
      </c>
      <c r="D76" t="inlineStr">
        <is>
          <t>NORRBOTTENS LÄN</t>
        </is>
      </c>
      <c r="E76" t="inlineStr">
        <is>
          <t>LULEÅ</t>
        </is>
      </c>
      <c r="F76" t="inlineStr">
        <is>
          <t>SCA</t>
        </is>
      </c>
      <c r="G76" t="n">
        <v>5.2</v>
      </c>
      <c r="H76" t="n">
        <v>0</v>
      </c>
      <c r="I76" t="n">
        <v>0</v>
      </c>
      <c r="J76" t="n">
        <v>1</v>
      </c>
      <c r="K76" t="n">
        <v>0</v>
      </c>
      <c r="L76" t="n">
        <v>0</v>
      </c>
      <c r="M76" t="n">
        <v>0</v>
      </c>
      <c r="N76" t="n">
        <v>0</v>
      </c>
      <c r="O76" t="n">
        <v>1</v>
      </c>
      <c r="P76" t="n">
        <v>0</v>
      </c>
      <c r="Q76" t="n">
        <v>1</v>
      </c>
      <c r="R76" s="2" t="inlineStr">
        <is>
          <t>Tallticka</t>
        </is>
      </c>
      <c r="S76">
        <f>HYPERLINK("https://klasma.github.io/Logging_2580/artfynd/A 6923-2025 artfynd.xlsx", "A 6923-2025")</f>
        <v/>
      </c>
      <c r="T76">
        <f>HYPERLINK("https://klasma.github.io/Logging_2580/kartor/A 6923-2025 karta.png", "A 6923-2025")</f>
        <v/>
      </c>
      <c r="V76">
        <f>HYPERLINK("https://klasma.github.io/Logging_2580/klagomål/A 6923-2025 FSC-klagomål.docx", "A 6923-2025")</f>
        <v/>
      </c>
      <c r="W76">
        <f>HYPERLINK("https://klasma.github.io/Logging_2580/klagomålsmail/A 6923-2025 FSC-klagomål mail.docx", "A 6923-2025")</f>
        <v/>
      </c>
      <c r="X76">
        <f>HYPERLINK("https://klasma.github.io/Logging_2580/tillsyn/A 6923-2025 tillsynsbegäran.docx", "A 6923-2025")</f>
        <v/>
      </c>
      <c r="Y76">
        <f>HYPERLINK("https://klasma.github.io/Logging_2580/tillsynsmail/A 6923-2025 tillsynsbegäran mail.docx", "A 6923-2025")</f>
        <v/>
      </c>
    </row>
    <row r="77" ht="15" customHeight="1">
      <c r="A77" t="inlineStr">
        <is>
          <t>A 17849-2019</t>
        </is>
      </c>
      <c r="B77" s="1" t="n">
        <v>43556</v>
      </c>
      <c r="C77" s="1" t="n">
        <v>45821</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17850-2019</t>
        </is>
      </c>
      <c r="B78" s="1" t="n">
        <v>43556</v>
      </c>
      <c r="C78" s="1" t="n">
        <v>45821</v>
      </c>
      <c r="D78" t="inlineStr">
        <is>
          <t>NORRBOTTENS LÄN</t>
        </is>
      </c>
      <c r="E78" t="inlineStr">
        <is>
          <t>LULEÅ</t>
        </is>
      </c>
      <c r="G78" t="n">
        <v>4.2</v>
      </c>
      <c r="H78" t="n">
        <v>0</v>
      </c>
      <c r="I78" t="n">
        <v>0</v>
      </c>
      <c r="J78" t="n">
        <v>0</v>
      </c>
      <c r="K78" t="n">
        <v>0</v>
      </c>
      <c r="L78" t="n">
        <v>0</v>
      </c>
      <c r="M78" t="n">
        <v>0</v>
      </c>
      <c r="N78" t="n">
        <v>0</v>
      </c>
      <c r="O78" t="n">
        <v>0</v>
      </c>
      <c r="P78" t="n">
        <v>0</v>
      </c>
      <c r="Q78" t="n">
        <v>0</v>
      </c>
      <c r="R78" s="2" t="inlineStr"/>
    </row>
    <row r="79" ht="15" customHeight="1">
      <c r="A79" t="inlineStr">
        <is>
          <t>A 17848-2019</t>
        </is>
      </c>
      <c r="B79" s="1" t="n">
        <v>43556</v>
      </c>
      <c r="C79" s="1" t="n">
        <v>45821</v>
      </c>
      <c r="D79" t="inlineStr">
        <is>
          <t>NORRBOTTENS LÄN</t>
        </is>
      </c>
      <c r="E79" t="inlineStr">
        <is>
          <t>LULEÅ</t>
        </is>
      </c>
      <c r="G79" t="n">
        <v>2.5</v>
      </c>
      <c r="H79" t="n">
        <v>0</v>
      </c>
      <c r="I79" t="n">
        <v>0</v>
      </c>
      <c r="J79" t="n">
        <v>0</v>
      </c>
      <c r="K79" t="n">
        <v>0</v>
      </c>
      <c r="L79" t="n">
        <v>0</v>
      </c>
      <c r="M79" t="n">
        <v>0</v>
      </c>
      <c r="N79" t="n">
        <v>0</v>
      </c>
      <c r="O79" t="n">
        <v>0</v>
      </c>
      <c r="P79" t="n">
        <v>0</v>
      </c>
      <c r="Q79" t="n">
        <v>0</v>
      </c>
      <c r="R79" s="2" t="inlineStr"/>
    </row>
    <row r="80" ht="15" customHeight="1">
      <c r="A80" t="inlineStr">
        <is>
          <t>A 17810-2019</t>
        </is>
      </c>
      <c r="B80" s="1" t="n">
        <v>43556</v>
      </c>
      <c r="C80" s="1" t="n">
        <v>45821</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19262-2019</t>
        </is>
      </c>
      <c r="B81" s="1" t="n">
        <v>43564</v>
      </c>
      <c r="C81" s="1" t="n">
        <v>45821</v>
      </c>
      <c r="D81" t="inlineStr">
        <is>
          <t>NORRBOTTENS LÄN</t>
        </is>
      </c>
      <c r="E81" t="inlineStr">
        <is>
          <t>LULEÅ</t>
        </is>
      </c>
      <c r="G81" t="n">
        <v>1.7</v>
      </c>
      <c r="H81" t="n">
        <v>0</v>
      </c>
      <c r="I81" t="n">
        <v>0</v>
      </c>
      <c r="J81" t="n">
        <v>0</v>
      </c>
      <c r="K81" t="n">
        <v>0</v>
      </c>
      <c r="L81" t="n">
        <v>0</v>
      </c>
      <c r="M81" t="n">
        <v>0</v>
      </c>
      <c r="N81" t="n">
        <v>0</v>
      </c>
      <c r="O81" t="n">
        <v>0</v>
      </c>
      <c r="P81" t="n">
        <v>0</v>
      </c>
      <c r="Q81" t="n">
        <v>0</v>
      </c>
      <c r="R81" s="2" t="inlineStr"/>
    </row>
    <row r="82" ht="15" customHeight="1">
      <c r="A82" t="inlineStr">
        <is>
          <t>A 21079-2019</t>
        </is>
      </c>
      <c r="B82" s="1" t="n">
        <v>43578</v>
      </c>
      <c r="C82" s="1" t="n">
        <v>45821</v>
      </c>
      <c r="D82" t="inlineStr">
        <is>
          <t>NORRBOTTENS LÄN</t>
        </is>
      </c>
      <c r="E82" t="inlineStr">
        <is>
          <t>LULEÅ</t>
        </is>
      </c>
      <c r="G82" t="n">
        <v>0.5</v>
      </c>
      <c r="H82" t="n">
        <v>0</v>
      </c>
      <c r="I82" t="n">
        <v>0</v>
      </c>
      <c r="J82" t="n">
        <v>0</v>
      </c>
      <c r="K82" t="n">
        <v>0</v>
      </c>
      <c r="L82" t="n">
        <v>0</v>
      </c>
      <c r="M82" t="n">
        <v>0</v>
      </c>
      <c r="N82" t="n">
        <v>0</v>
      </c>
      <c r="O82" t="n">
        <v>0</v>
      </c>
      <c r="P82" t="n">
        <v>0</v>
      </c>
      <c r="Q82" t="n">
        <v>0</v>
      </c>
      <c r="R82" s="2" t="inlineStr"/>
    </row>
    <row r="83" ht="15" customHeight="1">
      <c r="A83" t="inlineStr">
        <is>
          <t>A 21547-2019</t>
        </is>
      </c>
      <c r="B83" s="1" t="n">
        <v>43580</v>
      </c>
      <c r="C83" s="1" t="n">
        <v>45821</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21548-2019</t>
        </is>
      </c>
      <c r="B84" s="1" t="n">
        <v>43580</v>
      </c>
      <c r="C84" s="1" t="n">
        <v>45821</v>
      </c>
      <c r="D84" t="inlineStr">
        <is>
          <t>NORRBOTTENS LÄN</t>
        </is>
      </c>
      <c r="E84" t="inlineStr">
        <is>
          <t>LULEÅ</t>
        </is>
      </c>
      <c r="G84" t="n">
        <v>2.9</v>
      </c>
      <c r="H84" t="n">
        <v>0</v>
      </c>
      <c r="I84" t="n">
        <v>0</v>
      </c>
      <c r="J84" t="n">
        <v>0</v>
      </c>
      <c r="K84" t="n">
        <v>0</v>
      </c>
      <c r="L84" t="n">
        <v>0</v>
      </c>
      <c r="M84" t="n">
        <v>0</v>
      </c>
      <c r="N84" t="n">
        <v>0</v>
      </c>
      <c r="O84" t="n">
        <v>0</v>
      </c>
      <c r="P84" t="n">
        <v>0</v>
      </c>
      <c r="Q84" t="n">
        <v>0</v>
      </c>
      <c r="R84" s="2" t="inlineStr"/>
    </row>
    <row r="85" ht="15" customHeight="1">
      <c r="A85" t="inlineStr">
        <is>
          <t>A 21546-2019</t>
        </is>
      </c>
      <c r="B85" s="1" t="n">
        <v>43580</v>
      </c>
      <c r="C85" s="1" t="n">
        <v>45821</v>
      </c>
      <c r="D85" t="inlineStr">
        <is>
          <t>NORRBOTTENS LÄN</t>
        </is>
      </c>
      <c r="E85" t="inlineStr">
        <is>
          <t>LULEÅ</t>
        </is>
      </c>
      <c r="G85" t="n">
        <v>5.1</v>
      </c>
      <c r="H85" t="n">
        <v>0</v>
      </c>
      <c r="I85" t="n">
        <v>0</v>
      </c>
      <c r="J85" t="n">
        <v>0</v>
      </c>
      <c r="K85" t="n">
        <v>0</v>
      </c>
      <c r="L85" t="n">
        <v>0</v>
      </c>
      <c r="M85" t="n">
        <v>0</v>
      </c>
      <c r="N85" t="n">
        <v>0</v>
      </c>
      <c r="O85" t="n">
        <v>0</v>
      </c>
      <c r="P85" t="n">
        <v>0</v>
      </c>
      <c r="Q85" t="n">
        <v>0</v>
      </c>
      <c r="R85" s="2" t="inlineStr"/>
    </row>
    <row r="86" ht="15" customHeight="1">
      <c r="A86" t="inlineStr">
        <is>
          <t>A 21550-2019</t>
        </is>
      </c>
      <c r="B86" s="1" t="n">
        <v>43580</v>
      </c>
      <c r="C86" s="1" t="n">
        <v>45821</v>
      </c>
      <c r="D86" t="inlineStr">
        <is>
          <t>NORRBOTTENS LÄN</t>
        </is>
      </c>
      <c r="E86" t="inlineStr">
        <is>
          <t>LULEÅ</t>
        </is>
      </c>
      <c r="G86" t="n">
        <v>3.3</v>
      </c>
      <c r="H86" t="n">
        <v>0</v>
      </c>
      <c r="I86" t="n">
        <v>0</v>
      </c>
      <c r="J86" t="n">
        <v>0</v>
      </c>
      <c r="K86" t="n">
        <v>0</v>
      </c>
      <c r="L86" t="n">
        <v>0</v>
      </c>
      <c r="M86" t="n">
        <v>0</v>
      </c>
      <c r="N86" t="n">
        <v>0</v>
      </c>
      <c r="O86" t="n">
        <v>0</v>
      </c>
      <c r="P86" t="n">
        <v>0</v>
      </c>
      <c r="Q86" t="n">
        <v>0</v>
      </c>
      <c r="R86" s="2" t="inlineStr"/>
    </row>
    <row r="87" ht="15" customHeight="1">
      <c r="A87" t="inlineStr">
        <is>
          <t>A 21916-2019</t>
        </is>
      </c>
      <c r="B87" s="1" t="n">
        <v>43584</v>
      </c>
      <c r="C87" s="1" t="n">
        <v>45821</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22098-2019</t>
        </is>
      </c>
      <c r="B88" s="1" t="n">
        <v>43584</v>
      </c>
      <c r="C88" s="1" t="n">
        <v>45821</v>
      </c>
      <c r="D88" t="inlineStr">
        <is>
          <t>NORRBOTTENS LÄN</t>
        </is>
      </c>
      <c r="E88" t="inlineStr">
        <is>
          <t>LULEÅ</t>
        </is>
      </c>
      <c r="G88" t="n">
        <v>2.2</v>
      </c>
      <c r="H88" t="n">
        <v>0</v>
      </c>
      <c r="I88" t="n">
        <v>0</v>
      </c>
      <c r="J88" t="n">
        <v>0</v>
      </c>
      <c r="K88" t="n">
        <v>0</v>
      </c>
      <c r="L88" t="n">
        <v>0</v>
      </c>
      <c r="M88" t="n">
        <v>0</v>
      </c>
      <c r="N88" t="n">
        <v>0</v>
      </c>
      <c r="O88" t="n">
        <v>0</v>
      </c>
      <c r="P88" t="n">
        <v>0</v>
      </c>
      <c r="Q88" t="n">
        <v>0</v>
      </c>
      <c r="R88" s="2" t="inlineStr"/>
    </row>
    <row r="89" ht="15" customHeight="1">
      <c r="A89" t="inlineStr">
        <is>
          <t>A 24885-2019</t>
        </is>
      </c>
      <c r="B89" s="1" t="n">
        <v>43599</v>
      </c>
      <c r="C89" s="1" t="n">
        <v>45821</v>
      </c>
      <c r="D89" t="inlineStr">
        <is>
          <t>NORRBOTTENS LÄN</t>
        </is>
      </c>
      <c r="E89" t="inlineStr">
        <is>
          <t>LULEÅ</t>
        </is>
      </c>
      <c r="G89" t="n">
        <v>1.2</v>
      </c>
      <c r="H89" t="n">
        <v>0</v>
      </c>
      <c r="I89" t="n">
        <v>0</v>
      </c>
      <c r="J89" t="n">
        <v>0</v>
      </c>
      <c r="K89" t="n">
        <v>0</v>
      </c>
      <c r="L89" t="n">
        <v>0</v>
      </c>
      <c r="M89" t="n">
        <v>0</v>
      </c>
      <c r="N89" t="n">
        <v>0</v>
      </c>
      <c r="O89" t="n">
        <v>0</v>
      </c>
      <c r="P89" t="n">
        <v>0</v>
      </c>
      <c r="Q89" t="n">
        <v>0</v>
      </c>
      <c r="R89" s="2" t="inlineStr"/>
    </row>
    <row r="90" ht="15" customHeight="1">
      <c r="A90" t="inlineStr">
        <is>
          <t>A 25208-2019</t>
        </is>
      </c>
      <c r="B90" s="1" t="n">
        <v>43605</v>
      </c>
      <c r="C90" s="1" t="n">
        <v>45821</v>
      </c>
      <c r="D90" t="inlineStr">
        <is>
          <t>NORRBOTTENS LÄN</t>
        </is>
      </c>
      <c r="E90" t="inlineStr">
        <is>
          <t>LULEÅ</t>
        </is>
      </c>
      <c r="G90" t="n">
        <v>25.8</v>
      </c>
      <c r="H90" t="n">
        <v>0</v>
      </c>
      <c r="I90" t="n">
        <v>0</v>
      </c>
      <c r="J90" t="n">
        <v>0</v>
      </c>
      <c r="K90" t="n">
        <v>0</v>
      </c>
      <c r="L90" t="n">
        <v>0</v>
      </c>
      <c r="M90" t="n">
        <v>0</v>
      </c>
      <c r="N90" t="n">
        <v>0</v>
      </c>
      <c r="O90" t="n">
        <v>0</v>
      </c>
      <c r="P90" t="n">
        <v>0</v>
      </c>
      <c r="Q90" t="n">
        <v>0</v>
      </c>
      <c r="R90" s="2" t="inlineStr"/>
    </row>
    <row r="91" ht="15" customHeight="1">
      <c r="A91" t="inlineStr">
        <is>
          <t>A 25212-2019</t>
        </is>
      </c>
      <c r="B91" s="1" t="n">
        <v>43605</v>
      </c>
      <c r="C91" s="1" t="n">
        <v>45821</v>
      </c>
      <c r="D91" t="inlineStr">
        <is>
          <t>NORRBOTTENS LÄN</t>
        </is>
      </c>
      <c r="E91" t="inlineStr">
        <is>
          <t>LULEÅ</t>
        </is>
      </c>
      <c r="G91" t="n">
        <v>10.4</v>
      </c>
      <c r="H91" t="n">
        <v>0</v>
      </c>
      <c r="I91" t="n">
        <v>0</v>
      </c>
      <c r="J91" t="n">
        <v>0</v>
      </c>
      <c r="K91" t="n">
        <v>0</v>
      </c>
      <c r="L91" t="n">
        <v>0</v>
      </c>
      <c r="M91" t="n">
        <v>0</v>
      </c>
      <c r="N91" t="n">
        <v>0</v>
      </c>
      <c r="O91" t="n">
        <v>0</v>
      </c>
      <c r="P91" t="n">
        <v>0</v>
      </c>
      <c r="Q91" t="n">
        <v>0</v>
      </c>
      <c r="R91" s="2" t="inlineStr"/>
    </row>
    <row r="92" ht="15" customHeight="1">
      <c r="A92" t="inlineStr">
        <is>
          <t>A 29037-2019</t>
        </is>
      </c>
      <c r="B92" s="1" t="n">
        <v>43620</v>
      </c>
      <c r="C92" s="1" t="n">
        <v>45821</v>
      </c>
      <c r="D92" t="inlineStr">
        <is>
          <t>NORRBOTTENS LÄN</t>
        </is>
      </c>
      <c r="E92" t="inlineStr">
        <is>
          <t>LULEÅ</t>
        </is>
      </c>
      <c r="G92" t="n">
        <v>3.7</v>
      </c>
      <c r="H92" t="n">
        <v>0</v>
      </c>
      <c r="I92" t="n">
        <v>0</v>
      </c>
      <c r="J92" t="n">
        <v>0</v>
      </c>
      <c r="K92" t="n">
        <v>0</v>
      </c>
      <c r="L92" t="n">
        <v>0</v>
      </c>
      <c r="M92" t="n">
        <v>0</v>
      </c>
      <c r="N92" t="n">
        <v>0</v>
      </c>
      <c r="O92" t="n">
        <v>0</v>
      </c>
      <c r="P92" t="n">
        <v>0</v>
      </c>
      <c r="Q92" t="n">
        <v>0</v>
      </c>
      <c r="R92" s="2" t="inlineStr"/>
    </row>
    <row r="93" ht="15" customHeight="1">
      <c r="A93" t="inlineStr">
        <is>
          <t>A 28286-2019</t>
        </is>
      </c>
      <c r="B93" s="1" t="n">
        <v>43623</v>
      </c>
      <c r="C93" s="1" t="n">
        <v>45821</v>
      </c>
      <c r="D93" t="inlineStr">
        <is>
          <t>NORRBOTTENS LÄN</t>
        </is>
      </c>
      <c r="E93" t="inlineStr">
        <is>
          <t>LULEÅ</t>
        </is>
      </c>
      <c r="F93" t="inlineStr">
        <is>
          <t>Kyrkan</t>
        </is>
      </c>
      <c r="G93" t="n">
        <v>1.9</v>
      </c>
      <c r="H93" t="n">
        <v>0</v>
      </c>
      <c r="I93" t="n">
        <v>0</v>
      </c>
      <c r="J93" t="n">
        <v>0</v>
      </c>
      <c r="K93" t="n">
        <v>0</v>
      </c>
      <c r="L93" t="n">
        <v>0</v>
      </c>
      <c r="M93" t="n">
        <v>0</v>
      </c>
      <c r="N93" t="n">
        <v>0</v>
      </c>
      <c r="O93" t="n">
        <v>0</v>
      </c>
      <c r="P93" t="n">
        <v>0</v>
      </c>
      <c r="Q93" t="n">
        <v>0</v>
      </c>
      <c r="R93" s="2" t="inlineStr"/>
    </row>
    <row r="94" ht="15" customHeight="1">
      <c r="A94" t="inlineStr">
        <is>
          <t>A 28292-2019</t>
        </is>
      </c>
      <c r="B94" s="1" t="n">
        <v>43623</v>
      </c>
      <c r="C94" s="1" t="n">
        <v>45821</v>
      </c>
      <c r="D94" t="inlineStr">
        <is>
          <t>NORRBOTTENS LÄN</t>
        </is>
      </c>
      <c r="E94" t="inlineStr">
        <is>
          <t>LULEÅ</t>
        </is>
      </c>
      <c r="F94" t="inlineStr">
        <is>
          <t>Kyrkan</t>
        </is>
      </c>
      <c r="G94" t="n">
        <v>2.9</v>
      </c>
      <c r="H94" t="n">
        <v>0</v>
      </c>
      <c r="I94" t="n">
        <v>0</v>
      </c>
      <c r="J94" t="n">
        <v>0</v>
      </c>
      <c r="K94" t="n">
        <v>0</v>
      </c>
      <c r="L94" t="n">
        <v>0</v>
      </c>
      <c r="M94" t="n">
        <v>0</v>
      </c>
      <c r="N94" t="n">
        <v>0</v>
      </c>
      <c r="O94" t="n">
        <v>0</v>
      </c>
      <c r="P94" t="n">
        <v>0</v>
      </c>
      <c r="Q94" t="n">
        <v>0</v>
      </c>
      <c r="R94" s="2" t="inlineStr"/>
    </row>
    <row r="95" ht="15" customHeight="1">
      <c r="A95" t="inlineStr">
        <is>
          <t>A 30202-2019</t>
        </is>
      </c>
      <c r="B95" s="1" t="n">
        <v>43634</v>
      </c>
      <c r="C95" s="1" t="n">
        <v>45821</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30543-2019</t>
        </is>
      </c>
      <c r="B96" s="1" t="n">
        <v>43635</v>
      </c>
      <c r="C96" s="1" t="n">
        <v>45821</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33452-2019</t>
        </is>
      </c>
      <c r="B97" s="1" t="n">
        <v>43650</v>
      </c>
      <c r="C97" s="1" t="n">
        <v>45821</v>
      </c>
      <c r="D97" t="inlineStr">
        <is>
          <t>NORRBOTTENS LÄN</t>
        </is>
      </c>
      <c r="E97" t="inlineStr">
        <is>
          <t>LULEÅ</t>
        </is>
      </c>
      <c r="G97" t="n">
        <v>2.5</v>
      </c>
      <c r="H97" t="n">
        <v>0</v>
      </c>
      <c r="I97" t="n">
        <v>0</v>
      </c>
      <c r="J97" t="n">
        <v>0</v>
      </c>
      <c r="K97" t="n">
        <v>0</v>
      </c>
      <c r="L97" t="n">
        <v>0</v>
      </c>
      <c r="M97" t="n">
        <v>0</v>
      </c>
      <c r="N97" t="n">
        <v>0</v>
      </c>
      <c r="O97" t="n">
        <v>0</v>
      </c>
      <c r="P97" t="n">
        <v>0</v>
      </c>
      <c r="Q97" t="n">
        <v>0</v>
      </c>
      <c r="R97" s="2" t="inlineStr"/>
    </row>
    <row r="98" ht="15" customHeight="1">
      <c r="A98" t="inlineStr">
        <is>
          <t>A 38704-2019</t>
        </is>
      </c>
      <c r="B98" s="1" t="n">
        <v>43684</v>
      </c>
      <c r="C98" s="1" t="n">
        <v>45821</v>
      </c>
      <c r="D98" t="inlineStr">
        <is>
          <t>NORRBOTTENS LÄN</t>
        </is>
      </c>
      <c r="E98" t="inlineStr">
        <is>
          <t>LULEÅ</t>
        </is>
      </c>
      <c r="G98" t="n">
        <v>2.8</v>
      </c>
      <c r="H98" t="n">
        <v>0</v>
      </c>
      <c r="I98" t="n">
        <v>0</v>
      </c>
      <c r="J98" t="n">
        <v>0</v>
      </c>
      <c r="K98" t="n">
        <v>0</v>
      </c>
      <c r="L98" t="n">
        <v>0</v>
      </c>
      <c r="M98" t="n">
        <v>0</v>
      </c>
      <c r="N98" t="n">
        <v>0</v>
      </c>
      <c r="O98" t="n">
        <v>0</v>
      </c>
      <c r="P98" t="n">
        <v>0</v>
      </c>
      <c r="Q98" t="n">
        <v>0</v>
      </c>
      <c r="R98" s="2" t="inlineStr"/>
    </row>
    <row r="99" ht="15" customHeight="1">
      <c r="A99" t="inlineStr">
        <is>
          <t>A 41091-2019</t>
        </is>
      </c>
      <c r="B99" s="1" t="n">
        <v>43693</v>
      </c>
      <c r="C99" s="1" t="n">
        <v>45821</v>
      </c>
      <c r="D99" t="inlineStr">
        <is>
          <t>NORRBOTTENS LÄN</t>
        </is>
      </c>
      <c r="E99" t="inlineStr">
        <is>
          <t>LULEÅ</t>
        </is>
      </c>
      <c r="G99" t="n">
        <v>4.3</v>
      </c>
      <c r="H99" t="n">
        <v>0</v>
      </c>
      <c r="I99" t="n">
        <v>0</v>
      </c>
      <c r="J99" t="n">
        <v>0</v>
      </c>
      <c r="K99" t="n">
        <v>0</v>
      </c>
      <c r="L99" t="n">
        <v>0</v>
      </c>
      <c r="M99" t="n">
        <v>0</v>
      </c>
      <c r="N99" t="n">
        <v>0</v>
      </c>
      <c r="O99" t="n">
        <v>0</v>
      </c>
      <c r="P99" t="n">
        <v>0</v>
      </c>
      <c r="Q99" t="n">
        <v>0</v>
      </c>
      <c r="R99" s="2" t="inlineStr"/>
    </row>
    <row r="100" ht="15" customHeight="1">
      <c r="A100" t="inlineStr">
        <is>
          <t>A 42782-2019</t>
        </is>
      </c>
      <c r="B100" s="1" t="n">
        <v>43704</v>
      </c>
      <c r="C100" s="1" t="n">
        <v>45821</v>
      </c>
      <c r="D100" t="inlineStr">
        <is>
          <t>NORRBOTTENS LÄN</t>
        </is>
      </c>
      <c r="E100" t="inlineStr">
        <is>
          <t>LULEÅ</t>
        </is>
      </c>
      <c r="F100" t="inlineStr">
        <is>
          <t>SCA</t>
        </is>
      </c>
      <c r="G100" t="n">
        <v>4.7</v>
      </c>
      <c r="H100" t="n">
        <v>0</v>
      </c>
      <c r="I100" t="n">
        <v>0</v>
      </c>
      <c r="J100" t="n">
        <v>0</v>
      </c>
      <c r="K100" t="n">
        <v>0</v>
      </c>
      <c r="L100" t="n">
        <v>0</v>
      </c>
      <c r="M100" t="n">
        <v>0</v>
      </c>
      <c r="N100" t="n">
        <v>0</v>
      </c>
      <c r="O100" t="n">
        <v>0</v>
      </c>
      <c r="P100" t="n">
        <v>0</v>
      </c>
      <c r="Q100" t="n">
        <v>0</v>
      </c>
      <c r="R100" s="2" t="inlineStr"/>
    </row>
    <row r="101" ht="15" customHeight="1">
      <c r="A101" t="inlineStr">
        <is>
          <t>A 42780-2019</t>
        </is>
      </c>
      <c r="B101" s="1" t="n">
        <v>43704</v>
      </c>
      <c r="C101" s="1" t="n">
        <v>45821</v>
      </c>
      <c r="D101" t="inlineStr">
        <is>
          <t>NORRBOTTENS LÄN</t>
        </is>
      </c>
      <c r="E101" t="inlineStr">
        <is>
          <t>LULEÅ</t>
        </is>
      </c>
      <c r="F101" t="inlineStr">
        <is>
          <t>SCA</t>
        </is>
      </c>
      <c r="G101" t="n">
        <v>3.1</v>
      </c>
      <c r="H101" t="n">
        <v>0</v>
      </c>
      <c r="I101" t="n">
        <v>0</v>
      </c>
      <c r="J101" t="n">
        <v>0</v>
      </c>
      <c r="K101" t="n">
        <v>0</v>
      </c>
      <c r="L101" t="n">
        <v>0</v>
      </c>
      <c r="M101" t="n">
        <v>0</v>
      </c>
      <c r="N101" t="n">
        <v>0</v>
      </c>
      <c r="O101" t="n">
        <v>0</v>
      </c>
      <c r="P101" t="n">
        <v>0</v>
      </c>
      <c r="Q101" t="n">
        <v>0</v>
      </c>
      <c r="R101" s="2" t="inlineStr"/>
    </row>
    <row r="102" ht="15" customHeight="1">
      <c r="A102" t="inlineStr">
        <is>
          <t>A 44365-2019</t>
        </is>
      </c>
      <c r="B102" s="1" t="n">
        <v>43711</v>
      </c>
      <c r="C102" s="1" t="n">
        <v>45821</v>
      </c>
      <c r="D102" t="inlineStr">
        <is>
          <t>NORRBOTTENS LÄN</t>
        </is>
      </c>
      <c r="E102" t="inlineStr">
        <is>
          <t>LULEÅ</t>
        </is>
      </c>
      <c r="G102" t="n">
        <v>4</v>
      </c>
      <c r="H102" t="n">
        <v>0</v>
      </c>
      <c r="I102" t="n">
        <v>0</v>
      </c>
      <c r="J102" t="n">
        <v>0</v>
      </c>
      <c r="K102" t="n">
        <v>0</v>
      </c>
      <c r="L102" t="n">
        <v>0</v>
      </c>
      <c r="M102" t="n">
        <v>0</v>
      </c>
      <c r="N102" t="n">
        <v>0</v>
      </c>
      <c r="O102" t="n">
        <v>0</v>
      </c>
      <c r="P102" t="n">
        <v>0</v>
      </c>
      <c r="Q102" t="n">
        <v>0</v>
      </c>
      <c r="R102" s="2" t="inlineStr"/>
    </row>
    <row r="103" ht="15" customHeight="1">
      <c r="A103" t="inlineStr">
        <is>
          <t>A 45252-2019</t>
        </is>
      </c>
      <c r="B103" s="1" t="n">
        <v>43713</v>
      </c>
      <c r="C103" s="1" t="n">
        <v>45821</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45482-2019</t>
        </is>
      </c>
      <c r="B104" s="1" t="n">
        <v>43713</v>
      </c>
      <c r="C104" s="1" t="n">
        <v>45821</v>
      </c>
      <c r="D104" t="inlineStr">
        <is>
          <t>NORRBOTTENS LÄN</t>
        </is>
      </c>
      <c r="E104" t="inlineStr">
        <is>
          <t>LULEÅ</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46780-2019</t>
        </is>
      </c>
      <c r="B105" s="1" t="n">
        <v>43718</v>
      </c>
      <c r="C105" s="1" t="n">
        <v>45821</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47405-2019</t>
        </is>
      </c>
      <c r="B106" s="1" t="n">
        <v>43722</v>
      </c>
      <c r="C106" s="1" t="n">
        <v>45821</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49751-2019</t>
        </is>
      </c>
      <c r="B107" s="1" t="n">
        <v>43733</v>
      </c>
      <c r="C107" s="1" t="n">
        <v>45821</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49886-2019</t>
        </is>
      </c>
      <c r="B108" s="1" t="n">
        <v>43733</v>
      </c>
      <c r="C108" s="1" t="n">
        <v>45821</v>
      </c>
      <c r="D108" t="inlineStr">
        <is>
          <t>NORRBOTTENS LÄN</t>
        </is>
      </c>
      <c r="E108" t="inlineStr">
        <is>
          <t>LULEÅ</t>
        </is>
      </c>
      <c r="G108" t="n">
        <v>2.7</v>
      </c>
      <c r="H108" t="n">
        <v>0</v>
      </c>
      <c r="I108" t="n">
        <v>0</v>
      </c>
      <c r="J108" t="n">
        <v>0</v>
      </c>
      <c r="K108" t="n">
        <v>0</v>
      </c>
      <c r="L108" t="n">
        <v>0</v>
      </c>
      <c r="M108" t="n">
        <v>0</v>
      </c>
      <c r="N108" t="n">
        <v>0</v>
      </c>
      <c r="O108" t="n">
        <v>0</v>
      </c>
      <c r="P108" t="n">
        <v>0</v>
      </c>
      <c r="Q108" t="n">
        <v>0</v>
      </c>
      <c r="R108" s="2" t="inlineStr"/>
    </row>
    <row r="109" ht="15" customHeight="1">
      <c r="A109" t="inlineStr">
        <is>
          <t>A 49916-2019</t>
        </is>
      </c>
      <c r="B109" s="1" t="n">
        <v>43733</v>
      </c>
      <c r="C109" s="1" t="n">
        <v>45821</v>
      </c>
      <c r="D109" t="inlineStr">
        <is>
          <t>NORRBOTTENS LÄN</t>
        </is>
      </c>
      <c r="E109" t="inlineStr">
        <is>
          <t>LULEÅ</t>
        </is>
      </c>
      <c r="G109" t="n">
        <v>0.8</v>
      </c>
      <c r="H109" t="n">
        <v>0</v>
      </c>
      <c r="I109" t="n">
        <v>0</v>
      </c>
      <c r="J109" t="n">
        <v>0</v>
      </c>
      <c r="K109" t="n">
        <v>0</v>
      </c>
      <c r="L109" t="n">
        <v>0</v>
      </c>
      <c r="M109" t="n">
        <v>0</v>
      </c>
      <c r="N109" t="n">
        <v>0</v>
      </c>
      <c r="O109" t="n">
        <v>0</v>
      </c>
      <c r="P109" t="n">
        <v>0</v>
      </c>
      <c r="Q109" t="n">
        <v>0</v>
      </c>
      <c r="R109" s="2" t="inlineStr"/>
    </row>
    <row r="110" ht="15" customHeight="1">
      <c r="A110" t="inlineStr">
        <is>
          <t>A 51694-2019</t>
        </is>
      </c>
      <c r="B110" s="1" t="n">
        <v>43740</v>
      </c>
      <c r="C110" s="1" t="n">
        <v>45821</v>
      </c>
      <c r="D110" t="inlineStr">
        <is>
          <t>NORRBOTTENS LÄN</t>
        </is>
      </c>
      <c r="E110" t="inlineStr">
        <is>
          <t>LULEÅ</t>
        </is>
      </c>
      <c r="F110" t="inlineStr">
        <is>
          <t>SCA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52917-2019</t>
        </is>
      </c>
      <c r="B111" s="1" t="n">
        <v>43746</v>
      </c>
      <c r="C111" s="1" t="n">
        <v>45821</v>
      </c>
      <c r="D111" t="inlineStr">
        <is>
          <t>NORRBOTTENS LÄN</t>
        </is>
      </c>
      <c r="E111" t="inlineStr">
        <is>
          <t>LULEÅ</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53365-2019</t>
        </is>
      </c>
      <c r="B112" s="1" t="n">
        <v>43748</v>
      </c>
      <c r="C112" s="1" t="n">
        <v>45821</v>
      </c>
      <c r="D112" t="inlineStr">
        <is>
          <t>NORRBOTTENS LÄN</t>
        </is>
      </c>
      <c r="E112" t="inlineStr">
        <is>
          <t>LULEÅ</t>
        </is>
      </c>
      <c r="G112" t="n">
        <v>9.300000000000001</v>
      </c>
      <c r="H112" t="n">
        <v>0</v>
      </c>
      <c r="I112" t="n">
        <v>0</v>
      </c>
      <c r="J112" t="n">
        <v>0</v>
      </c>
      <c r="K112" t="n">
        <v>0</v>
      </c>
      <c r="L112" t="n">
        <v>0</v>
      </c>
      <c r="M112" t="n">
        <v>0</v>
      </c>
      <c r="N112" t="n">
        <v>0</v>
      </c>
      <c r="O112" t="n">
        <v>0</v>
      </c>
      <c r="P112" t="n">
        <v>0</v>
      </c>
      <c r="Q112" t="n">
        <v>0</v>
      </c>
      <c r="R112" s="2" t="inlineStr"/>
    </row>
    <row r="113" ht="15" customHeight="1">
      <c r="A113" t="inlineStr">
        <is>
          <t>A 54203-2019</t>
        </is>
      </c>
      <c r="B113" s="1" t="n">
        <v>43753</v>
      </c>
      <c r="C113" s="1" t="n">
        <v>45821</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57724-2019</t>
        </is>
      </c>
      <c r="B114" s="1" t="n">
        <v>43761</v>
      </c>
      <c r="C114" s="1" t="n">
        <v>45821</v>
      </c>
      <c r="D114" t="inlineStr">
        <is>
          <t>NORRBOTTENS LÄN</t>
        </is>
      </c>
      <c r="E114" t="inlineStr">
        <is>
          <t>LULEÅ</t>
        </is>
      </c>
      <c r="G114" t="n">
        <v>14.4</v>
      </c>
      <c r="H114" t="n">
        <v>0</v>
      </c>
      <c r="I114" t="n">
        <v>0</v>
      </c>
      <c r="J114" t="n">
        <v>0</v>
      </c>
      <c r="K114" t="n">
        <v>0</v>
      </c>
      <c r="L114" t="n">
        <v>0</v>
      </c>
      <c r="M114" t="n">
        <v>0</v>
      </c>
      <c r="N114" t="n">
        <v>0</v>
      </c>
      <c r="O114" t="n">
        <v>0</v>
      </c>
      <c r="P114" t="n">
        <v>0</v>
      </c>
      <c r="Q114" t="n">
        <v>0</v>
      </c>
      <c r="R114" s="2" t="inlineStr"/>
    </row>
    <row r="115" ht="15" customHeight="1">
      <c r="A115" t="inlineStr">
        <is>
          <t>A 56811-2019</t>
        </is>
      </c>
      <c r="B115" s="1" t="n">
        <v>43763</v>
      </c>
      <c r="C115" s="1" t="n">
        <v>45821</v>
      </c>
      <c r="D115" t="inlineStr">
        <is>
          <t>NORRBOTTENS LÄN</t>
        </is>
      </c>
      <c r="E115" t="inlineStr">
        <is>
          <t>LULEÅ</t>
        </is>
      </c>
      <c r="F115" t="inlineStr">
        <is>
          <t>SCA</t>
        </is>
      </c>
      <c r="G115" t="n">
        <v>6.4</v>
      </c>
      <c r="H115" t="n">
        <v>0</v>
      </c>
      <c r="I115" t="n">
        <v>0</v>
      </c>
      <c r="J115" t="n">
        <v>0</v>
      </c>
      <c r="K115" t="n">
        <v>0</v>
      </c>
      <c r="L115" t="n">
        <v>0</v>
      </c>
      <c r="M115" t="n">
        <v>0</v>
      </c>
      <c r="N115" t="n">
        <v>0</v>
      </c>
      <c r="O115" t="n">
        <v>0</v>
      </c>
      <c r="P115" t="n">
        <v>0</v>
      </c>
      <c r="Q115" t="n">
        <v>0</v>
      </c>
      <c r="R115" s="2" t="inlineStr"/>
    </row>
    <row r="116" ht="15" customHeight="1">
      <c r="A116" t="inlineStr">
        <is>
          <t>A 56805-2019</t>
        </is>
      </c>
      <c r="B116" s="1" t="n">
        <v>43763</v>
      </c>
      <c r="C116" s="1" t="n">
        <v>45821</v>
      </c>
      <c r="D116" t="inlineStr">
        <is>
          <t>NORRBOTTENS LÄN</t>
        </is>
      </c>
      <c r="E116" t="inlineStr">
        <is>
          <t>LULEÅ</t>
        </is>
      </c>
      <c r="F116" t="inlineStr">
        <is>
          <t>SCA</t>
        </is>
      </c>
      <c r="G116" t="n">
        <v>0.7</v>
      </c>
      <c r="H116" t="n">
        <v>0</v>
      </c>
      <c r="I116" t="n">
        <v>0</v>
      </c>
      <c r="J116" t="n">
        <v>0</v>
      </c>
      <c r="K116" t="n">
        <v>0</v>
      </c>
      <c r="L116" t="n">
        <v>0</v>
      </c>
      <c r="M116" t="n">
        <v>0</v>
      </c>
      <c r="N116" t="n">
        <v>0</v>
      </c>
      <c r="O116" t="n">
        <v>0</v>
      </c>
      <c r="P116" t="n">
        <v>0</v>
      </c>
      <c r="Q116" t="n">
        <v>0</v>
      </c>
      <c r="R116" s="2" t="inlineStr"/>
    </row>
    <row r="117" ht="15" customHeight="1">
      <c r="A117" t="inlineStr">
        <is>
          <t>A 56814-2019</t>
        </is>
      </c>
      <c r="B117" s="1" t="n">
        <v>43763</v>
      </c>
      <c r="C117" s="1" t="n">
        <v>45821</v>
      </c>
      <c r="D117" t="inlineStr">
        <is>
          <t>NORRBOTTENS LÄN</t>
        </is>
      </c>
      <c r="E117" t="inlineStr">
        <is>
          <t>LULEÅ</t>
        </is>
      </c>
      <c r="F117" t="inlineStr">
        <is>
          <t>SCA</t>
        </is>
      </c>
      <c r="G117" t="n">
        <v>17.4</v>
      </c>
      <c r="H117" t="n">
        <v>0</v>
      </c>
      <c r="I117" t="n">
        <v>0</v>
      </c>
      <c r="J117" t="n">
        <v>0</v>
      </c>
      <c r="K117" t="n">
        <v>0</v>
      </c>
      <c r="L117" t="n">
        <v>0</v>
      </c>
      <c r="M117" t="n">
        <v>0</v>
      </c>
      <c r="N117" t="n">
        <v>0</v>
      </c>
      <c r="O117" t="n">
        <v>0</v>
      </c>
      <c r="P117" t="n">
        <v>0</v>
      </c>
      <c r="Q117" t="n">
        <v>0</v>
      </c>
      <c r="R117" s="2" t="inlineStr"/>
    </row>
    <row r="118" ht="15" customHeight="1">
      <c r="A118" t="inlineStr">
        <is>
          <t>A 56815-2019</t>
        </is>
      </c>
      <c r="B118" s="1" t="n">
        <v>43763</v>
      </c>
      <c r="C118" s="1" t="n">
        <v>45821</v>
      </c>
      <c r="D118" t="inlineStr">
        <is>
          <t>NORRBOTTENS LÄN</t>
        </is>
      </c>
      <c r="E118" t="inlineStr">
        <is>
          <t>LULEÅ</t>
        </is>
      </c>
      <c r="F118" t="inlineStr">
        <is>
          <t>SCA</t>
        </is>
      </c>
      <c r="G118" t="n">
        <v>5.2</v>
      </c>
      <c r="H118" t="n">
        <v>0</v>
      </c>
      <c r="I118" t="n">
        <v>0</v>
      </c>
      <c r="J118" t="n">
        <v>0</v>
      </c>
      <c r="K118" t="n">
        <v>0</v>
      </c>
      <c r="L118" t="n">
        <v>0</v>
      </c>
      <c r="M118" t="n">
        <v>0</v>
      </c>
      <c r="N118" t="n">
        <v>0</v>
      </c>
      <c r="O118" t="n">
        <v>0</v>
      </c>
      <c r="P118" t="n">
        <v>0</v>
      </c>
      <c r="Q118" t="n">
        <v>0</v>
      </c>
      <c r="R118" s="2" t="inlineStr"/>
    </row>
    <row r="119" ht="15" customHeight="1">
      <c r="A119" t="inlineStr">
        <is>
          <t>A 56812-2019</t>
        </is>
      </c>
      <c r="B119" s="1" t="n">
        <v>43763</v>
      </c>
      <c r="C119" s="1" t="n">
        <v>45821</v>
      </c>
      <c r="D119" t="inlineStr">
        <is>
          <t>NORRBOTTENS LÄN</t>
        </is>
      </c>
      <c r="E119" t="inlineStr">
        <is>
          <t>LULEÅ</t>
        </is>
      </c>
      <c r="F119" t="inlineStr">
        <is>
          <t>SCA</t>
        </is>
      </c>
      <c r="G119" t="n">
        <v>7.3</v>
      </c>
      <c r="H119" t="n">
        <v>0</v>
      </c>
      <c r="I119" t="n">
        <v>0</v>
      </c>
      <c r="J119" t="n">
        <v>0</v>
      </c>
      <c r="K119" t="n">
        <v>0</v>
      </c>
      <c r="L119" t="n">
        <v>0</v>
      </c>
      <c r="M119" t="n">
        <v>0</v>
      </c>
      <c r="N119" t="n">
        <v>0</v>
      </c>
      <c r="O119" t="n">
        <v>0</v>
      </c>
      <c r="P119" t="n">
        <v>0</v>
      </c>
      <c r="Q119" t="n">
        <v>0</v>
      </c>
      <c r="R119" s="2" t="inlineStr"/>
    </row>
    <row r="120" ht="15" customHeight="1">
      <c r="A120" t="inlineStr">
        <is>
          <t>A 56816-2019</t>
        </is>
      </c>
      <c r="B120" s="1" t="n">
        <v>43763</v>
      </c>
      <c r="C120" s="1" t="n">
        <v>45821</v>
      </c>
      <c r="D120" t="inlineStr">
        <is>
          <t>NORRBOTTENS LÄN</t>
        </is>
      </c>
      <c r="E120" t="inlineStr">
        <is>
          <t>LULEÅ</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56813-2019</t>
        </is>
      </c>
      <c r="B121" s="1" t="n">
        <v>43763</v>
      </c>
      <c r="C121" s="1" t="n">
        <v>45821</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56849-2019</t>
        </is>
      </c>
      <c r="B122" s="1" t="n">
        <v>43765</v>
      </c>
      <c r="C122" s="1" t="n">
        <v>45821</v>
      </c>
      <c r="D122" t="inlineStr">
        <is>
          <t>NORRBOTTENS LÄN</t>
        </is>
      </c>
      <c r="E122" t="inlineStr">
        <is>
          <t>LULEÅ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58934-2019</t>
        </is>
      </c>
      <c r="B123" s="1" t="n">
        <v>43769</v>
      </c>
      <c r="C123" s="1" t="n">
        <v>45821</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60133-2019</t>
        </is>
      </c>
      <c r="B124" s="1" t="n">
        <v>43778</v>
      </c>
      <c r="C124" s="1" t="n">
        <v>45821</v>
      </c>
      <c r="D124" t="inlineStr">
        <is>
          <t>NORRBOTTENS LÄN</t>
        </is>
      </c>
      <c r="E124" t="inlineStr">
        <is>
          <t>LULEÅ</t>
        </is>
      </c>
      <c r="G124" t="n">
        <v>2.2</v>
      </c>
      <c r="H124" t="n">
        <v>0</v>
      </c>
      <c r="I124" t="n">
        <v>0</v>
      </c>
      <c r="J124" t="n">
        <v>0</v>
      </c>
      <c r="K124" t="n">
        <v>0</v>
      </c>
      <c r="L124" t="n">
        <v>0</v>
      </c>
      <c r="M124" t="n">
        <v>0</v>
      </c>
      <c r="N124" t="n">
        <v>0</v>
      </c>
      <c r="O124" t="n">
        <v>0</v>
      </c>
      <c r="P124" t="n">
        <v>0</v>
      </c>
      <c r="Q124" t="n">
        <v>0</v>
      </c>
      <c r="R124" s="2" t="inlineStr"/>
    </row>
    <row r="125" ht="15" customHeight="1">
      <c r="A125" t="inlineStr">
        <is>
          <t>A 60501-2019</t>
        </is>
      </c>
      <c r="B125" s="1" t="n">
        <v>43780</v>
      </c>
      <c r="C125" s="1" t="n">
        <v>45821</v>
      </c>
      <c r="D125" t="inlineStr">
        <is>
          <t>NORRBOTTENS LÄN</t>
        </is>
      </c>
      <c r="E125" t="inlineStr">
        <is>
          <t>LULEÅ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60895-2019</t>
        </is>
      </c>
      <c r="B126" s="1" t="n">
        <v>43781</v>
      </c>
      <c r="C126" s="1" t="n">
        <v>45821</v>
      </c>
      <c r="D126" t="inlineStr">
        <is>
          <t>NORRBOTTENS LÄN</t>
        </is>
      </c>
      <c r="E126" t="inlineStr">
        <is>
          <t>LULEÅ</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62169-2019</t>
        </is>
      </c>
      <c r="B127" s="1" t="n">
        <v>43787</v>
      </c>
      <c r="C127" s="1" t="n">
        <v>45821</v>
      </c>
      <c r="D127" t="inlineStr">
        <is>
          <t>NORRBOTTENS LÄN</t>
        </is>
      </c>
      <c r="E127" t="inlineStr">
        <is>
          <t>LULEÅ</t>
        </is>
      </c>
      <c r="F127" t="inlineStr">
        <is>
          <t>SCA</t>
        </is>
      </c>
      <c r="G127" t="n">
        <v>17</v>
      </c>
      <c r="H127" t="n">
        <v>0</v>
      </c>
      <c r="I127" t="n">
        <v>0</v>
      </c>
      <c r="J127" t="n">
        <v>0</v>
      </c>
      <c r="K127" t="n">
        <v>0</v>
      </c>
      <c r="L127" t="n">
        <v>0</v>
      </c>
      <c r="M127" t="n">
        <v>0</v>
      </c>
      <c r="N127" t="n">
        <v>0</v>
      </c>
      <c r="O127" t="n">
        <v>0</v>
      </c>
      <c r="P127" t="n">
        <v>0</v>
      </c>
      <c r="Q127" t="n">
        <v>0</v>
      </c>
      <c r="R127" s="2" t="inlineStr"/>
    </row>
    <row r="128" ht="15" customHeight="1">
      <c r="A128" t="inlineStr">
        <is>
          <t>A 63635-2019</t>
        </is>
      </c>
      <c r="B128" s="1" t="n">
        <v>43788</v>
      </c>
      <c r="C128" s="1" t="n">
        <v>45821</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62725-2019</t>
        </is>
      </c>
      <c r="B129" s="1" t="n">
        <v>43789</v>
      </c>
      <c r="C129" s="1" t="n">
        <v>45821</v>
      </c>
      <c r="D129" t="inlineStr">
        <is>
          <t>NORRBOTTENS LÄN</t>
        </is>
      </c>
      <c r="E129" t="inlineStr">
        <is>
          <t>LULEÅ</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62724-2019</t>
        </is>
      </c>
      <c r="B130" s="1" t="n">
        <v>43789</v>
      </c>
      <c r="C130" s="1" t="n">
        <v>45821</v>
      </c>
      <c r="D130" t="inlineStr">
        <is>
          <t>NORRBOTTENS LÄN</t>
        </is>
      </c>
      <c r="E130" t="inlineStr">
        <is>
          <t>LULEÅ</t>
        </is>
      </c>
      <c r="F130" t="inlineStr">
        <is>
          <t>SCA</t>
        </is>
      </c>
      <c r="G130" t="n">
        <v>0.3</v>
      </c>
      <c r="H130" t="n">
        <v>0</v>
      </c>
      <c r="I130" t="n">
        <v>0</v>
      </c>
      <c r="J130" t="n">
        <v>0</v>
      </c>
      <c r="K130" t="n">
        <v>0</v>
      </c>
      <c r="L130" t="n">
        <v>0</v>
      </c>
      <c r="M130" t="n">
        <v>0</v>
      </c>
      <c r="N130" t="n">
        <v>0</v>
      </c>
      <c r="O130" t="n">
        <v>0</v>
      </c>
      <c r="P130" t="n">
        <v>0</v>
      </c>
      <c r="Q130" t="n">
        <v>0</v>
      </c>
      <c r="R130" s="2" t="inlineStr"/>
    </row>
    <row r="131" ht="15" customHeight="1">
      <c r="A131" t="inlineStr">
        <is>
          <t>A 62723-2019</t>
        </is>
      </c>
      <c r="B131" s="1" t="n">
        <v>43789</v>
      </c>
      <c r="C131" s="1" t="n">
        <v>45821</v>
      </c>
      <c r="D131" t="inlineStr">
        <is>
          <t>NORRBOTTENS LÄN</t>
        </is>
      </c>
      <c r="E131" t="inlineStr">
        <is>
          <t>LULEÅ</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63282-2019</t>
        </is>
      </c>
      <c r="B132" s="1" t="n">
        <v>43791</v>
      </c>
      <c r="C132" s="1" t="n">
        <v>45821</v>
      </c>
      <c r="D132" t="inlineStr">
        <is>
          <t>NORRBOTTENS LÄN</t>
        </is>
      </c>
      <c r="E132" t="inlineStr">
        <is>
          <t>LULEÅ</t>
        </is>
      </c>
      <c r="G132" t="n">
        <v>3.9</v>
      </c>
      <c r="H132" t="n">
        <v>0</v>
      </c>
      <c r="I132" t="n">
        <v>0</v>
      </c>
      <c r="J132" t="n">
        <v>0</v>
      </c>
      <c r="K132" t="n">
        <v>0</v>
      </c>
      <c r="L132" t="n">
        <v>0</v>
      </c>
      <c r="M132" t="n">
        <v>0</v>
      </c>
      <c r="N132" t="n">
        <v>0</v>
      </c>
      <c r="O132" t="n">
        <v>0</v>
      </c>
      <c r="P132" t="n">
        <v>0</v>
      </c>
      <c r="Q132" t="n">
        <v>0</v>
      </c>
      <c r="R132" s="2" t="inlineStr"/>
    </row>
    <row r="133" ht="15" customHeight="1">
      <c r="A133" t="inlineStr">
        <is>
          <t>A 64163-2019</t>
        </is>
      </c>
      <c r="B133" s="1" t="n">
        <v>43791</v>
      </c>
      <c r="C133" s="1" t="n">
        <v>45821</v>
      </c>
      <c r="D133" t="inlineStr">
        <is>
          <t>NORRBOTTENS LÄN</t>
        </is>
      </c>
      <c r="E133" t="inlineStr">
        <is>
          <t>LULEÅ</t>
        </is>
      </c>
      <c r="G133" t="n">
        <v>1.9</v>
      </c>
      <c r="H133" t="n">
        <v>0</v>
      </c>
      <c r="I133" t="n">
        <v>0</v>
      </c>
      <c r="J133" t="n">
        <v>0</v>
      </c>
      <c r="K133" t="n">
        <v>0</v>
      </c>
      <c r="L133" t="n">
        <v>0</v>
      </c>
      <c r="M133" t="n">
        <v>0</v>
      </c>
      <c r="N133" t="n">
        <v>0</v>
      </c>
      <c r="O133" t="n">
        <v>0</v>
      </c>
      <c r="P133" t="n">
        <v>0</v>
      </c>
      <c r="Q133" t="n">
        <v>0</v>
      </c>
      <c r="R133" s="2" t="inlineStr"/>
    </row>
    <row r="134" ht="15" customHeight="1">
      <c r="A134" t="inlineStr">
        <is>
          <t>A 64524-2019</t>
        </is>
      </c>
      <c r="B134" s="1" t="n">
        <v>43794</v>
      </c>
      <c r="C134" s="1" t="n">
        <v>45821</v>
      </c>
      <c r="D134" t="inlineStr">
        <is>
          <t>NORRBOTTENS LÄN</t>
        </is>
      </c>
      <c r="E134" t="inlineStr">
        <is>
          <t>LULEÅ</t>
        </is>
      </c>
      <c r="G134" t="n">
        <v>2.2</v>
      </c>
      <c r="H134" t="n">
        <v>0</v>
      </c>
      <c r="I134" t="n">
        <v>0</v>
      </c>
      <c r="J134" t="n">
        <v>0</v>
      </c>
      <c r="K134" t="n">
        <v>0</v>
      </c>
      <c r="L134" t="n">
        <v>0</v>
      </c>
      <c r="M134" t="n">
        <v>0</v>
      </c>
      <c r="N134" t="n">
        <v>0</v>
      </c>
      <c r="O134" t="n">
        <v>0</v>
      </c>
      <c r="P134" t="n">
        <v>0</v>
      </c>
      <c r="Q134" t="n">
        <v>0</v>
      </c>
      <c r="R134" s="2" t="inlineStr"/>
    </row>
    <row r="135" ht="15" customHeight="1">
      <c r="A135" t="inlineStr">
        <is>
          <t>A 64320-2019</t>
        </is>
      </c>
      <c r="B135" s="1" t="n">
        <v>43797</v>
      </c>
      <c r="C135" s="1" t="n">
        <v>45821</v>
      </c>
      <c r="D135" t="inlineStr">
        <is>
          <t>NORRBOTTENS LÄN</t>
        </is>
      </c>
      <c r="E135" t="inlineStr">
        <is>
          <t>LULEÅ</t>
        </is>
      </c>
      <c r="F135" t="inlineStr">
        <is>
          <t>Övriga Aktiebolag</t>
        </is>
      </c>
      <c r="G135" t="n">
        <v>9.9</v>
      </c>
      <c r="H135" t="n">
        <v>0</v>
      </c>
      <c r="I135" t="n">
        <v>0</v>
      </c>
      <c r="J135" t="n">
        <v>0</v>
      </c>
      <c r="K135" t="n">
        <v>0</v>
      </c>
      <c r="L135" t="n">
        <v>0</v>
      </c>
      <c r="M135" t="n">
        <v>0</v>
      </c>
      <c r="N135" t="n">
        <v>0</v>
      </c>
      <c r="O135" t="n">
        <v>0</v>
      </c>
      <c r="P135" t="n">
        <v>0</v>
      </c>
      <c r="Q135" t="n">
        <v>0</v>
      </c>
      <c r="R135" s="2" t="inlineStr"/>
    </row>
    <row r="136" ht="15" customHeight="1">
      <c r="A136" t="inlineStr">
        <is>
          <t>A 64577-2019</t>
        </is>
      </c>
      <c r="B136" s="1" t="n">
        <v>43798</v>
      </c>
      <c r="C136" s="1" t="n">
        <v>45821</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65811-2019</t>
        </is>
      </c>
      <c r="B137" s="1" t="n">
        <v>43805</v>
      </c>
      <c r="C137" s="1" t="n">
        <v>45821</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68207-2019</t>
        </is>
      </c>
      <c r="B138" s="1" t="n">
        <v>43817</v>
      </c>
      <c r="C138" s="1" t="n">
        <v>45821</v>
      </c>
      <c r="D138" t="inlineStr">
        <is>
          <t>NORRBOTTENS LÄN</t>
        </is>
      </c>
      <c r="E138" t="inlineStr">
        <is>
          <t>LULEÅ</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68209-2019</t>
        </is>
      </c>
      <c r="B139" s="1" t="n">
        <v>43817</v>
      </c>
      <c r="C139" s="1" t="n">
        <v>45821</v>
      </c>
      <c r="D139" t="inlineStr">
        <is>
          <t>NORRBOTTENS LÄN</t>
        </is>
      </c>
      <c r="E139" t="inlineStr">
        <is>
          <t>LULEÅ</t>
        </is>
      </c>
      <c r="F139" t="inlineStr">
        <is>
          <t>Övriga Aktiebolag</t>
        </is>
      </c>
      <c r="G139" t="n">
        <v>10.1</v>
      </c>
      <c r="H139" t="n">
        <v>0</v>
      </c>
      <c r="I139" t="n">
        <v>0</v>
      </c>
      <c r="J139" t="n">
        <v>0</v>
      </c>
      <c r="K139" t="n">
        <v>0</v>
      </c>
      <c r="L139" t="n">
        <v>0</v>
      </c>
      <c r="M139" t="n">
        <v>0</v>
      </c>
      <c r="N139" t="n">
        <v>0</v>
      </c>
      <c r="O139" t="n">
        <v>0</v>
      </c>
      <c r="P139" t="n">
        <v>0</v>
      </c>
      <c r="Q139" t="n">
        <v>0</v>
      </c>
      <c r="R139" s="2" t="inlineStr"/>
    </row>
    <row r="140" ht="15" customHeight="1">
      <c r="A140" t="inlineStr">
        <is>
          <t>A 68660-2019</t>
        </is>
      </c>
      <c r="B140" s="1" t="n">
        <v>43819</v>
      </c>
      <c r="C140" s="1" t="n">
        <v>45821</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1518-2020</t>
        </is>
      </c>
      <c r="B141" s="1" t="n">
        <v>43826</v>
      </c>
      <c r="C141" s="1" t="n">
        <v>45821</v>
      </c>
      <c r="D141" t="inlineStr">
        <is>
          <t>NORRBOTTENS LÄN</t>
        </is>
      </c>
      <c r="E141" t="inlineStr">
        <is>
          <t>LULEÅ</t>
        </is>
      </c>
      <c r="G141" t="n">
        <v>7.3</v>
      </c>
      <c r="H141" t="n">
        <v>0</v>
      </c>
      <c r="I141" t="n">
        <v>0</v>
      </c>
      <c r="J141" t="n">
        <v>0</v>
      </c>
      <c r="K141" t="n">
        <v>0</v>
      </c>
      <c r="L141" t="n">
        <v>0</v>
      </c>
      <c r="M141" t="n">
        <v>0</v>
      </c>
      <c r="N141" t="n">
        <v>0</v>
      </c>
      <c r="O141" t="n">
        <v>0</v>
      </c>
      <c r="P141" t="n">
        <v>0</v>
      </c>
      <c r="Q141" t="n">
        <v>0</v>
      </c>
      <c r="R141" s="2" t="inlineStr"/>
    </row>
    <row r="142" ht="15" customHeight="1">
      <c r="A142" t="inlineStr">
        <is>
          <t>A 1772-2020</t>
        </is>
      </c>
      <c r="B142" s="1" t="n">
        <v>43832</v>
      </c>
      <c r="C142" s="1" t="n">
        <v>45821</v>
      </c>
      <c r="D142" t="inlineStr">
        <is>
          <t>NORRBOTTENS LÄN</t>
        </is>
      </c>
      <c r="E142" t="inlineStr">
        <is>
          <t>LULEÅ</t>
        </is>
      </c>
      <c r="G142" t="n">
        <v>16.4</v>
      </c>
      <c r="H142" t="n">
        <v>0</v>
      </c>
      <c r="I142" t="n">
        <v>0</v>
      </c>
      <c r="J142" t="n">
        <v>0</v>
      </c>
      <c r="K142" t="n">
        <v>0</v>
      </c>
      <c r="L142" t="n">
        <v>0</v>
      </c>
      <c r="M142" t="n">
        <v>0</v>
      </c>
      <c r="N142" t="n">
        <v>0</v>
      </c>
      <c r="O142" t="n">
        <v>0</v>
      </c>
      <c r="P142" t="n">
        <v>0</v>
      </c>
      <c r="Q142" t="n">
        <v>0</v>
      </c>
      <c r="R142" s="2" t="inlineStr"/>
    </row>
    <row r="143" ht="15" customHeight="1">
      <c r="A143" t="inlineStr">
        <is>
          <t>A 1759-2020</t>
        </is>
      </c>
      <c r="B143" s="1" t="n">
        <v>43833</v>
      </c>
      <c r="C143" s="1" t="n">
        <v>45821</v>
      </c>
      <c r="D143" t="inlineStr">
        <is>
          <t>NORRBOTTENS LÄN</t>
        </is>
      </c>
      <c r="E143" t="inlineStr">
        <is>
          <t>LULEÅ</t>
        </is>
      </c>
      <c r="G143" t="n">
        <v>1.3</v>
      </c>
      <c r="H143" t="n">
        <v>0</v>
      </c>
      <c r="I143" t="n">
        <v>0</v>
      </c>
      <c r="J143" t="n">
        <v>0</v>
      </c>
      <c r="K143" t="n">
        <v>0</v>
      </c>
      <c r="L143" t="n">
        <v>0</v>
      </c>
      <c r="M143" t="n">
        <v>0</v>
      </c>
      <c r="N143" t="n">
        <v>0</v>
      </c>
      <c r="O143" t="n">
        <v>0</v>
      </c>
      <c r="P143" t="n">
        <v>0</v>
      </c>
      <c r="Q143" t="n">
        <v>0</v>
      </c>
      <c r="R143" s="2" t="inlineStr"/>
    </row>
    <row r="144" ht="15" customHeight="1">
      <c r="A144" t="inlineStr">
        <is>
          <t>A 1769-2020</t>
        </is>
      </c>
      <c r="B144" s="1" t="n">
        <v>43833</v>
      </c>
      <c r="C144" s="1" t="n">
        <v>45821</v>
      </c>
      <c r="D144" t="inlineStr">
        <is>
          <t>NORRBOTTENS LÄN</t>
        </is>
      </c>
      <c r="E144" t="inlineStr">
        <is>
          <t>LULEÅ</t>
        </is>
      </c>
      <c r="G144" t="n">
        <v>5.5</v>
      </c>
      <c r="H144" t="n">
        <v>0</v>
      </c>
      <c r="I144" t="n">
        <v>0</v>
      </c>
      <c r="J144" t="n">
        <v>0</v>
      </c>
      <c r="K144" t="n">
        <v>0</v>
      </c>
      <c r="L144" t="n">
        <v>0</v>
      </c>
      <c r="M144" t="n">
        <v>0</v>
      </c>
      <c r="N144" t="n">
        <v>0</v>
      </c>
      <c r="O144" t="n">
        <v>0</v>
      </c>
      <c r="P144" t="n">
        <v>0</v>
      </c>
      <c r="Q144" t="n">
        <v>0</v>
      </c>
      <c r="R144" s="2" t="inlineStr"/>
    </row>
    <row r="145" ht="15" customHeight="1">
      <c r="A145" t="inlineStr">
        <is>
          <t>A 725-2020</t>
        </is>
      </c>
      <c r="B145" s="1" t="n">
        <v>43838</v>
      </c>
      <c r="C145" s="1" t="n">
        <v>45821</v>
      </c>
      <c r="D145" t="inlineStr">
        <is>
          <t>NORRBOTTENS LÄN</t>
        </is>
      </c>
      <c r="E145" t="inlineStr">
        <is>
          <t>LULEÅ</t>
        </is>
      </c>
      <c r="G145" t="n">
        <v>7.9</v>
      </c>
      <c r="H145" t="n">
        <v>0</v>
      </c>
      <c r="I145" t="n">
        <v>0</v>
      </c>
      <c r="J145" t="n">
        <v>0</v>
      </c>
      <c r="K145" t="n">
        <v>0</v>
      </c>
      <c r="L145" t="n">
        <v>0</v>
      </c>
      <c r="M145" t="n">
        <v>0</v>
      </c>
      <c r="N145" t="n">
        <v>0</v>
      </c>
      <c r="O145" t="n">
        <v>0</v>
      </c>
      <c r="P145" t="n">
        <v>0</v>
      </c>
      <c r="Q145" t="n">
        <v>0</v>
      </c>
      <c r="R145" s="2" t="inlineStr"/>
    </row>
    <row r="146" ht="15" customHeight="1">
      <c r="A146" t="inlineStr">
        <is>
          <t>A 1932-2020</t>
        </is>
      </c>
      <c r="B146" s="1" t="n">
        <v>43838</v>
      </c>
      <c r="C146" s="1" t="n">
        <v>45821</v>
      </c>
      <c r="D146" t="inlineStr">
        <is>
          <t>NORRBOTTENS LÄN</t>
        </is>
      </c>
      <c r="E146" t="inlineStr">
        <is>
          <t>LULEÅ</t>
        </is>
      </c>
      <c r="G146" t="n">
        <v>1.2</v>
      </c>
      <c r="H146" t="n">
        <v>0</v>
      </c>
      <c r="I146" t="n">
        <v>0</v>
      </c>
      <c r="J146" t="n">
        <v>0</v>
      </c>
      <c r="K146" t="n">
        <v>0</v>
      </c>
      <c r="L146" t="n">
        <v>0</v>
      </c>
      <c r="M146" t="n">
        <v>0</v>
      </c>
      <c r="N146" t="n">
        <v>0</v>
      </c>
      <c r="O146" t="n">
        <v>0</v>
      </c>
      <c r="P146" t="n">
        <v>0</v>
      </c>
      <c r="Q146" t="n">
        <v>0</v>
      </c>
      <c r="R146" s="2" t="inlineStr"/>
    </row>
    <row r="147" ht="15" customHeight="1">
      <c r="A147" t="inlineStr">
        <is>
          <t>A 796-2020</t>
        </is>
      </c>
      <c r="B147" s="1" t="n">
        <v>43838</v>
      </c>
      <c r="C147" s="1" t="n">
        <v>45821</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1266-2020</t>
        </is>
      </c>
      <c r="B148" s="1" t="n">
        <v>43840</v>
      </c>
      <c r="C148" s="1" t="n">
        <v>45821</v>
      </c>
      <c r="D148" t="inlineStr">
        <is>
          <t>NORRBOTTENS LÄN</t>
        </is>
      </c>
      <c r="E148" t="inlineStr">
        <is>
          <t>LULEÅ</t>
        </is>
      </c>
      <c r="G148" t="n">
        <v>14.8</v>
      </c>
      <c r="H148" t="n">
        <v>0</v>
      </c>
      <c r="I148" t="n">
        <v>0</v>
      </c>
      <c r="J148" t="n">
        <v>0</v>
      </c>
      <c r="K148" t="n">
        <v>0</v>
      </c>
      <c r="L148" t="n">
        <v>0</v>
      </c>
      <c r="M148" t="n">
        <v>0</v>
      </c>
      <c r="N148" t="n">
        <v>0</v>
      </c>
      <c r="O148" t="n">
        <v>0</v>
      </c>
      <c r="P148" t="n">
        <v>0</v>
      </c>
      <c r="Q148" t="n">
        <v>0</v>
      </c>
      <c r="R148" s="2" t="inlineStr"/>
    </row>
    <row r="149" ht="15" customHeight="1">
      <c r="A149" t="inlineStr">
        <is>
          <t>A 2578-2020</t>
        </is>
      </c>
      <c r="B149" s="1" t="n">
        <v>43843</v>
      </c>
      <c r="C149" s="1" t="n">
        <v>45821</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1435-2020</t>
        </is>
      </c>
      <c r="B150" s="1" t="n">
        <v>43843</v>
      </c>
      <c r="C150" s="1" t="n">
        <v>45821</v>
      </c>
      <c r="D150" t="inlineStr">
        <is>
          <t>NORRBOTTENS LÄN</t>
        </is>
      </c>
      <c r="E150" t="inlineStr">
        <is>
          <t>LULEÅ</t>
        </is>
      </c>
      <c r="G150" t="n">
        <v>12.5</v>
      </c>
      <c r="H150" t="n">
        <v>0</v>
      </c>
      <c r="I150" t="n">
        <v>0</v>
      </c>
      <c r="J150" t="n">
        <v>0</v>
      </c>
      <c r="K150" t="n">
        <v>0</v>
      </c>
      <c r="L150" t="n">
        <v>0</v>
      </c>
      <c r="M150" t="n">
        <v>0</v>
      </c>
      <c r="N150" t="n">
        <v>0</v>
      </c>
      <c r="O150" t="n">
        <v>0</v>
      </c>
      <c r="P150" t="n">
        <v>0</v>
      </c>
      <c r="Q150" t="n">
        <v>0</v>
      </c>
      <c r="R150" s="2" t="inlineStr"/>
    </row>
    <row r="151" ht="15" customHeight="1">
      <c r="A151" t="inlineStr">
        <is>
          <t>A 2378-2020</t>
        </is>
      </c>
      <c r="B151" s="1" t="n">
        <v>43846</v>
      </c>
      <c r="C151" s="1" t="n">
        <v>45821</v>
      </c>
      <c r="D151" t="inlineStr">
        <is>
          <t>NORRBOTTENS LÄN</t>
        </is>
      </c>
      <c r="E151" t="inlineStr">
        <is>
          <t>LULEÅ</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2558-2020</t>
        </is>
      </c>
      <c r="B152" s="1" t="n">
        <v>43847</v>
      </c>
      <c r="C152" s="1" t="n">
        <v>45821</v>
      </c>
      <c r="D152" t="inlineStr">
        <is>
          <t>NORRBOTTENS LÄN</t>
        </is>
      </c>
      <c r="E152" t="inlineStr">
        <is>
          <t>LULEÅ</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3303-2020</t>
        </is>
      </c>
      <c r="B153" s="1" t="n">
        <v>43852</v>
      </c>
      <c r="C153" s="1" t="n">
        <v>45821</v>
      </c>
      <c r="D153" t="inlineStr">
        <is>
          <t>NORRBOTTENS LÄN</t>
        </is>
      </c>
      <c r="E153" t="inlineStr">
        <is>
          <t>LULEÅ</t>
        </is>
      </c>
      <c r="G153" t="n">
        <v>0.9</v>
      </c>
      <c r="H153" t="n">
        <v>0</v>
      </c>
      <c r="I153" t="n">
        <v>0</v>
      </c>
      <c r="J153" t="n">
        <v>0</v>
      </c>
      <c r="K153" t="n">
        <v>0</v>
      </c>
      <c r="L153" t="n">
        <v>0</v>
      </c>
      <c r="M153" t="n">
        <v>0</v>
      </c>
      <c r="N153" t="n">
        <v>0</v>
      </c>
      <c r="O153" t="n">
        <v>0</v>
      </c>
      <c r="P153" t="n">
        <v>0</v>
      </c>
      <c r="Q153" t="n">
        <v>0</v>
      </c>
      <c r="R153" s="2" t="inlineStr"/>
    </row>
    <row r="154" ht="15" customHeight="1">
      <c r="A154" t="inlineStr">
        <is>
          <t>A 3707-2020</t>
        </is>
      </c>
      <c r="B154" s="1" t="n">
        <v>43853</v>
      </c>
      <c r="C154" s="1" t="n">
        <v>45821</v>
      </c>
      <c r="D154" t="inlineStr">
        <is>
          <t>NORRBOTTENS LÄN</t>
        </is>
      </c>
      <c r="E154" t="inlineStr">
        <is>
          <t>LULEÅ</t>
        </is>
      </c>
      <c r="G154" t="n">
        <v>4</v>
      </c>
      <c r="H154" t="n">
        <v>0</v>
      </c>
      <c r="I154" t="n">
        <v>0</v>
      </c>
      <c r="J154" t="n">
        <v>0</v>
      </c>
      <c r="K154" t="n">
        <v>0</v>
      </c>
      <c r="L154" t="n">
        <v>0</v>
      </c>
      <c r="M154" t="n">
        <v>0</v>
      </c>
      <c r="N154" t="n">
        <v>0</v>
      </c>
      <c r="O154" t="n">
        <v>0</v>
      </c>
      <c r="P154" t="n">
        <v>0</v>
      </c>
      <c r="Q154" t="n">
        <v>0</v>
      </c>
      <c r="R154" s="2" t="inlineStr"/>
    </row>
    <row r="155" ht="15" customHeight="1">
      <c r="A155" t="inlineStr">
        <is>
          <t>A 5322-2020</t>
        </is>
      </c>
      <c r="B155" s="1" t="n">
        <v>43860</v>
      </c>
      <c r="C155" s="1" t="n">
        <v>45821</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5419-2020</t>
        </is>
      </c>
      <c r="B156" s="1" t="n">
        <v>43860</v>
      </c>
      <c r="C156" s="1" t="n">
        <v>45821</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6644-2020</t>
        </is>
      </c>
      <c r="B157" s="1" t="n">
        <v>43867</v>
      </c>
      <c r="C157" s="1" t="n">
        <v>45821</v>
      </c>
      <c r="D157" t="inlineStr">
        <is>
          <t>NORRBOTTENS LÄN</t>
        </is>
      </c>
      <c r="E157" t="inlineStr">
        <is>
          <t>LULEÅ</t>
        </is>
      </c>
      <c r="G157" t="n">
        <v>3.5</v>
      </c>
      <c r="H157" t="n">
        <v>0</v>
      </c>
      <c r="I157" t="n">
        <v>0</v>
      </c>
      <c r="J157" t="n">
        <v>0</v>
      </c>
      <c r="K157" t="n">
        <v>0</v>
      </c>
      <c r="L157" t="n">
        <v>0</v>
      </c>
      <c r="M157" t="n">
        <v>0</v>
      </c>
      <c r="N157" t="n">
        <v>0</v>
      </c>
      <c r="O157" t="n">
        <v>0</v>
      </c>
      <c r="P157" t="n">
        <v>0</v>
      </c>
      <c r="Q157" t="n">
        <v>0</v>
      </c>
      <c r="R157" s="2" t="inlineStr"/>
    </row>
    <row r="158" ht="15" customHeight="1">
      <c r="A158" t="inlineStr">
        <is>
          <t>A 6641-2020</t>
        </is>
      </c>
      <c r="B158" s="1" t="n">
        <v>43867</v>
      </c>
      <c r="C158" s="1" t="n">
        <v>45821</v>
      </c>
      <c r="D158" t="inlineStr">
        <is>
          <t>NORRBOTTENS LÄN</t>
        </is>
      </c>
      <c r="E158" t="inlineStr">
        <is>
          <t>LULEÅ</t>
        </is>
      </c>
      <c r="G158" t="n">
        <v>13.5</v>
      </c>
      <c r="H158" t="n">
        <v>0</v>
      </c>
      <c r="I158" t="n">
        <v>0</v>
      </c>
      <c r="J158" t="n">
        <v>0</v>
      </c>
      <c r="K158" t="n">
        <v>0</v>
      </c>
      <c r="L158" t="n">
        <v>0</v>
      </c>
      <c r="M158" t="n">
        <v>0</v>
      </c>
      <c r="N158" t="n">
        <v>0</v>
      </c>
      <c r="O158" t="n">
        <v>0</v>
      </c>
      <c r="P158" t="n">
        <v>0</v>
      </c>
      <c r="Q158" t="n">
        <v>0</v>
      </c>
      <c r="R158" s="2" t="inlineStr"/>
    </row>
    <row r="159" ht="15" customHeight="1">
      <c r="A159" t="inlineStr">
        <is>
          <t>A 6878-2020</t>
        </is>
      </c>
      <c r="B159" s="1" t="n">
        <v>43867</v>
      </c>
      <c r="C159" s="1" t="n">
        <v>45821</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7299-2020</t>
        </is>
      </c>
      <c r="B160" s="1" t="n">
        <v>43868</v>
      </c>
      <c r="C160" s="1" t="n">
        <v>45821</v>
      </c>
      <c r="D160" t="inlineStr">
        <is>
          <t>NORRBOTTENS LÄN</t>
        </is>
      </c>
      <c r="E160" t="inlineStr">
        <is>
          <t>LULEÅ</t>
        </is>
      </c>
      <c r="G160" t="n">
        <v>6.2</v>
      </c>
      <c r="H160" t="n">
        <v>0</v>
      </c>
      <c r="I160" t="n">
        <v>0</v>
      </c>
      <c r="J160" t="n">
        <v>0</v>
      </c>
      <c r="K160" t="n">
        <v>0</v>
      </c>
      <c r="L160" t="n">
        <v>0</v>
      </c>
      <c r="M160" t="n">
        <v>0</v>
      </c>
      <c r="N160" t="n">
        <v>0</v>
      </c>
      <c r="O160" t="n">
        <v>0</v>
      </c>
      <c r="P160" t="n">
        <v>0</v>
      </c>
      <c r="Q160" t="n">
        <v>0</v>
      </c>
      <c r="R160" s="2" t="inlineStr"/>
    </row>
    <row r="161" ht="15" customHeight="1">
      <c r="A161" t="inlineStr">
        <is>
          <t>A 7137-2020</t>
        </is>
      </c>
      <c r="B161" s="1" t="n">
        <v>43869</v>
      </c>
      <c r="C161" s="1" t="n">
        <v>45821</v>
      </c>
      <c r="D161" t="inlineStr">
        <is>
          <t>NORRBOTTENS LÄN</t>
        </is>
      </c>
      <c r="E161" t="inlineStr">
        <is>
          <t>LULEÅ</t>
        </is>
      </c>
      <c r="G161" t="n">
        <v>6.6</v>
      </c>
      <c r="H161" t="n">
        <v>0</v>
      </c>
      <c r="I161" t="n">
        <v>0</v>
      </c>
      <c r="J161" t="n">
        <v>0</v>
      </c>
      <c r="K161" t="n">
        <v>0</v>
      </c>
      <c r="L161" t="n">
        <v>0</v>
      </c>
      <c r="M161" t="n">
        <v>0</v>
      </c>
      <c r="N161" t="n">
        <v>0</v>
      </c>
      <c r="O161" t="n">
        <v>0</v>
      </c>
      <c r="P161" t="n">
        <v>0</v>
      </c>
      <c r="Q161" t="n">
        <v>0</v>
      </c>
      <c r="R161" s="2" t="inlineStr"/>
    </row>
    <row r="162" ht="15" customHeight="1">
      <c r="A162" t="inlineStr">
        <is>
          <t>A 7559-2020</t>
        </is>
      </c>
      <c r="B162" s="1" t="n">
        <v>43871</v>
      </c>
      <c r="C162" s="1" t="n">
        <v>45821</v>
      </c>
      <c r="D162" t="inlineStr">
        <is>
          <t>NORRBOTTENS LÄN</t>
        </is>
      </c>
      <c r="E162" t="inlineStr">
        <is>
          <t>LULEÅ</t>
        </is>
      </c>
      <c r="G162" t="n">
        <v>2.9</v>
      </c>
      <c r="H162" t="n">
        <v>0</v>
      </c>
      <c r="I162" t="n">
        <v>0</v>
      </c>
      <c r="J162" t="n">
        <v>0</v>
      </c>
      <c r="K162" t="n">
        <v>0</v>
      </c>
      <c r="L162" t="n">
        <v>0</v>
      </c>
      <c r="M162" t="n">
        <v>0</v>
      </c>
      <c r="N162" t="n">
        <v>0</v>
      </c>
      <c r="O162" t="n">
        <v>0</v>
      </c>
      <c r="P162" t="n">
        <v>0</v>
      </c>
      <c r="Q162" t="n">
        <v>0</v>
      </c>
      <c r="R162" s="2" t="inlineStr"/>
    </row>
    <row r="163" ht="15" customHeight="1">
      <c r="A163" t="inlineStr">
        <is>
          <t>A 8617-2020</t>
        </is>
      </c>
      <c r="B163" s="1" t="n">
        <v>43875</v>
      </c>
      <c r="C163" s="1" t="n">
        <v>45821</v>
      </c>
      <c r="D163" t="inlineStr">
        <is>
          <t>NORRBOTTENS LÄN</t>
        </is>
      </c>
      <c r="E163" t="inlineStr">
        <is>
          <t>LULEÅ</t>
        </is>
      </c>
      <c r="G163" t="n">
        <v>21.8</v>
      </c>
      <c r="H163" t="n">
        <v>0</v>
      </c>
      <c r="I163" t="n">
        <v>0</v>
      </c>
      <c r="J163" t="n">
        <v>0</v>
      </c>
      <c r="K163" t="n">
        <v>0</v>
      </c>
      <c r="L163" t="n">
        <v>0</v>
      </c>
      <c r="M163" t="n">
        <v>0</v>
      </c>
      <c r="N163" t="n">
        <v>0</v>
      </c>
      <c r="O163" t="n">
        <v>0</v>
      </c>
      <c r="P163" t="n">
        <v>0</v>
      </c>
      <c r="Q163" t="n">
        <v>0</v>
      </c>
      <c r="R163" s="2" t="inlineStr"/>
    </row>
    <row r="164" ht="15" customHeight="1">
      <c r="A164" t="inlineStr">
        <is>
          <t>A 10644-2020</t>
        </is>
      </c>
      <c r="B164" s="1" t="n">
        <v>43887</v>
      </c>
      <c r="C164" s="1" t="n">
        <v>45821</v>
      </c>
      <c r="D164" t="inlineStr">
        <is>
          <t>NORRBOTTENS LÄN</t>
        </is>
      </c>
      <c r="E164" t="inlineStr">
        <is>
          <t>LULEÅ</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12326-2020</t>
        </is>
      </c>
      <c r="B165" s="1" t="n">
        <v>43895</v>
      </c>
      <c r="C165" s="1" t="n">
        <v>45821</v>
      </c>
      <c r="D165" t="inlineStr">
        <is>
          <t>NORRBOTTENS LÄN</t>
        </is>
      </c>
      <c r="E165" t="inlineStr">
        <is>
          <t>LULEÅ</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12325-2020</t>
        </is>
      </c>
      <c r="B166" s="1" t="n">
        <v>43895</v>
      </c>
      <c r="C166" s="1" t="n">
        <v>45821</v>
      </c>
      <c r="D166" t="inlineStr">
        <is>
          <t>NORRBOTTENS LÄN</t>
        </is>
      </c>
      <c r="E166" t="inlineStr">
        <is>
          <t>LULEÅ</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15304-2020</t>
        </is>
      </c>
      <c r="B167" s="1" t="n">
        <v>43913</v>
      </c>
      <c r="C167" s="1" t="n">
        <v>45821</v>
      </c>
      <c r="D167" t="inlineStr">
        <is>
          <t>NORRBOTTENS LÄN</t>
        </is>
      </c>
      <c r="E167" t="inlineStr">
        <is>
          <t>LULEÅ</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16779-2020</t>
        </is>
      </c>
      <c r="B168" s="1" t="n">
        <v>43920</v>
      </c>
      <c r="C168" s="1" t="n">
        <v>45821</v>
      </c>
      <c r="D168" t="inlineStr">
        <is>
          <t>NORRBOTTENS LÄN</t>
        </is>
      </c>
      <c r="E168" t="inlineStr">
        <is>
          <t>LULEÅ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17308-2020</t>
        </is>
      </c>
      <c r="B169" s="1" t="n">
        <v>43922</v>
      </c>
      <c r="C169" s="1" t="n">
        <v>45821</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18143-2020</t>
        </is>
      </c>
      <c r="B170" s="1" t="n">
        <v>43924</v>
      </c>
      <c r="C170" s="1" t="n">
        <v>45821</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18549-2020</t>
        </is>
      </c>
      <c r="B171" s="1" t="n">
        <v>43927</v>
      </c>
      <c r="C171" s="1" t="n">
        <v>45821</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18554-2020</t>
        </is>
      </c>
      <c r="B172" s="1" t="n">
        <v>43927</v>
      </c>
      <c r="C172" s="1" t="n">
        <v>45821</v>
      </c>
      <c r="D172" t="inlineStr">
        <is>
          <t>NORRBOTTENS LÄN</t>
        </is>
      </c>
      <c r="E172" t="inlineStr">
        <is>
          <t>LULEÅ</t>
        </is>
      </c>
      <c r="G172" t="n">
        <v>3</v>
      </c>
      <c r="H172" t="n">
        <v>0</v>
      </c>
      <c r="I172" t="n">
        <v>0</v>
      </c>
      <c r="J172" t="n">
        <v>0</v>
      </c>
      <c r="K172" t="n">
        <v>0</v>
      </c>
      <c r="L172" t="n">
        <v>0</v>
      </c>
      <c r="M172" t="n">
        <v>0</v>
      </c>
      <c r="N172" t="n">
        <v>0</v>
      </c>
      <c r="O172" t="n">
        <v>0</v>
      </c>
      <c r="P172" t="n">
        <v>0</v>
      </c>
      <c r="Q172" t="n">
        <v>0</v>
      </c>
      <c r="R172" s="2" t="inlineStr"/>
    </row>
    <row r="173" ht="15" customHeight="1">
      <c r="A173" t="inlineStr">
        <is>
          <t>A 18299-2020</t>
        </is>
      </c>
      <c r="B173" s="1" t="n">
        <v>43927</v>
      </c>
      <c r="C173" s="1" t="n">
        <v>45821</v>
      </c>
      <c r="D173" t="inlineStr">
        <is>
          <t>NORRBOTTENS LÄN</t>
        </is>
      </c>
      <c r="E173" t="inlineStr">
        <is>
          <t>LULEÅ</t>
        </is>
      </c>
      <c r="G173" t="n">
        <v>2</v>
      </c>
      <c r="H173" t="n">
        <v>0</v>
      </c>
      <c r="I173" t="n">
        <v>0</v>
      </c>
      <c r="J173" t="n">
        <v>0</v>
      </c>
      <c r="K173" t="n">
        <v>0</v>
      </c>
      <c r="L173" t="n">
        <v>0</v>
      </c>
      <c r="M173" t="n">
        <v>0</v>
      </c>
      <c r="N173" t="n">
        <v>0</v>
      </c>
      <c r="O173" t="n">
        <v>0</v>
      </c>
      <c r="P173" t="n">
        <v>0</v>
      </c>
      <c r="Q173" t="n">
        <v>0</v>
      </c>
      <c r="R173" s="2" t="inlineStr"/>
    </row>
    <row r="174" ht="15" customHeight="1">
      <c r="A174" t="inlineStr">
        <is>
          <t>A 18276-2020</t>
        </is>
      </c>
      <c r="B174" s="1" t="n">
        <v>43927</v>
      </c>
      <c r="C174" s="1" t="n">
        <v>45821</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18303-2020</t>
        </is>
      </c>
      <c r="B175" s="1" t="n">
        <v>43927</v>
      </c>
      <c r="C175" s="1" t="n">
        <v>45821</v>
      </c>
      <c r="D175" t="inlineStr">
        <is>
          <t>NORRBOTTENS LÄN</t>
        </is>
      </c>
      <c r="E175" t="inlineStr">
        <is>
          <t>LULEÅ</t>
        </is>
      </c>
      <c r="G175" t="n">
        <v>6.5</v>
      </c>
      <c r="H175" t="n">
        <v>0</v>
      </c>
      <c r="I175" t="n">
        <v>0</v>
      </c>
      <c r="J175" t="n">
        <v>0</v>
      </c>
      <c r="K175" t="n">
        <v>0</v>
      </c>
      <c r="L175" t="n">
        <v>0</v>
      </c>
      <c r="M175" t="n">
        <v>0</v>
      </c>
      <c r="N175" t="n">
        <v>0</v>
      </c>
      <c r="O175" t="n">
        <v>0</v>
      </c>
      <c r="P175" t="n">
        <v>0</v>
      </c>
      <c r="Q175" t="n">
        <v>0</v>
      </c>
      <c r="R175" s="2" t="inlineStr"/>
    </row>
    <row r="176" ht="15" customHeight="1">
      <c r="A176" t="inlineStr">
        <is>
          <t>A 18278-2020</t>
        </is>
      </c>
      <c r="B176" s="1" t="n">
        <v>43927</v>
      </c>
      <c r="C176" s="1" t="n">
        <v>45821</v>
      </c>
      <c r="D176" t="inlineStr">
        <is>
          <t>NORRBOTTENS LÄN</t>
        </is>
      </c>
      <c r="E176" t="inlineStr">
        <is>
          <t>LULEÅ</t>
        </is>
      </c>
      <c r="G176" t="n">
        <v>10.5</v>
      </c>
      <c r="H176" t="n">
        <v>0</v>
      </c>
      <c r="I176" t="n">
        <v>0</v>
      </c>
      <c r="J176" t="n">
        <v>0</v>
      </c>
      <c r="K176" t="n">
        <v>0</v>
      </c>
      <c r="L176" t="n">
        <v>0</v>
      </c>
      <c r="M176" t="n">
        <v>0</v>
      </c>
      <c r="N176" t="n">
        <v>0</v>
      </c>
      <c r="O176" t="n">
        <v>0</v>
      </c>
      <c r="P176" t="n">
        <v>0</v>
      </c>
      <c r="Q176" t="n">
        <v>0</v>
      </c>
      <c r="R176" s="2" t="inlineStr"/>
    </row>
    <row r="177" ht="15" customHeight="1">
      <c r="A177" t="inlineStr">
        <is>
          <t>A 22710-2020</t>
        </is>
      </c>
      <c r="B177" s="1" t="n">
        <v>43962</v>
      </c>
      <c r="C177" s="1" t="n">
        <v>45821</v>
      </c>
      <c r="D177" t="inlineStr">
        <is>
          <t>NORRBOTTENS LÄN</t>
        </is>
      </c>
      <c r="E177" t="inlineStr">
        <is>
          <t>LULEÅ</t>
        </is>
      </c>
      <c r="G177" t="n">
        <v>0.9</v>
      </c>
      <c r="H177" t="n">
        <v>0</v>
      </c>
      <c r="I177" t="n">
        <v>0</v>
      </c>
      <c r="J177" t="n">
        <v>0</v>
      </c>
      <c r="K177" t="n">
        <v>0</v>
      </c>
      <c r="L177" t="n">
        <v>0</v>
      </c>
      <c r="M177" t="n">
        <v>0</v>
      </c>
      <c r="N177" t="n">
        <v>0</v>
      </c>
      <c r="O177" t="n">
        <v>0</v>
      </c>
      <c r="P177" t="n">
        <v>0</v>
      </c>
      <c r="Q177" t="n">
        <v>0</v>
      </c>
      <c r="R177" s="2" t="inlineStr"/>
    </row>
    <row r="178" ht="15" customHeight="1">
      <c r="A178" t="inlineStr">
        <is>
          <t>A 26062-2020</t>
        </is>
      </c>
      <c r="B178" s="1" t="n">
        <v>43985</v>
      </c>
      <c r="C178" s="1" t="n">
        <v>45821</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27417-2020</t>
        </is>
      </c>
      <c r="B179" s="1" t="n">
        <v>43992</v>
      </c>
      <c r="C179" s="1" t="n">
        <v>45821</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30049-2020</t>
        </is>
      </c>
      <c r="B180" s="1" t="n">
        <v>44006</v>
      </c>
      <c r="C180" s="1" t="n">
        <v>45821</v>
      </c>
      <c r="D180" t="inlineStr">
        <is>
          <t>NORRBOTTENS LÄN</t>
        </is>
      </c>
      <c r="E180" t="inlineStr">
        <is>
          <t>LULEÅ</t>
        </is>
      </c>
      <c r="G180" t="n">
        <v>3</v>
      </c>
      <c r="H180" t="n">
        <v>0</v>
      </c>
      <c r="I180" t="n">
        <v>0</v>
      </c>
      <c r="J180" t="n">
        <v>0</v>
      </c>
      <c r="K180" t="n">
        <v>0</v>
      </c>
      <c r="L180" t="n">
        <v>0</v>
      </c>
      <c r="M180" t="n">
        <v>0</v>
      </c>
      <c r="N180" t="n">
        <v>0</v>
      </c>
      <c r="O180" t="n">
        <v>0</v>
      </c>
      <c r="P180" t="n">
        <v>0</v>
      </c>
      <c r="Q180" t="n">
        <v>0</v>
      </c>
      <c r="R180" s="2" t="inlineStr"/>
    </row>
    <row r="181" ht="15" customHeight="1">
      <c r="A181" t="inlineStr">
        <is>
          <t>A 30336-2020</t>
        </is>
      </c>
      <c r="B181" s="1" t="n">
        <v>44007</v>
      </c>
      <c r="C181" s="1" t="n">
        <v>45821</v>
      </c>
      <c r="D181" t="inlineStr">
        <is>
          <t>NORRBOTTENS LÄN</t>
        </is>
      </c>
      <c r="E181" t="inlineStr">
        <is>
          <t>LULEÅ</t>
        </is>
      </c>
      <c r="G181" t="n">
        <v>1.3</v>
      </c>
      <c r="H181" t="n">
        <v>0</v>
      </c>
      <c r="I181" t="n">
        <v>0</v>
      </c>
      <c r="J181" t="n">
        <v>0</v>
      </c>
      <c r="K181" t="n">
        <v>0</v>
      </c>
      <c r="L181" t="n">
        <v>0</v>
      </c>
      <c r="M181" t="n">
        <v>0</v>
      </c>
      <c r="N181" t="n">
        <v>0</v>
      </c>
      <c r="O181" t="n">
        <v>0</v>
      </c>
      <c r="P181" t="n">
        <v>0</v>
      </c>
      <c r="Q181" t="n">
        <v>0</v>
      </c>
      <c r="R181" s="2" t="inlineStr"/>
    </row>
    <row r="182" ht="15" customHeight="1">
      <c r="A182" t="inlineStr">
        <is>
          <t>A 30341-2020</t>
        </is>
      </c>
      <c r="B182" s="1" t="n">
        <v>44007</v>
      </c>
      <c r="C182" s="1" t="n">
        <v>45821</v>
      </c>
      <c r="D182" t="inlineStr">
        <is>
          <t>NORRBOTTENS LÄN</t>
        </is>
      </c>
      <c r="E182" t="inlineStr">
        <is>
          <t>LULEÅ</t>
        </is>
      </c>
      <c r="G182" t="n">
        <v>0.3</v>
      </c>
      <c r="H182" t="n">
        <v>0</v>
      </c>
      <c r="I182" t="n">
        <v>0</v>
      </c>
      <c r="J182" t="n">
        <v>0</v>
      </c>
      <c r="K182" t="n">
        <v>0</v>
      </c>
      <c r="L182" t="n">
        <v>0</v>
      </c>
      <c r="M182" t="n">
        <v>0</v>
      </c>
      <c r="N182" t="n">
        <v>0</v>
      </c>
      <c r="O182" t="n">
        <v>0</v>
      </c>
      <c r="P182" t="n">
        <v>0</v>
      </c>
      <c r="Q182" t="n">
        <v>0</v>
      </c>
      <c r="R182" s="2" t="inlineStr"/>
    </row>
    <row r="183" ht="15" customHeight="1">
      <c r="A183" t="inlineStr">
        <is>
          <t>A 31972-2020</t>
        </is>
      </c>
      <c r="B183" s="1" t="n">
        <v>44014</v>
      </c>
      <c r="C183" s="1" t="n">
        <v>45821</v>
      </c>
      <c r="D183" t="inlineStr">
        <is>
          <t>NORRBOTTENS LÄN</t>
        </is>
      </c>
      <c r="E183" t="inlineStr">
        <is>
          <t>LULEÅ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32761-2020</t>
        </is>
      </c>
      <c r="B184" s="1" t="n">
        <v>44020</v>
      </c>
      <c r="C184" s="1" t="n">
        <v>45821</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34256-2020</t>
        </is>
      </c>
      <c r="B185" s="1" t="n">
        <v>44029</v>
      </c>
      <c r="C185" s="1" t="n">
        <v>45821</v>
      </c>
      <c r="D185" t="inlineStr">
        <is>
          <t>NORRBOTTENS LÄN</t>
        </is>
      </c>
      <c r="E185" t="inlineStr">
        <is>
          <t>LULEÅ</t>
        </is>
      </c>
      <c r="F185" t="inlineStr">
        <is>
          <t>SCA</t>
        </is>
      </c>
      <c r="G185" t="n">
        <v>10.4</v>
      </c>
      <c r="H185" t="n">
        <v>0</v>
      </c>
      <c r="I185" t="n">
        <v>0</v>
      </c>
      <c r="J185" t="n">
        <v>0</v>
      </c>
      <c r="K185" t="n">
        <v>0</v>
      </c>
      <c r="L185" t="n">
        <v>0</v>
      </c>
      <c r="M185" t="n">
        <v>0</v>
      </c>
      <c r="N185" t="n">
        <v>0</v>
      </c>
      <c r="O185" t="n">
        <v>0</v>
      </c>
      <c r="P185" t="n">
        <v>0</v>
      </c>
      <c r="Q185" t="n">
        <v>0</v>
      </c>
      <c r="R185" s="2" t="inlineStr"/>
    </row>
    <row r="186" ht="15" customHeight="1">
      <c r="A186" t="inlineStr">
        <is>
          <t>A 34257-2020</t>
        </is>
      </c>
      <c r="B186" s="1" t="n">
        <v>44030</v>
      </c>
      <c r="C186" s="1" t="n">
        <v>45821</v>
      </c>
      <c r="D186" t="inlineStr">
        <is>
          <t>NORRBOTTENS LÄN</t>
        </is>
      </c>
      <c r="E186" t="inlineStr">
        <is>
          <t>LULEÅ</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36549-2020</t>
        </is>
      </c>
      <c r="B187" s="1" t="n">
        <v>44050</v>
      </c>
      <c r="C187" s="1" t="n">
        <v>45821</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36929-2020</t>
        </is>
      </c>
      <c r="B188" s="1" t="n">
        <v>44053</v>
      </c>
      <c r="C188" s="1" t="n">
        <v>45821</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39169-2020</t>
        </is>
      </c>
      <c r="B189" s="1" t="n">
        <v>44063</v>
      </c>
      <c r="C189" s="1" t="n">
        <v>45821</v>
      </c>
      <c r="D189" t="inlineStr">
        <is>
          <t>NORRBOTTENS LÄN</t>
        </is>
      </c>
      <c r="E189" t="inlineStr">
        <is>
          <t>LULEÅ</t>
        </is>
      </c>
      <c r="G189" t="n">
        <v>1.4</v>
      </c>
      <c r="H189" t="n">
        <v>0</v>
      </c>
      <c r="I189" t="n">
        <v>0</v>
      </c>
      <c r="J189" t="n">
        <v>0</v>
      </c>
      <c r="K189" t="n">
        <v>0</v>
      </c>
      <c r="L189" t="n">
        <v>0</v>
      </c>
      <c r="M189" t="n">
        <v>0</v>
      </c>
      <c r="N189" t="n">
        <v>0</v>
      </c>
      <c r="O189" t="n">
        <v>0</v>
      </c>
      <c r="P189" t="n">
        <v>0</v>
      </c>
      <c r="Q189" t="n">
        <v>0</v>
      </c>
      <c r="R189" s="2" t="inlineStr"/>
    </row>
    <row r="190" ht="15" customHeight="1">
      <c r="A190" t="inlineStr">
        <is>
          <t>A 41072-2020</t>
        </is>
      </c>
      <c r="B190" s="1" t="n">
        <v>44069</v>
      </c>
      <c r="C190" s="1" t="n">
        <v>45821</v>
      </c>
      <c r="D190" t="inlineStr">
        <is>
          <t>NORRBOTTENS LÄN</t>
        </is>
      </c>
      <c r="E190" t="inlineStr">
        <is>
          <t>LULEÅ</t>
        </is>
      </c>
      <c r="G190" t="n">
        <v>21.3</v>
      </c>
      <c r="H190" t="n">
        <v>0</v>
      </c>
      <c r="I190" t="n">
        <v>0</v>
      </c>
      <c r="J190" t="n">
        <v>0</v>
      </c>
      <c r="K190" t="n">
        <v>0</v>
      </c>
      <c r="L190" t="n">
        <v>0</v>
      </c>
      <c r="M190" t="n">
        <v>0</v>
      </c>
      <c r="N190" t="n">
        <v>0</v>
      </c>
      <c r="O190" t="n">
        <v>0</v>
      </c>
      <c r="P190" t="n">
        <v>0</v>
      </c>
      <c r="Q190" t="n">
        <v>0</v>
      </c>
      <c r="R190" s="2" t="inlineStr"/>
    </row>
    <row r="191" ht="15" customHeight="1">
      <c r="A191" t="inlineStr">
        <is>
          <t>A 40896-2020</t>
        </is>
      </c>
      <c r="B191" s="1" t="n">
        <v>44070</v>
      </c>
      <c r="C191" s="1" t="n">
        <v>45821</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41864-2020</t>
        </is>
      </c>
      <c r="B192" s="1" t="n">
        <v>44074</v>
      </c>
      <c r="C192" s="1" t="n">
        <v>45821</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41990-2020</t>
        </is>
      </c>
      <c r="B193" s="1" t="n">
        <v>44075</v>
      </c>
      <c r="C193" s="1" t="n">
        <v>45821</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42177-2020</t>
        </is>
      </c>
      <c r="B194" s="1" t="n">
        <v>44075</v>
      </c>
      <c r="C194" s="1" t="n">
        <v>45821</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42176-2020</t>
        </is>
      </c>
      <c r="B195" s="1" t="n">
        <v>44075</v>
      </c>
      <c r="C195" s="1" t="n">
        <v>45821</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43556-2020</t>
        </is>
      </c>
      <c r="B196" s="1" t="n">
        <v>44077</v>
      </c>
      <c r="C196" s="1" t="n">
        <v>45821</v>
      </c>
      <c r="D196" t="inlineStr">
        <is>
          <t>NORRBOTTENS LÄN</t>
        </is>
      </c>
      <c r="E196" t="inlineStr">
        <is>
          <t>LULEÅ</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42939-2020</t>
        </is>
      </c>
      <c r="B197" s="1" t="n">
        <v>44078</v>
      </c>
      <c r="C197" s="1" t="n">
        <v>45821</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46395-2020</t>
        </is>
      </c>
      <c r="B198" s="1" t="n">
        <v>44094</v>
      </c>
      <c r="C198" s="1" t="n">
        <v>45821</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47063-2020</t>
        </is>
      </c>
      <c r="B199" s="1" t="n">
        <v>44096</v>
      </c>
      <c r="C199" s="1" t="n">
        <v>45821</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50622-2020</t>
        </is>
      </c>
      <c r="B200" s="1" t="n">
        <v>44110</v>
      </c>
      <c r="C200" s="1" t="n">
        <v>45821</v>
      </c>
      <c r="D200" t="inlineStr">
        <is>
          <t>NORRBOTTENS LÄN</t>
        </is>
      </c>
      <c r="E200" t="inlineStr">
        <is>
          <t>LULEÅ</t>
        </is>
      </c>
      <c r="F200" t="inlineStr">
        <is>
          <t>SCA</t>
        </is>
      </c>
      <c r="G200" t="n">
        <v>4.7</v>
      </c>
      <c r="H200" t="n">
        <v>0</v>
      </c>
      <c r="I200" t="n">
        <v>0</v>
      </c>
      <c r="J200" t="n">
        <v>0</v>
      </c>
      <c r="K200" t="n">
        <v>0</v>
      </c>
      <c r="L200" t="n">
        <v>0</v>
      </c>
      <c r="M200" t="n">
        <v>0</v>
      </c>
      <c r="N200" t="n">
        <v>0</v>
      </c>
      <c r="O200" t="n">
        <v>0</v>
      </c>
      <c r="P200" t="n">
        <v>0</v>
      </c>
      <c r="Q200" t="n">
        <v>0</v>
      </c>
      <c r="R200" s="2" t="inlineStr"/>
    </row>
    <row r="201" ht="15" customHeight="1">
      <c r="A201" t="inlineStr">
        <is>
          <t>A 50778-2020</t>
        </is>
      </c>
      <c r="B201" s="1" t="n">
        <v>44111</v>
      </c>
      <c r="C201" s="1" t="n">
        <v>45821</v>
      </c>
      <c r="D201" t="inlineStr">
        <is>
          <t>NORRBOTTENS LÄN</t>
        </is>
      </c>
      <c r="E201" t="inlineStr">
        <is>
          <t>LULEÅ</t>
        </is>
      </c>
      <c r="G201" t="n">
        <v>1.4</v>
      </c>
      <c r="H201" t="n">
        <v>0</v>
      </c>
      <c r="I201" t="n">
        <v>0</v>
      </c>
      <c r="J201" t="n">
        <v>0</v>
      </c>
      <c r="K201" t="n">
        <v>0</v>
      </c>
      <c r="L201" t="n">
        <v>0</v>
      </c>
      <c r="M201" t="n">
        <v>0</v>
      </c>
      <c r="N201" t="n">
        <v>0</v>
      </c>
      <c r="O201" t="n">
        <v>0</v>
      </c>
      <c r="P201" t="n">
        <v>0</v>
      </c>
      <c r="Q201" t="n">
        <v>0</v>
      </c>
      <c r="R201" s="2" t="inlineStr"/>
    </row>
    <row r="202" ht="15" customHeight="1">
      <c r="A202" t="inlineStr">
        <is>
          <t>A 50705-2020</t>
        </is>
      </c>
      <c r="B202" s="1" t="n">
        <v>44111</v>
      </c>
      <c r="C202" s="1" t="n">
        <v>45821</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51128-2020</t>
        </is>
      </c>
      <c r="B203" s="1" t="n">
        <v>44112</v>
      </c>
      <c r="C203" s="1" t="n">
        <v>45821</v>
      </c>
      <c r="D203" t="inlineStr">
        <is>
          <t>NORRBOTTENS LÄN</t>
        </is>
      </c>
      <c r="E203" t="inlineStr">
        <is>
          <t>LULEÅ</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51117-2020</t>
        </is>
      </c>
      <c r="B204" s="1" t="n">
        <v>44112</v>
      </c>
      <c r="C204" s="1" t="n">
        <v>45821</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51210-2020</t>
        </is>
      </c>
      <c r="B205" s="1" t="n">
        <v>44112</v>
      </c>
      <c r="C205" s="1" t="n">
        <v>45821</v>
      </c>
      <c r="D205" t="inlineStr">
        <is>
          <t>NORRBOTTENS LÄN</t>
        </is>
      </c>
      <c r="E205" t="inlineStr">
        <is>
          <t>LULEÅ</t>
        </is>
      </c>
      <c r="G205" t="n">
        <v>3.8</v>
      </c>
      <c r="H205" t="n">
        <v>0</v>
      </c>
      <c r="I205" t="n">
        <v>0</v>
      </c>
      <c r="J205" t="n">
        <v>0</v>
      </c>
      <c r="K205" t="n">
        <v>0</v>
      </c>
      <c r="L205" t="n">
        <v>0</v>
      </c>
      <c r="M205" t="n">
        <v>0</v>
      </c>
      <c r="N205" t="n">
        <v>0</v>
      </c>
      <c r="O205" t="n">
        <v>0</v>
      </c>
      <c r="P205" t="n">
        <v>0</v>
      </c>
      <c r="Q205" t="n">
        <v>0</v>
      </c>
      <c r="R205" s="2" t="inlineStr"/>
    </row>
    <row r="206" ht="15" customHeight="1">
      <c r="A206" t="inlineStr">
        <is>
          <t>A 53118-2020</t>
        </is>
      </c>
      <c r="B206" s="1" t="n">
        <v>44120</v>
      </c>
      <c r="C206" s="1" t="n">
        <v>45821</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53105-2020</t>
        </is>
      </c>
      <c r="B207" s="1" t="n">
        <v>44120</v>
      </c>
      <c r="C207" s="1" t="n">
        <v>45821</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54538-2020</t>
        </is>
      </c>
      <c r="B208" s="1" t="n">
        <v>44126</v>
      </c>
      <c r="C208" s="1" t="n">
        <v>45821</v>
      </c>
      <c r="D208" t="inlineStr">
        <is>
          <t>NORRBOTTENS LÄN</t>
        </is>
      </c>
      <c r="E208" t="inlineStr">
        <is>
          <t>LULEÅ</t>
        </is>
      </c>
      <c r="G208" t="n">
        <v>10.5</v>
      </c>
      <c r="H208" t="n">
        <v>0</v>
      </c>
      <c r="I208" t="n">
        <v>0</v>
      </c>
      <c r="J208" t="n">
        <v>0</v>
      </c>
      <c r="K208" t="n">
        <v>0</v>
      </c>
      <c r="L208" t="n">
        <v>0</v>
      </c>
      <c r="M208" t="n">
        <v>0</v>
      </c>
      <c r="N208" t="n">
        <v>0</v>
      </c>
      <c r="O208" t="n">
        <v>0</v>
      </c>
      <c r="P208" t="n">
        <v>0</v>
      </c>
      <c r="Q208" t="n">
        <v>0</v>
      </c>
      <c r="R208" s="2" t="inlineStr"/>
    </row>
    <row r="209" ht="15" customHeight="1">
      <c r="A209" t="inlineStr">
        <is>
          <t>A 54594-2020</t>
        </is>
      </c>
      <c r="B209" s="1" t="n">
        <v>44126</v>
      </c>
      <c r="C209" s="1" t="n">
        <v>45821</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59747-2020</t>
        </is>
      </c>
      <c r="B210" s="1" t="n">
        <v>44148</v>
      </c>
      <c r="C210" s="1" t="n">
        <v>45821</v>
      </c>
      <c r="D210" t="inlineStr">
        <is>
          <t>NORRBOTTENS LÄN</t>
        </is>
      </c>
      <c r="E210" t="inlineStr">
        <is>
          <t>LULEÅ</t>
        </is>
      </c>
      <c r="G210" t="n">
        <v>7.7</v>
      </c>
      <c r="H210" t="n">
        <v>0</v>
      </c>
      <c r="I210" t="n">
        <v>0</v>
      </c>
      <c r="J210" t="n">
        <v>0</v>
      </c>
      <c r="K210" t="n">
        <v>0</v>
      </c>
      <c r="L210" t="n">
        <v>0</v>
      </c>
      <c r="M210" t="n">
        <v>0</v>
      </c>
      <c r="N210" t="n">
        <v>0</v>
      </c>
      <c r="O210" t="n">
        <v>0</v>
      </c>
      <c r="P210" t="n">
        <v>0</v>
      </c>
      <c r="Q210" t="n">
        <v>0</v>
      </c>
      <c r="R210" s="2" t="inlineStr"/>
    </row>
    <row r="211" ht="15" customHeight="1">
      <c r="A211" t="inlineStr">
        <is>
          <t>A 59858-2020</t>
        </is>
      </c>
      <c r="B211" s="1" t="n">
        <v>44148</v>
      </c>
      <c r="C211" s="1" t="n">
        <v>45821</v>
      </c>
      <c r="D211" t="inlineStr">
        <is>
          <t>NORRBOTTENS LÄN</t>
        </is>
      </c>
      <c r="E211" t="inlineStr">
        <is>
          <t>LULEÅ</t>
        </is>
      </c>
      <c r="G211" t="n">
        <v>0.8</v>
      </c>
      <c r="H211" t="n">
        <v>0</v>
      </c>
      <c r="I211" t="n">
        <v>0</v>
      </c>
      <c r="J211" t="n">
        <v>0</v>
      </c>
      <c r="K211" t="n">
        <v>0</v>
      </c>
      <c r="L211" t="n">
        <v>0</v>
      </c>
      <c r="M211" t="n">
        <v>0</v>
      </c>
      <c r="N211" t="n">
        <v>0</v>
      </c>
      <c r="O211" t="n">
        <v>0</v>
      </c>
      <c r="P211" t="n">
        <v>0</v>
      </c>
      <c r="Q211" t="n">
        <v>0</v>
      </c>
      <c r="R211" s="2" t="inlineStr"/>
    </row>
    <row r="212" ht="15" customHeight="1">
      <c r="A212" t="inlineStr">
        <is>
          <t>A 60642-2020</t>
        </is>
      </c>
      <c r="B212" s="1" t="n">
        <v>44152</v>
      </c>
      <c r="C212" s="1" t="n">
        <v>45821</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61072-2020</t>
        </is>
      </c>
      <c r="B213" s="1" t="n">
        <v>44154</v>
      </c>
      <c r="C213" s="1" t="n">
        <v>45821</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61598-2020</t>
        </is>
      </c>
      <c r="B214" s="1" t="n">
        <v>44154</v>
      </c>
      <c r="C214" s="1" t="n">
        <v>45821</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61600-2020</t>
        </is>
      </c>
      <c r="B215" s="1" t="n">
        <v>44154</v>
      </c>
      <c r="C215" s="1" t="n">
        <v>45821</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61490-2020</t>
        </is>
      </c>
      <c r="B216" s="1" t="n">
        <v>44158</v>
      </c>
      <c r="C216" s="1" t="n">
        <v>45821</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63024-2020</t>
        </is>
      </c>
      <c r="B217" s="1" t="n">
        <v>44162</v>
      </c>
      <c r="C217" s="1" t="n">
        <v>45821</v>
      </c>
      <c r="D217" t="inlineStr">
        <is>
          <t>NORRBOTTENS LÄN</t>
        </is>
      </c>
      <c r="E217" t="inlineStr">
        <is>
          <t>LULEÅ</t>
        </is>
      </c>
      <c r="F217" t="inlineStr">
        <is>
          <t>Kyrkan</t>
        </is>
      </c>
      <c r="G217" t="n">
        <v>27.4</v>
      </c>
      <c r="H217" t="n">
        <v>0</v>
      </c>
      <c r="I217" t="n">
        <v>0</v>
      </c>
      <c r="J217" t="n">
        <v>0</v>
      </c>
      <c r="K217" t="n">
        <v>0</v>
      </c>
      <c r="L217" t="n">
        <v>0</v>
      </c>
      <c r="M217" t="n">
        <v>0</v>
      </c>
      <c r="N217" t="n">
        <v>0</v>
      </c>
      <c r="O217" t="n">
        <v>0</v>
      </c>
      <c r="P217" t="n">
        <v>0</v>
      </c>
      <c r="Q217" t="n">
        <v>0</v>
      </c>
      <c r="R217" s="2" t="inlineStr"/>
    </row>
    <row r="218" ht="15" customHeight="1">
      <c r="A218" t="inlineStr">
        <is>
          <t>A 63825-2020</t>
        </is>
      </c>
      <c r="B218" s="1" t="n">
        <v>44165</v>
      </c>
      <c r="C218" s="1" t="n">
        <v>45821</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63828-2020</t>
        </is>
      </c>
      <c r="B219" s="1" t="n">
        <v>44165</v>
      </c>
      <c r="C219" s="1" t="n">
        <v>45821</v>
      </c>
      <c r="D219" t="inlineStr">
        <is>
          <t>NORRBOTTENS LÄN</t>
        </is>
      </c>
      <c r="E219" t="inlineStr">
        <is>
          <t>LULEÅ</t>
        </is>
      </c>
      <c r="G219" t="n">
        <v>5.3</v>
      </c>
      <c r="H219" t="n">
        <v>0</v>
      </c>
      <c r="I219" t="n">
        <v>0</v>
      </c>
      <c r="J219" t="n">
        <v>0</v>
      </c>
      <c r="K219" t="n">
        <v>0</v>
      </c>
      <c r="L219" t="n">
        <v>0</v>
      </c>
      <c r="M219" t="n">
        <v>0</v>
      </c>
      <c r="N219" t="n">
        <v>0</v>
      </c>
      <c r="O219" t="n">
        <v>0</v>
      </c>
      <c r="P219" t="n">
        <v>0</v>
      </c>
      <c r="Q219" t="n">
        <v>0</v>
      </c>
      <c r="R219" s="2" t="inlineStr"/>
    </row>
    <row r="220" ht="15" customHeight="1">
      <c r="A220" t="inlineStr">
        <is>
          <t>A 63901-2020</t>
        </is>
      </c>
      <c r="B220" s="1" t="n">
        <v>44165</v>
      </c>
      <c r="C220" s="1" t="n">
        <v>45821</v>
      </c>
      <c r="D220" t="inlineStr">
        <is>
          <t>NORRBOTTENS LÄN</t>
        </is>
      </c>
      <c r="E220" t="inlineStr">
        <is>
          <t>LULEÅ</t>
        </is>
      </c>
      <c r="G220" t="n">
        <v>2.8</v>
      </c>
      <c r="H220" t="n">
        <v>0</v>
      </c>
      <c r="I220" t="n">
        <v>0</v>
      </c>
      <c r="J220" t="n">
        <v>0</v>
      </c>
      <c r="K220" t="n">
        <v>0</v>
      </c>
      <c r="L220" t="n">
        <v>0</v>
      </c>
      <c r="M220" t="n">
        <v>0</v>
      </c>
      <c r="N220" t="n">
        <v>0</v>
      </c>
      <c r="O220" t="n">
        <v>0</v>
      </c>
      <c r="P220" t="n">
        <v>0</v>
      </c>
      <c r="Q220" t="n">
        <v>0</v>
      </c>
      <c r="R220" s="2" t="inlineStr"/>
    </row>
    <row r="221" ht="15" customHeight="1">
      <c r="A221" t="inlineStr">
        <is>
          <t>A 64678-2020</t>
        </is>
      </c>
      <c r="B221" s="1" t="n">
        <v>44166</v>
      </c>
      <c r="C221" s="1" t="n">
        <v>45821</v>
      </c>
      <c r="D221" t="inlineStr">
        <is>
          <t>NORRBOTTENS LÄN</t>
        </is>
      </c>
      <c r="E221" t="inlineStr">
        <is>
          <t>LULEÅ</t>
        </is>
      </c>
      <c r="G221" t="n">
        <v>2.9</v>
      </c>
      <c r="H221" t="n">
        <v>0</v>
      </c>
      <c r="I221" t="n">
        <v>0</v>
      </c>
      <c r="J221" t="n">
        <v>0</v>
      </c>
      <c r="K221" t="n">
        <v>0</v>
      </c>
      <c r="L221" t="n">
        <v>0</v>
      </c>
      <c r="M221" t="n">
        <v>0</v>
      </c>
      <c r="N221" t="n">
        <v>0</v>
      </c>
      <c r="O221" t="n">
        <v>0</v>
      </c>
      <c r="P221" t="n">
        <v>0</v>
      </c>
      <c r="Q221" t="n">
        <v>0</v>
      </c>
      <c r="R221" s="2" t="inlineStr"/>
    </row>
    <row r="222" ht="15" customHeight="1">
      <c r="A222" t="inlineStr">
        <is>
          <t>A 64527-2020</t>
        </is>
      </c>
      <c r="B222" s="1" t="n">
        <v>44166</v>
      </c>
      <c r="C222" s="1" t="n">
        <v>45821</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66925-2020</t>
        </is>
      </c>
      <c r="B223" s="1" t="n">
        <v>44176</v>
      </c>
      <c r="C223" s="1" t="n">
        <v>45821</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67938-2020</t>
        </is>
      </c>
      <c r="B224" s="1" t="n">
        <v>44182</v>
      </c>
      <c r="C224" s="1" t="n">
        <v>45821</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68269-2020</t>
        </is>
      </c>
      <c r="B225" s="1" t="n">
        <v>44183</v>
      </c>
      <c r="C225" s="1" t="n">
        <v>45821</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68701-2020</t>
        </is>
      </c>
      <c r="B226" s="1" t="n">
        <v>44186</v>
      </c>
      <c r="C226" s="1" t="n">
        <v>45821</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1144-2021</t>
        </is>
      </c>
      <c r="B227" s="1" t="n">
        <v>44207</v>
      </c>
      <c r="C227" s="1" t="n">
        <v>45821</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1147-2021</t>
        </is>
      </c>
      <c r="B228" s="1" t="n">
        <v>44207</v>
      </c>
      <c r="C228" s="1" t="n">
        <v>45821</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2369-2021</t>
        </is>
      </c>
      <c r="B229" s="1" t="n">
        <v>44211</v>
      </c>
      <c r="C229" s="1" t="n">
        <v>45821</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2385-2021</t>
        </is>
      </c>
      <c r="B230" s="1" t="n">
        <v>44211</v>
      </c>
      <c r="C230" s="1" t="n">
        <v>45821</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2380-2021</t>
        </is>
      </c>
      <c r="B231" s="1" t="n">
        <v>44211</v>
      </c>
      <c r="C231" s="1" t="n">
        <v>45821</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2392-2021</t>
        </is>
      </c>
      <c r="B232" s="1" t="n">
        <v>44211</v>
      </c>
      <c r="C232" s="1" t="n">
        <v>45821</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2403-2021</t>
        </is>
      </c>
      <c r="B233" s="1" t="n">
        <v>44211</v>
      </c>
      <c r="C233" s="1" t="n">
        <v>45821</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2397-2021</t>
        </is>
      </c>
      <c r="B234" s="1" t="n">
        <v>44211</v>
      </c>
      <c r="C234" s="1" t="n">
        <v>45821</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5559-2021</t>
        </is>
      </c>
      <c r="B235" s="1" t="n">
        <v>44229</v>
      </c>
      <c r="C235" s="1" t="n">
        <v>45821</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6018-2021</t>
        </is>
      </c>
      <c r="B236" s="1" t="n">
        <v>44231</v>
      </c>
      <c r="C236" s="1" t="n">
        <v>45821</v>
      </c>
      <c r="D236" t="inlineStr">
        <is>
          <t>NORRBOTTENS LÄN</t>
        </is>
      </c>
      <c r="E236" t="inlineStr">
        <is>
          <t>LULEÅ</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6488-2021</t>
        </is>
      </c>
      <c r="B237" s="1" t="n">
        <v>44235</v>
      </c>
      <c r="C237" s="1" t="n">
        <v>45821</v>
      </c>
      <c r="D237" t="inlineStr">
        <is>
          <t>NORRBOTTENS LÄN</t>
        </is>
      </c>
      <c r="E237" t="inlineStr">
        <is>
          <t>LULEÅ</t>
        </is>
      </c>
      <c r="G237" t="n">
        <v>2.7</v>
      </c>
      <c r="H237" t="n">
        <v>0</v>
      </c>
      <c r="I237" t="n">
        <v>0</v>
      </c>
      <c r="J237" t="n">
        <v>0</v>
      </c>
      <c r="K237" t="n">
        <v>0</v>
      </c>
      <c r="L237" t="n">
        <v>0</v>
      </c>
      <c r="M237" t="n">
        <v>0</v>
      </c>
      <c r="N237" t="n">
        <v>0</v>
      </c>
      <c r="O237" t="n">
        <v>0</v>
      </c>
      <c r="P237" t="n">
        <v>0</v>
      </c>
      <c r="Q237" t="n">
        <v>0</v>
      </c>
      <c r="R237" s="2" t="inlineStr"/>
    </row>
    <row r="238" ht="15" customHeight="1">
      <c r="A238" t="inlineStr">
        <is>
          <t>A 7421-2021</t>
        </is>
      </c>
      <c r="B238" s="1" t="n">
        <v>44239</v>
      </c>
      <c r="C238" s="1" t="n">
        <v>45821</v>
      </c>
      <c r="D238" t="inlineStr">
        <is>
          <t>NORRBOTTENS LÄN</t>
        </is>
      </c>
      <c r="E238" t="inlineStr">
        <is>
          <t>LULEÅ</t>
        </is>
      </c>
      <c r="G238" t="n">
        <v>0.8</v>
      </c>
      <c r="H238" t="n">
        <v>0</v>
      </c>
      <c r="I238" t="n">
        <v>0</v>
      </c>
      <c r="J238" t="n">
        <v>0</v>
      </c>
      <c r="K238" t="n">
        <v>0</v>
      </c>
      <c r="L238" t="n">
        <v>0</v>
      </c>
      <c r="M238" t="n">
        <v>0</v>
      </c>
      <c r="N238" t="n">
        <v>0</v>
      </c>
      <c r="O238" t="n">
        <v>0</v>
      </c>
      <c r="P238" t="n">
        <v>0</v>
      </c>
      <c r="Q238" t="n">
        <v>0</v>
      </c>
      <c r="R238" s="2" t="inlineStr"/>
    </row>
    <row r="239" ht="15" customHeight="1">
      <c r="A239" t="inlineStr">
        <is>
          <t>A 7417-2021</t>
        </is>
      </c>
      <c r="B239" s="1" t="n">
        <v>44239</v>
      </c>
      <c r="C239" s="1" t="n">
        <v>45821</v>
      </c>
      <c r="D239" t="inlineStr">
        <is>
          <t>NORRBOTTENS LÄN</t>
        </is>
      </c>
      <c r="E239" t="inlineStr">
        <is>
          <t>LULEÅ</t>
        </is>
      </c>
      <c r="G239" t="n">
        <v>2.2</v>
      </c>
      <c r="H239" t="n">
        <v>0</v>
      </c>
      <c r="I239" t="n">
        <v>0</v>
      </c>
      <c r="J239" t="n">
        <v>0</v>
      </c>
      <c r="K239" t="n">
        <v>0</v>
      </c>
      <c r="L239" t="n">
        <v>0</v>
      </c>
      <c r="M239" t="n">
        <v>0</v>
      </c>
      <c r="N239" t="n">
        <v>0</v>
      </c>
      <c r="O239" t="n">
        <v>0</v>
      </c>
      <c r="P239" t="n">
        <v>0</v>
      </c>
      <c r="Q239" t="n">
        <v>0</v>
      </c>
      <c r="R239" s="2" t="inlineStr"/>
    </row>
    <row r="240" ht="15" customHeight="1">
      <c r="A240" t="inlineStr">
        <is>
          <t>A 7429-2021</t>
        </is>
      </c>
      <c r="B240" s="1" t="n">
        <v>44239</v>
      </c>
      <c r="C240" s="1" t="n">
        <v>45821</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7468-2021</t>
        </is>
      </c>
      <c r="B241" s="1" t="n">
        <v>44239</v>
      </c>
      <c r="C241" s="1" t="n">
        <v>45821</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7726-2021</t>
        </is>
      </c>
      <c r="B242" s="1" t="n">
        <v>44239</v>
      </c>
      <c r="C242" s="1" t="n">
        <v>45821</v>
      </c>
      <c r="D242" t="inlineStr">
        <is>
          <t>NORRBOTTENS LÄN</t>
        </is>
      </c>
      <c r="E242" t="inlineStr">
        <is>
          <t>LULEÅ</t>
        </is>
      </c>
      <c r="G242" t="n">
        <v>0.7</v>
      </c>
      <c r="H242" t="n">
        <v>0</v>
      </c>
      <c r="I242" t="n">
        <v>0</v>
      </c>
      <c r="J242" t="n">
        <v>0</v>
      </c>
      <c r="K242" t="n">
        <v>0</v>
      </c>
      <c r="L242" t="n">
        <v>0</v>
      </c>
      <c r="M242" t="n">
        <v>0</v>
      </c>
      <c r="N242" t="n">
        <v>0</v>
      </c>
      <c r="O242" t="n">
        <v>0</v>
      </c>
      <c r="P242" t="n">
        <v>0</v>
      </c>
      <c r="Q242" t="n">
        <v>0</v>
      </c>
      <c r="R242" s="2" t="inlineStr"/>
    </row>
    <row r="243" ht="15" customHeight="1">
      <c r="A243" t="inlineStr">
        <is>
          <t>A 8164-2021</t>
        </is>
      </c>
      <c r="B243" s="1" t="n">
        <v>44243</v>
      </c>
      <c r="C243" s="1" t="n">
        <v>45821</v>
      </c>
      <c r="D243" t="inlineStr">
        <is>
          <t>NORRBOTTENS LÄN</t>
        </is>
      </c>
      <c r="E243" t="inlineStr">
        <is>
          <t>LULEÅ</t>
        </is>
      </c>
      <c r="G243" t="n">
        <v>5.4</v>
      </c>
      <c r="H243" t="n">
        <v>0</v>
      </c>
      <c r="I243" t="n">
        <v>0</v>
      </c>
      <c r="J243" t="n">
        <v>0</v>
      </c>
      <c r="K243" t="n">
        <v>0</v>
      </c>
      <c r="L243" t="n">
        <v>0</v>
      </c>
      <c r="M243" t="n">
        <v>0</v>
      </c>
      <c r="N243" t="n">
        <v>0</v>
      </c>
      <c r="O243" t="n">
        <v>0</v>
      </c>
      <c r="P243" t="n">
        <v>0</v>
      </c>
      <c r="Q243" t="n">
        <v>0</v>
      </c>
      <c r="R243" s="2" t="inlineStr"/>
    </row>
    <row r="244" ht="15" customHeight="1">
      <c r="A244" t="inlineStr">
        <is>
          <t>A 7956-2021</t>
        </is>
      </c>
      <c r="B244" s="1" t="n">
        <v>44243</v>
      </c>
      <c r="C244" s="1" t="n">
        <v>45821</v>
      </c>
      <c r="D244" t="inlineStr">
        <is>
          <t>NORRBOTTENS LÄN</t>
        </is>
      </c>
      <c r="E244" t="inlineStr">
        <is>
          <t>LULEÅ</t>
        </is>
      </c>
      <c r="G244" t="n">
        <v>4.3</v>
      </c>
      <c r="H244" t="n">
        <v>0</v>
      </c>
      <c r="I244" t="n">
        <v>0</v>
      </c>
      <c r="J244" t="n">
        <v>0</v>
      </c>
      <c r="K244" t="n">
        <v>0</v>
      </c>
      <c r="L244" t="n">
        <v>0</v>
      </c>
      <c r="M244" t="n">
        <v>0</v>
      </c>
      <c r="N244" t="n">
        <v>0</v>
      </c>
      <c r="O244" t="n">
        <v>0</v>
      </c>
      <c r="P244" t="n">
        <v>0</v>
      </c>
      <c r="Q244" t="n">
        <v>0</v>
      </c>
      <c r="R244" s="2" t="inlineStr"/>
    </row>
    <row r="245" ht="15" customHeight="1">
      <c r="A245" t="inlineStr">
        <is>
          <t>A 8161-2021</t>
        </is>
      </c>
      <c r="B245" s="1" t="n">
        <v>44243</v>
      </c>
      <c r="C245" s="1" t="n">
        <v>45821</v>
      </c>
      <c r="D245" t="inlineStr">
        <is>
          <t>NORRBOTTENS LÄN</t>
        </is>
      </c>
      <c r="E245" t="inlineStr">
        <is>
          <t>LULEÅ</t>
        </is>
      </c>
      <c r="G245" t="n">
        <v>3.2</v>
      </c>
      <c r="H245" t="n">
        <v>0</v>
      </c>
      <c r="I245" t="n">
        <v>0</v>
      </c>
      <c r="J245" t="n">
        <v>0</v>
      </c>
      <c r="K245" t="n">
        <v>0</v>
      </c>
      <c r="L245" t="n">
        <v>0</v>
      </c>
      <c r="M245" t="n">
        <v>0</v>
      </c>
      <c r="N245" t="n">
        <v>0</v>
      </c>
      <c r="O245" t="n">
        <v>0</v>
      </c>
      <c r="P245" t="n">
        <v>0</v>
      </c>
      <c r="Q245" t="n">
        <v>0</v>
      </c>
      <c r="R245" s="2" t="inlineStr"/>
    </row>
    <row r="246" ht="15" customHeight="1">
      <c r="A246" t="inlineStr">
        <is>
          <t>A 8834-2021</t>
        </is>
      </c>
      <c r="B246" s="1" t="n">
        <v>44245</v>
      </c>
      <c r="C246" s="1" t="n">
        <v>45821</v>
      </c>
      <c r="D246" t="inlineStr">
        <is>
          <t>NORRBOTTENS LÄN</t>
        </is>
      </c>
      <c r="E246" t="inlineStr">
        <is>
          <t>LULEÅ</t>
        </is>
      </c>
      <c r="G246" t="n">
        <v>7.7</v>
      </c>
      <c r="H246" t="n">
        <v>0</v>
      </c>
      <c r="I246" t="n">
        <v>0</v>
      </c>
      <c r="J246" t="n">
        <v>0</v>
      </c>
      <c r="K246" t="n">
        <v>0</v>
      </c>
      <c r="L246" t="n">
        <v>0</v>
      </c>
      <c r="M246" t="n">
        <v>0</v>
      </c>
      <c r="N246" t="n">
        <v>0</v>
      </c>
      <c r="O246" t="n">
        <v>0</v>
      </c>
      <c r="P246" t="n">
        <v>0</v>
      </c>
      <c r="Q246" t="n">
        <v>0</v>
      </c>
      <c r="R246" s="2" t="inlineStr"/>
    </row>
    <row r="247" ht="15" customHeight="1">
      <c r="A247" t="inlineStr">
        <is>
          <t>A 10951-2021</t>
        </is>
      </c>
      <c r="B247" s="1" t="n">
        <v>44259</v>
      </c>
      <c r="C247" s="1" t="n">
        <v>45821</v>
      </c>
      <c r="D247" t="inlineStr">
        <is>
          <t>NORRBOTTENS LÄN</t>
        </is>
      </c>
      <c r="E247" t="inlineStr">
        <is>
          <t>LULEÅ</t>
        </is>
      </c>
      <c r="G247" t="n">
        <v>10.7</v>
      </c>
      <c r="H247" t="n">
        <v>0</v>
      </c>
      <c r="I247" t="n">
        <v>0</v>
      </c>
      <c r="J247" t="n">
        <v>0</v>
      </c>
      <c r="K247" t="n">
        <v>0</v>
      </c>
      <c r="L247" t="n">
        <v>0</v>
      </c>
      <c r="M247" t="n">
        <v>0</v>
      </c>
      <c r="N247" t="n">
        <v>0</v>
      </c>
      <c r="O247" t="n">
        <v>0</v>
      </c>
      <c r="P247" t="n">
        <v>0</v>
      </c>
      <c r="Q247" t="n">
        <v>0</v>
      </c>
      <c r="R247" s="2" t="inlineStr"/>
    </row>
    <row r="248" ht="15" customHeight="1">
      <c r="A248" t="inlineStr">
        <is>
          <t>A 11242-2021</t>
        </is>
      </c>
      <c r="B248" s="1" t="n">
        <v>44263</v>
      </c>
      <c r="C248" s="1" t="n">
        <v>45821</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11734-2021</t>
        </is>
      </c>
      <c r="B249" s="1" t="n">
        <v>44264</v>
      </c>
      <c r="C249" s="1" t="n">
        <v>45821</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11848-2021</t>
        </is>
      </c>
      <c r="B250" s="1" t="n">
        <v>44264</v>
      </c>
      <c r="C250" s="1" t="n">
        <v>45821</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11847-2021</t>
        </is>
      </c>
      <c r="B251" s="1" t="n">
        <v>44264</v>
      </c>
      <c r="C251" s="1" t="n">
        <v>45821</v>
      </c>
      <c r="D251" t="inlineStr">
        <is>
          <t>NORRBOTTENS LÄN</t>
        </is>
      </c>
      <c r="E251" t="inlineStr">
        <is>
          <t>LULEÅ</t>
        </is>
      </c>
      <c r="G251" t="n">
        <v>1.7</v>
      </c>
      <c r="H251" t="n">
        <v>0</v>
      </c>
      <c r="I251" t="n">
        <v>0</v>
      </c>
      <c r="J251" t="n">
        <v>0</v>
      </c>
      <c r="K251" t="n">
        <v>0</v>
      </c>
      <c r="L251" t="n">
        <v>0</v>
      </c>
      <c r="M251" t="n">
        <v>0</v>
      </c>
      <c r="N251" t="n">
        <v>0</v>
      </c>
      <c r="O251" t="n">
        <v>0</v>
      </c>
      <c r="P251" t="n">
        <v>0</v>
      </c>
      <c r="Q251" t="n">
        <v>0</v>
      </c>
      <c r="R251" s="2" t="inlineStr"/>
    </row>
    <row r="252" ht="15" customHeight="1">
      <c r="A252" t="inlineStr">
        <is>
          <t>A 13248-2021</t>
        </is>
      </c>
      <c r="B252" s="1" t="n">
        <v>44272</v>
      </c>
      <c r="C252" s="1" t="n">
        <v>45821</v>
      </c>
      <c r="D252" t="inlineStr">
        <is>
          <t>NORRBOTTENS LÄN</t>
        </is>
      </c>
      <c r="E252" t="inlineStr">
        <is>
          <t>LULEÅ</t>
        </is>
      </c>
      <c r="G252" t="n">
        <v>9.9</v>
      </c>
      <c r="H252" t="n">
        <v>0</v>
      </c>
      <c r="I252" t="n">
        <v>0</v>
      </c>
      <c r="J252" t="n">
        <v>0</v>
      </c>
      <c r="K252" t="n">
        <v>0</v>
      </c>
      <c r="L252" t="n">
        <v>0</v>
      </c>
      <c r="M252" t="n">
        <v>0</v>
      </c>
      <c r="N252" t="n">
        <v>0</v>
      </c>
      <c r="O252" t="n">
        <v>0</v>
      </c>
      <c r="P252" t="n">
        <v>0</v>
      </c>
      <c r="Q252" t="n">
        <v>0</v>
      </c>
      <c r="R252" s="2" t="inlineStr"/>
    </row>
    <row r="253" ht="15" customHeight="1">
      <c r="A253" t="inlineStr">
        <is>
          <t>A 14891-2021</t>
        </is>
      </c>
      <c r="B253" s="1" t="n">
        <v>44280</v>
      </c>
      <c r="C253" s="1" t="n">
        <v>45821</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14886-2021</t>
        </is>
      </c>
      <c r="B254" s="1" t="n">
        <v>44280</v>
      </c>
      <c r="C254" s="1" t="n">
        <v>45821</v>
      </c>
      <c r="D254" t="inlineStr">
        <is>
          <t>NORRBOTTENS LÄN</t>
        </is>
      </c>
      <c r="E254" t="inlineStr">
        <is>
          <t>LULEÅ</t>
        </is>
      </c>
      <c r="G254" t="n">
        <v>0.6</v>
      </c>
      <c r="H254" t="n">
        <v>0</v>
      </c>
      <c r="I254" t="n">
        <v>0</v>
      </c>
      <c r="J254" t="n">
        <v>0</v>
      </c>
      <c r="K254" t="n">
        <v>0</v>
      </c>
      <c r="L254" t="n">
        <v>0</v>
      </c>
      <c r="M254" t="n">
        <v>0</v>
      </c>
      <c r="N254" t="n">
        <v>0</v>
      </c>
      <c r="O254" t="n">
        <v>0</v>
      </c>
      <c r="P254" t="n">
        <v>0</v>
      </c>
      <c r="Q254" t="n">
        <v>0</v>
      </c>
      <c r="R254" s="2" t="inlineStr"/>
    </row>
    <row r="255" ht="15" customHeight="1">
      <c r="A255" t="inlineStr">
        <is>
          <t>A 20723-2021</t>
        </is>
      </c>
      <c r="B255" s="1" t="n">
        <v>44316</v>
      </c>
      <c r="C255" s="1" t="n">
        <v>45821</v>
      </c>
      <c r="D255" t="inlineStr">
        <is>
          <t>NORRBOTTENS LÄN</t>
        </is>
      </c>
      <c r="E255" t="inlineStr">
        <is>
          <t>LULEÅ</t>
        </is>
      </c>
      <c r="G255" t="n">
        <v>7</v>
      </c>
      <c r="H255" t="n">
        <v>0</v>
      </c>
      <c r="I255" t="n">
        <v>0</v>
      </c>
      <c r="J255" t="n">
        <v>0</v>
      </c>
      <c r="K255" t="n">
        <v>0</v>
      </c>
      <c r="L255" t="n">
        <v>0</v>
      </c>
      <c r="M255" t="n">
        <v>0</v>
      </c>
      <c r="N255" t="n">
        <v>0</v>
      </c>
      <c r="O255" t="n">
        <v>0</v>
      </c>
      <c r="P255" t="n">
        <v>0</v>
      </c>
      <c r="Q255" t="n">
        <v>0</v>
      </c>
      <c r="R255" s="2" t="inlineStr"/>
    </row>
    <row r="256" ht="15" customHeight="1">
      <c r="A256" t="inlineStr">
        <is>
          <t>A 22364-2021</t>
        </is>
      </c>
      <c r="B256" s="1" t="n">
        <v>44322</v>
      </c>
      <c r="C256" s="1" t="n">
        <v>45821</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22656-2021</t>
        </is>
      </c>
      <c r="B257" s="1" t="n">
        <v>44327</v>
      </c>
      <c r="C257" s="1" t="n">
        <v>45821</v>
      </c>
      <c r="D257" t="inlineStr">
        <is>
          <t>NORRBOTTENS LÄN</t>
        </is>
      </c>
      <c r="E257" t="inlineStr">
        <is>
          <t>LULEÅ</t>
        </is>
      </c>
      <c r="G257" t="n">
        <v>7.1</v>
      </c>
      <c r="H257" t="n">
        <v>0</v>
      </c>
      <c r="I257" t="n">
        <v>0</v>
      </c>
      <c r="J257" t="n">
        <v>0</v>
      </c>
      <c r="K257" t="n">
        <v>0</v>
      </c>
      <c r="L257" t="n">
        <v>0</v>
      </c>
      <c r="M257" t="n">
        <v>0</v>
      </c>
      <c r="N257" t="n">
        <v>0</v>
      </c>
      <c r="O257" t="n">
        <v>0</v>
      </c>
      <c r="P257" t="n">
        <v>0</v>
      </c>
      <c r="Q257" t="n">
        <v>0</v>
      </c>
      <c r="R257" s="2" t="inlineStr"/>
    </row>
    <row r="258" ht="15" customHeight="1">
      <c r="A258" t="inlineStr">
        <is>
          <t>A 23471-2021</t>
        </is>
      </c>
      <c r="B258" s="1" t="n">
        <v>44334</v>
      </c>
      <c r="C258" s="1" t="n">
        <v>45821</v>
      </c>
      <c r="D258" t="inlineStr">
        <is>
          <t>NORRBOTTENS LÄN</t>
        </is>
      </c>
      <c r="E258" t="inlineStr">
        <is>
          <t>LULEÅ</t>
        </is>
      </c>
      <c r="G258" t="n">
        <v>2.7</v>
      </c>
      <c r="H258" t="n">
        <v>0</v>
      </c>
      <c r="I258" t="n">
        <v>0</v>
      </c>
      <c r="J258" t="n">
        <v>0</v>
      </c>
      <c r="K258" t="n">
        <v>0</v>
      </c>
      <c r="L258" t="n">
        <v>0</v>
      </c>
      <c r="M258" t="n">
        <v>0</v>
      </c>
      <c r="N258" t="n">
        <v>0</v>
      </c>
      <c r="O258" t="n">
        <v>0</v>
      </c>
      <c r="P258" t="n">
        <v>0</v>
      </c>
      <c r="Q258" t="n">
        <v>0</v>
      </c>
      <c r="R258" s="2" t="inlineStr"/>
    </row>
    <row r="259" ht="15" customHeight="1">
      <c r="A259" t="inlineStr">
        <is>
          <t>A 23632-2021</t>
        </is>
      </c>
      <c r="B259" s="1" t="n">
        <v>44334</v>
      </c>
      <c r="C259" s="1" t="n">
        <v>45821</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24453-2021</t>
        </is>
      </c>
      <c r="B260" s="1" t="n">
        <v>44337</v>
      </c>
      <c r="C260" s="1" t="n">
        <v>45821</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25812-2021</t>
        </is>
      </c>
      <c r="B261" s="1" t="n">
        <v>44343</v>
      </c>
      <c r="C261" s="1" t="n">
        <v>45821</v>
      </c>
      <c r="D261" t="inlineStr">
        <is>
          <t>NORRBOTTENS LÄN</t>
        </is>
      </c>
      <c r="E261" t="inlineStr">
        <is>
          <t>LULEÅ</t>
        </is>
      </c>
      <c r="F261" t="inlineStr">
        <is>
          <t>SCA</t>
        </is>
      </c>
      <c r="G261" t="n">
        <v>23.2</v>
      </c>
      <c r="H261" t="n">
        <v>0</v>
      </c>
      <c r="I261" t="n">
        <v>0</v>
      </c>
      <c r="J261" t="n">
        <v>0</v>
      </c>
      <c r="K261" t="n">
        <v>0</v>
      </c>
      <c r="L261" t="n">
        <v>0</v>
      </c>
      <c r="M261" t="n">
        <v>0</v>
      </c>
      <c r="N261" t="n">
        <v>0</v>
      </c>
      <c r="O261" t="n">
        <v>0</v>
      </c>
      <c r="P261" t="n">
        <v>0</v>
      </c>
      <c r="Q261" t="n">
        <v>0</v>
      </c>
      <c r="R261" s="2" t="inlineStr"/>
    </row>
    <row r="262" ht="15" customHeight="1">
      <c r="A262" t="inlineStr">
        <is>
          <t>A 26234-2021</t>
        </is>
      </c>
      <c r="B262" s="1" t="n">
        <v>44347</v>
      </c>
      <c r="C262" s="1" t="n">
        <v>45821</v>
      </c>
      <c r="D262" t="inlineStr">
        <is>
          <t>NORRBOTTENS LÄN</t>
        </is>
      </c>
      <c r="E262" t="inlineStr">
        <is>
          <t>LULEÅ</t>
        </is>
      </c>
      <c r="G262" t="n">
        <v>2.4</v>
      </c>
      <c r="H262" t="n">
        <v>0</v>
      </c>
      <c r="I262" t="n">
        <v>0</v>
      </c>
      <c r="J262" t="n">
        <v>0</v>
      </c>
      <c r="K262" t="n">
        <v>0</v>
      </c>
      <c r="L262" t="n">
        <v>0</v>
      </c>
      <c r="M262" t="n">
        <v>0</v>
      </c>
      <c r="N262" t="n">
        <v>0</v>
      </c>
      <c r="O262" t="n">
        <v>0</v>
      </c>
      <c r="P262" t="n">
        <v>0</v>
      </c>
      <c r="Q262" t="n">
        <v>0</v>
      </c>
      <c r="R262" s="2" t="inlineStr"/>
    </row>
    <row r="263" ht="15" customHeight="1">
      <c r="A263" t="inlineStr">
        <is>
          <t>A 29730-2021</t>
        </is>
      </c>
      <c r="B263" s="1" t="n">
        <v>44362</v>
      </c>
      <c r="C263" s="1" t="n">
        <v>45821</v>
      </c>
      <c r="D263" t="inlineStr">
        <is>
          <t>NORRBOTTENS LÄN</t>
        </is>
      </c>
      <c r="E263" t="inlineStr">
        <is>
          <t>LULEÅ</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30027-2021</t>
        </is>
      </c>
      <c r="B264" s="1" t="n">
        <v>44363</v>
      </c>
      <c r="C264" s="1" t="n">
        <v>45821</v>
      </c>
      <c r="D264" t="inlineStr">
        <is>
          <t>NORRBOTTENS LÄN</t>
        </is>
      </c>
      <c r="E264" t="inlineStr">
        <is>
          <t>LULEÅ</t>
        </is>
      </c>
      <c r="G264" t="n">
        <v>5.8</v>
      </c>
      <c r="H264" t="n">
        <v>0</v>
      </c>
      <c r="I264" t="n">
        <v>0</v>
      </c>
      <c r="J264" t="n">
        <v>0</v>
      </c>
      <c r="K264" t="n">
        <v>0</v>
      </c>
      <c r="L264" t="n">
        <v>0</v>
      </c>
      <c r="M264" t="n">
        <v>0</v>
      </c>
      <c r="N264" t="n">
        <v>0</v>
      </c>
      <c r="O264" t="n">
        <v>0</v>
      </c>
      <c r="P264" t="n">
        <v>0</v>
      </c>
      <c r="Q264" t="n">
        <v>0</v>
      </c>
      <c r="R264" s="2" t="inlineStr"/>
    </row>
    <row r="265" ht="15" customHeight="1">
      <c r="A265" t="inlineStr">
        <is>
          <t>A 32378-2021</t>
        </is>
      </c>
      <c r="B265" s="1" t="n">
        <v>44371</v>
      </c>
      <c r="C265" s="1" t="n">
        <v>45821</v>
      </c>
      <c r="D265" t="inlineStr">
        <is>
          <t>NORRBOTTENS LÄN</t>
        </is>
      </c>
      <c r="E265" t="inlineStr">
        <is>
          <t>LULEÅ</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32381-2021</t>
        </is>
      </c>
      <c r="B266" s="1" t="n">
        <v>44371</v>
      </c>
      <c r="C266" s="1" t="n">
        <v>45821</v>
      </c>
      <c r="D266" t="inlineStr">
        <is>
          <t>NORRBOTTENS LÄN</t>
        </is>
      </c>
      <c r="E266" t="inlineStr">
        <is>
          <t>LULEÅ</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33147-2021</t>
        </is>
      </c>
      <c r="B267" s="1" t="n">
        <v>44376</v>
      </c>
      <c r="C267" s="1" t="n">
        <v>45821</v>
      </c>
      <c r="D267" t="inlineStr">
        <is>
          <t>NORRBOTTENS LÄN</t>
        </is>
      </c>
      <c r="E267" t="inlineStr">
        <is>
          <t>LULEÅ</t>
        </is>
      </c>
      <c r="F267" t="inlineStr">
        <is>
          <t>Sveaskog</t>
        </is>
      </c>
      <c r="G267" t="n">
        <v>24.6</v>
      </c>
      <c r="H267" t="n">
        <v>0</v>
      </c>
      <c r="I267" t="n">
        <v>0</v>
      </c>
      <c r="J267" t="n">
        <v>0</v>
      </c>
      <c r="K267" t="n">
        <v>0</v>
      </c>
      <c r="L267" t="n">
        <v>0</v>
      </c>
      <c r="M267" t="n">
        <v>0</v>
      </c>
      <c r="N267" t="n">
        <v>0</v>
      </c>
      <c r="O267" t="n">
        <v>0</v>
      </c>
      <c r="P267" t="n">
        <v>0</v>
      </c>
      <c r="Q267" t="n">
        <v>0</v>
      </c>
      <c r="R267" s="2" t="inlineStr"/>
    </row>
    <row r="268" ht="15" customHeight="1">
      <c r="A268" t="inlineStr">
        <is>
          <t>A 33148-2021</t>
        </is>
      </c>
      <c r="B268" s="1" t="n">
        <v>44376</v>
      </c>
      <c r="C268" s="1" t="n">
        <v>45821</v>
      </c>
      <c r="D268" t="inlineStr">
        <is>
          <t>NORRBOTTENS LÄN</t>
        </is>
      </c>
      <c r="E268" t="inlineStr">
        <is>
          <t>LULEÅ</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34495-2021</t>
        </is>
      </c>
      <c r="B269" s="1" t="n">
        <v>44379</v>
      </c>
      <c r="C269" s="1" t="n">
        <v>45821</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35249-2021</t>
        </is>
      </c>
      <c r="B270" s="1" t="n">
        <v>44384</v>
      </c>
      <c r="C270" s="1" t="n">
        <v>45821</v>
      </c>
      <c r="D270" t="inlineStr">
        <is>
          <t>NORRBOTTENS LÄN</t>
        </is>
      </c>
      <c r="E270" t="inlineStr">
        <is>
          <t>LULEÅ</t>
        </is>
      </c>
      <c r="G270" t="n">
        <v>2.4</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45821</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35962-2021</t>
        </is>
      </c>
      <c r="B272" s="1" t="n">
        <v>44385</v>
      </c>
      <c r="C272" s="1" t="n">
        <v>45821</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37765-2021</t>
        </is>
      </c>
      <c r="B273" s="1" t="n">
        <v>44400</v>
      </c>
      <c r="C273" s="1" t="n">
        <v>45821</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37835-2021</t>
        </is>
      </c>
      <c r="B274" s="1" t="n">
        <v>44400</v>
      </c>
      <c r="C274" s="1" t="n">
        <v>45821</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37766-2021</t>
        </is>
      </c>
      <c r="B275" s="1" t="n">
        <v>44400</v>
      </c>
      <c r="C275" s="1" t="n">
        <v>45821</v>
      </c>
      <c r="D275" t="inlineStr">
        <is>
          <t>NORRBOTTENS LÄN</t>
        </is>
      </c>
      <c r="E275" t="inlineStr">
        <is>
          <t>LULEÅ</t>
        </is>
      </c>
      <c r="G275" t="n">
        <v>5.7</v>
      </c>
      <c r="H275" t="n">
        <v>0</v>
      </c>
      <c r="I275" t="n">
        <v>0</v>
      </c>
      <c r="J275" t="n">
        <v>0</v>
      </c>
      <c r="K275" t="n">
        <v>0</v>
      </c>
      <c r="L275" t="n">
        <v>0</v>
      </c>
      <c r="M275" t="n">
        <v>0</v>
      </c>
      <c r="N275" t="n">
        <v>0</v>
      </c>
      <c r="O275" t="n">
        <v>0</v>
      </c>
      <c r="P275" t="n">
        <v>0</v>
      </c>
      <c r="Q275" t="n">
        <v>0</v>
      </c>
      <c r="R275" s="2" t="inlineStr"/>
    </row>
    <row r="276" ht="15" customHeight="1">
      <c r="A276" t="inlineStr">
        <is>
          <t>A 42133-2021</t>
        </is>
      </c>
      <c r="B276" s="1" t="n">
        <v>44426</v>
      </c>
      <c r="C276" s="1" t="n">
        <v>45821</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44680-2021</t>
        </is>
      </c>
      <c r="B277" s="1" t="n">
        <v>44435</v>
      </c>
      <c r="C277" s="1" t="n">
        <v>45821</v>
      </c>
      <c r="D277" t="inlineStr">
        <is>
          <t>NORRBOTTENS LÄN</t>
        </is>
      </c>
      <c r="E277" t="inlineStr">
        <is>
          <t>LULEÅ</t>
        </is>
      </c>
      <c r="G277" t="n">
        <v>6.1</v>
      </c>
      <c r="H277" t="n">
        <v>0</v>
      </c>
      <c r="I277" t="n">
        <v>0</v>
      </c>
      <c r="J277" t="n">
        <v>0</v>
      </c>
      <c r="K277" t="n">
        <v>0</v>
      </c>
      <c r="L277" t="n">
        <v>0</v>
      </c>
      <c r="M277" t="n">
        <v>0</v>
      </c>
      <c r="N277" t="n">
        <v>0</v>
      </c>
      <c r="O277" t="n">
        <v>0</v>
      </c>
      <c r="P277" t="n">
        <v>0</v>
      </c>
      <c r="Q277" t="n">
        <v>0</v>
      </c>
      <c r="R277" s="2" t="inlineStr"/>
    </row>
    <row r="278" ht="15" customHeight="1">
      <c r="A278" t="inlineStr">
        <is>
          <t>A 45940-2021</t>
        </is>
      </c>
      <c r="B278" s="1" t="n">
        <v>44441</v>
      </c>
      <c r="C278" s="1" t="n">
        <v>45821</v>
      </c>
      <c r="D278" t="inlineStr">
        <is>
          <t>NORRBOTTENS LÄN</t>
        </is>
      </c>
      <c r="E278" t="inlineStr">
        <is>
          <t>LULEÅ</t>
        </is>
      </c>
      <c r="G278" t="n">
        <v>15.2</v>
      </c>
      <c r="H278" t="n">
        <v>0</v>
      </c>
      <c r="I278" t="n">
        <v>0</v>
      </c>
      <c r="J278" t="n">
        <v>0</v>
      </c>
      <c r="K278" t="n">
        <v>0</v>
      </c>
      <c r="L278" t="n">
        <v>0</v>
      </c>
      <c r="M278" t="n">
        <v>0</v>
      </c>
      <c r="N278" t="n">
        <v>0</v>
      </c>
      <c r="O278" t="n">
        <v>0</v>
      </c>
      <c r="P278" t="n">
        <v>0</v>
      </c>
      <c r="Q278" t="n">
        <v>0</v>
      </c>
      <c r="R278" s="2" t="inlineStr"/>
    </row>
    <row r="279" ht="15" customHeight="1">
      <c r="A279" t="inlineStr">
        <is>
          <t>A 46150-2021</t>
        </is>
      </c>
      <c r="B279" s="1" t="n">
        <v>44441</v>
      </c>
      <c r="C279" s="1" t="n">
        <v>45821</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46158-2021</t>
        </is>
      </c>
      <c r="B280" s="1" t="n">
        <v>44442</v>
      </c>
      <c r="C280" s="1" t="n">
        <v>45821</v>
      </c>
      <c r="D280" t="inlineStr">
        <is>
          <t>NORRBOTTENS LÄN</t>
        </is>
      </c>
      <c r="E280" t="inlineStr">
        <is>
          <t>LULEÅ</t>
        </is>
      </c>
      <c r="G280" t="n">
        <v>4.8</v>
      </c>
      <c r="H280" t="n">
        <v>0</v>
      </c>
      <c r="I280" t="n">
        <v>0</v>
      </c>
      <c r="J280" t="n">
        <v>0</v>
      </c>
      <c r="K280" t="n">
        <v>0</v>
      </c>
      <c r="L280" t="n">
        <v>0</v>
      </c>
      <c r="M280" t="n">
        <v>0</v>
      </c>
      <c r="N280" t="n">
        <v>0</v>
      </c>
      <c r="O280" t="n">
        <v>0</v>
      </c>
      <c r="P280" t="n">
        <v>0</v>
      </c>
      <c r="Q280" t="n">
        <v>0</v>
      </c>
      <c r="R280" s="2" t="inlineStr"/>
    </row>
    <row r="281" ht="15" customHeight="1">
      <c r="A281" t="inlineStr">
        <is>
          <t>A 46547-2021</t>
        </is>
      </c>
      <c r="B281" s="1" t="n">
        <v>44445</v>
      </c>
      <c r="C281" s="1" t="n">
        <v>45821</v>
      </c>
      <c r="D281" t="inlineStr">
        <is>
          <t>NORRBOTTENS LÄN</t>
        </is>
      </c>
      <c r="E281" t="inlineStr">
        <is>
          <t>LULEÅ</t>
        </is>
      </c>
      <c r="G281" t="n">
        <v>1.7</v>
      </c>
      <c r="H281" t="n">
        <v>0</v>
      </c>
      <c r="I281" t="n">
        <v>0</v>
      </c>
      <c r="J281" t="n">
        <v>0</v>
      </c>
      <c r="K281" t="n">
        <v>0</v>
      </c>
      <c r="L281" t="n">
        <v>0</v>
      </c>
      <c r="M281" t="n">
        <v>0</v>
      </c>
      <c r="N281" t="n">
        <v>0</v>
      </c>
      <c r="O281" t="n">
        <v>0</v>
      </c>
      <c r="P281" t="n">
        <v>0</v>
      </c>
      <c r="Q281" t="n">
        <v>0</v>
      </c>
      <c r="R281" s="2" t="inlineStr"/>
    </row>
    <row r="282" ht="15" customHeight="1">
      <c r="A282" t="inlineStr">
        <is>
          <t>A 46826-2021</t>
        </is>
      </c>
      <c r="B282" s="1" t="n">
        <v>44446</v>
      </c>
      <c r="C282" s="1" t="n">
        <v>45821</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47801-2021</t>
        </is>
      </c>
      <c r="B283" s="1" t="n">
        <v>44448</v>
      </c>
      <c r="C283" s="1" t="n">
        <v>45821</v>
      </c>
      <c r="D283" t="inlineStr">
        <is>
          <t>NORRBOTTENS LÄN</t>
        </is>
      </c>
      <c r="E283" t="inlineStr">
        <is>
          <t>LULEÅ</t>
        </is>
      </c>
      <c r="G283" t="n">
        <v>7.3</v>
      </c>
      <c r="H283" t="n">
        <v>0</v>
      </c>
      <c r="I283" t="n">
        <v>0</v>
      </c>
      <c r="J283" t="n">
        <v>0</v>
      </c>
      <c r="K283" t="n">
        <v>0</v>
      </c>
      <c r="L283" t="n">
        <v>0</v>
      </c>
      <c r="M283" t="n">
        <v>0</v>
      </c>
      <c r="N283" t="n">
        <v>0</v>
      </c>
      <c r="O283" t="n">
        <v>0</v>
      </c>
      <c r="P283" t="n">
        <v>0</v>
      </c>
      <c r="Q283" t="n">
        <v>0</v>
      </c>
      <c r="R283" s="2" t="inlineStr"/>
    </row>
    <row r="284" ht="15" customHeight="1">
      <c r="A284" t="inlineStr">
        <is>
          <t>A 50087-2021</t>
        </is>
      </c>
      <c r="B284" s="1" t="n">
        <v>44456</v>
      </c>
      <c r="C284" s="1" t="n">
        <v>45821</v>
      </c>
      <c r="D284" t="inlineStr">
        <is>
          <t>NORRBOTTENS LÄN</t>
        </is>
      </c>
      <c r="E284" t="inlineStr">
        <is>
          <t>LULEÅ</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50468-2021</t>
        </is>
      </c>
      <c r="B285" s="1" t="n">
        <v>44459</v>
      </c>
      <c r="C285" s="1" t="n">
        <v>45821</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50632-2021</t>
        </is>
      </c>
      <c r="B286" s="1" t="n">
        <v>44459</v>
      </c>
      <c r="C286" s="1" t="n">
        <v>45821</v>
      </c>
      <c r="D286" t="inlineStr">
        <is>
          <t>NORRBOTTENS LÄN</t>
        </is>
      </c>
      <c r="E286" t="inlineStr">
        <is>
          <t>LULEÅ</t>
        </is>
      </c>
      <c r="G286" t="n">
        <v>3.5</v>
      </c>
      <c r="H286" t="n">
        <v>0</v>
      </c>
      <c r="I286" t="n">
        <v>0</v>
      </c>
      <c r="J286" t="n">
        <v>0</v>
      </c>
      <c r="K286" t="n">
        <v>0</v>
      </c>
      <c r="L286" t="n">
        <v>0</v>
      </c>
      <c r="M286" t="n">
        <v>0</v>
      </c>
      <c r="N286" t="n">
        <v>0</v>
      </c>
      <c r="O286" t="n">
        <v>0</v>
      </c>
      <c r="P286" t="n">
        <v>0</v>
      </c>
      <c r="Q286" t="n">
        <v>0</v>
      </c>
      <c r="R286" s="2" t="inlineStr"/>
    </row>
    <row r="287" ht="15" customHeight="1">
      <c r="A287" t="inlineStr">
        <is>
          <t>A 52436-2021</t>
        </is>
      </c>
      <c r="B287" s="1" t="n">
        <v>44463</v>
      </c>
      <c r="C287" s="1" t="n">
        <v>45821</v>
      </c>
      <c r="D287" t="inlineStr">
        <is>
          <t>NORRBOTTENS LÄN</t>
        </is>
      </c>
      <c r="E287" t="inlineStr">
        <is>
          <t>LULEÅ</t>
        </is>
      </c>
      <c r="G287" t="n">
        <v>1.8</v>
      </c>
      <c r="H287" t="n">
        <v>0</v>
      </c>
      <c r="I287" t="n">
        <v>0</v>
      </c>
      <c r="J287" t="n">
        <v>0</v>
      </c>
      <c r="K287" t="n">
        <v>0</v>
      </c>
      <c r="L287" t="n">
        <v>0</v>
      </c>
      <c r="M287" t="n">
        <v>0</v>
      </c>
      <c r="N287" t="n">
        <v>0</v>
      </c>
      <c r="O287" t="n">
        <v>0</v>
      </c>
      <c r="P287" t="n">
        <v>0</v>
      </c>
      <c r="Q287" t="n">
        <v>0</v>
      </c>
      <c r="R287" s="2" t="inlineStr"/>
    </row>
    <row r="288" ht="15" customHeight="1">
      <c r="A288" t="inlineStr">
        <is>
          <t>A 52444-2021</t>
        </is>
      </c>
      <c r="B288" s="1" t="n">
        <v>44463</v>
      </c>
      <c r="C288" s="1" t="n">
        <v>45821</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54879-2021</t>
        </is>
      </c>
      <c r="B289" s="1" t="n">
        <v>44473</v>
      </c>
      <c r="C289" s="1" t="n">
        <v>45821</v>
      </c>
      <c r="D289" t="inlineStr">
        <is>
          <t>NORRBOTTENS LÄN</t>
        </is>
      </c>
      <c r="E289" t="inlineStr">
        <is>
          <t>LULEÅ</t>
        </is>
      </c>
      <c r="G289" t="n">
        <v>1.2</v>
      </c>
      <c r="H289" t="n">
        <v>0</v>
      </c>
      <c r="I289" t="n">
        <v>0</v>
      </c>
      <c r="J289" t="n">
        <v>0</v>
      </c>
      <c r="K289" t="n">
        <v>0</v>
      </c>
      <c r="L289" t="n">
        <v>0</v>
      </c>
      <c r="M289" t="n">
        <v>0</v>
      </c>
      <c r="N289" t="n">
        <v>0</v>
      </c>
      <c r="O289" t="n">
        <v>0</v>
      </c>
      <c r="P289" t="n">
        <v>0</v>
      </c>
      <c r="Q289" t="n">
        <v>0</v>
      </c>
      <c r="R289" s="2" t="inlineStr"/>
    </row>
    <row r="290" ht="15" customHeight="1">
      <c r="A290" t="inlineStr">
        <is>
          <t>A 56057-2021</t>
        </is>
      </c>
      <c r="B290" s="1" t="n">
        <v>44477</v>
      </c>
      <c r="C290" s="1" t="n">
        <v>45821</v>
      </c>
      <c r="D290" t="inlineStr">
        <is>
          <t>NORRBOTTENS LÄN</t>
        </is>
      </c>
      <c r="E290" t="inlineStr">
        <is>
          <t>LULEÅ</t>
        </is>
      </c>
      <c r="G290" t="n">
        <v>3.7</v>
      </c>
      <c r="H290" t="n">
        <v>0</v>
      </c>
      <c r="I290" t="n">
        <v>0</v>
      </c>
      <c r="J290" t="n">
        <v>0</v>
      </c>
      <c r="K290" t="n">
        <v>0</v>
      </c>
      <c r="L290" t="n">
        <v>0</v>
      </c>
      <c r="M290" t="n">
        <v>0</v>
      </c>
      <c r="N290" t="n">
        <v>0</v>
      </c>
      <c r="O290" t="n">
        <v>0</v>
      </c>
      <c r="P290" t="n">
        <v>0</v>
      </c>
      <c r="Q290" t="n">
        <v>0</v>
      </c>
      <c r="R290" s="2" t="inlineStr"/>
    </row>
    <row r="291" ht="15" customHeight="1">
      <c r="A291" t="inlineStr">
        <is>
          <t>A 56066-2021</t>
        </is>
      </c>
      <c r="B291" s="1" t="n">
        <v>44477</v>
      </c>
      <c r="C291" s="1" t="n">
        <v>45821</v>
      </c>
      <c r="D291" t="inlineStr">
        <is>
          <t>NORRBOTTENS LÄN</t>
        </is>
      </c>
      <c r="E291" t="inlineStr">
        <is>
          <t>LULEÅ</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56073-2021</t>
        </is>
      </c>
      <c r="B292" s="1" t="n">
        <v>44477</v>
      </c>
      <c r="C292" s="1" t="n">
        <v>45821</v>
      </c>
      <c r="D292" t="inlineStr">
        <is>
          <t>NORRBOTTENS LÄN</t>
        </is>
      </c>
      <c r="E292" t="inlineStr">
        <is>
          <t>LULEÅ</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56043-2021</t>
        </is>
      </c>
      <c r="B293" s="1" t="n">
        <v>44477</v>
      </c>
      <c r="C293" s="1" t="n">
        <v>45821</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56465-2021</t>
        </is>
      </c>
      <c r="B294" s="1" t="n">
        <v>44480</v>
      </c>
      <c r="C294" s="1" t="n">
        <v>45821</v>
      </c>
      <c r="D294" t="inlineStr">
        <is>
          <t>NORRBOTTENS LÄN</t>
        </is>
      </c>
      <c r="E294" t="inlineStr">
        <is>
          <t>LULEÅ</t>
        </is>
      </c>
      <c r="G294" t="n">
        <v>6.6</v>
      </c>
      <c r="H294" t="n">
        <v>0</v>
      </c>
      <c r="I294" t="n">
        <v>0</v>
      </c>
      <c r="J294" t="n">
        <v>0</v>
      </c>
      <c r="K294" t="n">
        <v>0</v>
      </c>
      <c r="L294" t="n">
        <v>0</v>
      </c>
      <c r="M294" t="n">
        <v>0</v>
      </c>
      <c r="N294" t="n">
        <v>0</v>
      </c>
      <c r="O294" t="n">
        <v>0</v>
      </c>
      <c r="P294" t="n">
        <v>0</v>
      </c>
      <c r="Q294" t="n">
        <v>0</v>
      </c>
      <c r="R294" s="2" t="inlineStr"/>
    </row>
    <row r="295" ht="15" customHeight="1">
      <c r="A295" t="inlineStr">
        <is>
          <t>A 56781-2021</t>
        </is>
      </c>
      <c r="B295" s="1" t="n">
        <v>44481</v>
      </c>
      <c r="C295" s="1" t="n">
        <v>45821</v>
      </c>
      <c r="D295" t="inlineStr">
        <is>
          <t>NORRBOTTENS LÄN</t>
        </is>
      </c>
      <c r="E295" t="inlineStr">
        <is>
          <t>LULEÅ</t>
        </is>
      </c>
      <c r="G295" t="n">
        <v>2.2</v>
      </c>
      <c r="H295" t="n">
        <v>0</v>
      </c>
      <c r="I295" t="n">
        <v>0</v>
      </c>
      <c r="J295" t="n">
        <v>0</v>
      </c>
      <c r="K295" t="n">
        <v>0</v>
      </c>
      <c r="L295" t="n">
        <v>0</v>
      </c>
      <c r="M295" t="n">
        <v>0</v>
      </c>
      <c r="N295" t="n">
        <v>0</v>
      </c>
      <c r="O295" t="n">
        <v>0</v>
      </c>
      <c r="P295" t="n">
        <v>0</v>
      </c>
      <c r="Q295" t="n">
        <v>0</v>
      </c>
      <c r="R295" s="2" t="inlineStr"/>
    </row>
    <row r="296" ht="15" customHeight="1">
      <c r="A296" t="inlineStr">
        <is>
          <t>A 58981-2021</t>
        </is>
      </c>
      <c r="B296" s="1" t="n">
        <v>44490</v>
      </c>
      <c r="C296" s="1" t="n">
        <v>45821</v>
      </c>
      <c r="D296" t="inlineStr">
        <is>
          <t>NORRBOTTENS LÄN</t>
        </is>
      </c>
      <c r="E296" t="inlineStr">
        <is>
          <t>LULEÅ</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59122-2021</t>
        </is>
      </c>
      <c r="B297" s="1" t="n">
        <v>44490</v>
      </c>
      <c r="C297" s="1" t="n">
        <v>45821</v>
      </c>
      <c r="D297" t="inlineStr">
        <is>
          <t>NORRBOTTENS LÄN</t>
        </is>
      </c>
      <c r="E297" t="inlineStr">
        <is>
          <t>LULEÅ</t>
        </is>
      </c>
      <c r="F297" t="inlineStr">
        <is>
          <t>Kommuner</t>
        </is>
      </c>
      <c r="G297" t="n">
        <v>4</v>
      </c>
      <c r="H297" t="n">
        <v>0</v>
      </c>
      <c r="I297" t="n">
        <v>0</v>
      </c>
      <c r="J297" t="n">
        <v>0</v>
      </c>
      <c r="K297" t="n">
        <v>0</v>
      </c>
      <c r="L297" t="n">
        <v>0</v>
      </c>
      <c r="M297" t="n">
        <v>0</v>
      </c>
      <c r="N297" t="n">
        <v>0</v>
      </c>
      <c r="O297" t="n">
        <v>0</v>
      </c>
      <c r="P297" t="n">
        <v>0</v>
      </c>
      <c r="Q297" t="n">
        <v>0</v>
      </c>
      <c r="R297" s="2" t="inlineStr"/>
    </row>
    <row r="298" ht="15" customHeight="1">
      <c r="A298" t="inlineStr">
        <is>
          <t>A 59115-2021</t>
        </is>
      </c>
      <c r="B298" s="1" t="n">
        <v>44490</v>
      </c>
      <c r="C298" s="1" t="n">
        <v>45821</v>
      </c>
      <c r="D298" t="inlineStr">
        <is>
          <t>NORRBOTTENS LÄN</t>
        </is>
      </c>
      <c r="E298" t="inlineStr">
        <is>
          <t>LULEÅ</t>
        </is>
      </c>
      <c r="F298" t="inlineStr">
        <is>
          <t>Kommuner</t>
        </is>
      </c>
      <c r="G298" t="n">
        <v>2.4</v>
      </c>
      <c r="H298" t="n">
        <v>0</v>
      </c>
      <c r="I298" t="n">
        <v>0</v>
      </c>
      <c r="J298" t="n">
        <v>0</v>
      </c>
      <c r="K298" t="n">
        <v>0</v>
      </c>
      <c r="L298" t="n">
        <v>0</v>
      </c>
      <c r="M298" t="n">
        <v>0</v>
      </c>
      <c r="N298" t="n">
        <v>0</v>
      </c>
      <c r="O298" t="n">
        <v>0</v>
      </c>
      <c r="P298" t="n">
        <v>0</v>
      </c>
      <c r="Q298" t="n">
        <v>0</v>
      </c>
      <c r="R298" s="2" t="inlineStr"/>
    </row>
    <row r="299" ht="15" customHeight="1">
      <c r="A299" t="inlineStr">
        <is>
          <t>A 59552-2021</t>
        </is>
      </c>
      <c r="B299" s="1" t="n">
        <v>44491</v>
      </c>
      <c r="C299" s="1" t="n">
        <v>45821</v>
      </c>
      <c r="D299" t="inlineStr">
        <is>
          <t>NORRBOTTENS LÄN</t>
        </is>
      </c>
      <c r="E299" t="inlineStr">
        <is>
          <t>LULEÅ</t>
        </is>
      </c>
      <c r="G299" t="n">
        <v>0.9</v>
      </c>
      <c r="H299" t="n">
        <v>0</v>
      </c>
      <c r="I299" t="n">
        <v>0</v>
      </c>
      <c r="J299" t="n">
        <v>0</v>
      </c>
      <c r="K299" t="n">
        <v>0</v>
      </c>
      <c r="L299" t="n">
        <v>0</v>
      </c>
      <c r="M299" t="n">
        <v>0</v>
      </c>
      <c r="N299" t="n">
        <v>0</v>
      </c>
      <c r="O299" t="n">
        <v>0</v>
      </c>
      <c r="P299" t="n">
        <v>0</v>
      </c>
      <c r="Q299" t="n">
        <v>0</v>
      </c>
      <c r="R299" s="2" t="inlineStr"/>
    </row>
    <row r="300" ht="15" customHeight="1">
      <c r="A300" t="inlineStr">
        <is>
          <t>A 59558-2021</t>
        </is>
      </c>
      <c r="B300" s="1" t="n">
        <v>44491</v>
      </c>
      <c r="C300" s="1" t="n">
        <v>45821</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59568-2021</t>
        </is>
      </c>
      <c r="B301" s="1" t="n">
        <v>44491</v>
      </c>
      <c r="C301" s="1" t="n">
        <v>45821</v>
      </c>
      <c r="D301" t="inlineStr">
        <is>
          <t>NORRBOTTENS LÄN</t>
        </is>
      </c>
      <c r="E301" t="inlineStr">
        <is>
          <t>LULEÅ</t>
        </is>
      </c>
      <c r="G301" t="n">
        <v>0.2</v>
      </c>
      <c r="H301" t="n">
        <v>0</v>
      </c>
      <c r="I301" t="n">
        <v>0</v>
      </c>
      <c r="J301" t="n">
        <v>0</v>
      </c>
      <c r="K301" t="n">
        <v>0</v>
      </c>
      <c r="L301" t="n">
        <v>0</v>
      </c>
      <c r="M301" t="n">
        <v>0</v>
      </c>
      <c r="N301" t="n">
        <v>0</v>
      </c>
      <c r="O301" t="n">
        <v>0</v>
      </c>
      <c r="P301" t="n">
        <v>0</v>
      </c>
      <c r="Q301" t="n">
        <v>0</v>
      </c>
      <c r="R301" s="2" t="inlineStr"/>
    </row>
    <row r="302" ht="15" customHeight="1">
      <c r="A302" t="inlineStr">
        <is>
          <t>A 60954-2021</t>
        </is>
      </c>
      <c r="B302" s="1" t="n">
        <v>44496</v>
      </c>
      <c r="C302" s="1" t="n">
        <v>45821</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62048-2021</t>
        </is>
      </c>
      <c r="B303" s="1" t="n">
        <v>44501</v>
      </c>
      <c r="C303" s="1" t="n">
        <v>45821</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62050-2021</t>
        </is>
      </c>
      <c r="B304" s="1" t="n">
        <v>44501</v>
      </c>
      <c r="C304" s="1" t="n">
        <v>45821</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62732-2021</t>
        </is>
      </c>
      <c r="B305" s="1" t="n">
        <v>44503</v>
      </c>
      <c r="C305" s="1" t="n">
        <v>45821</v>
      </c>
      <c r="D305" t="inlineStr">
        <is>
          <t>NORRBOTTENS LÄN</t>
        </is>
      </c>
      <c r="E305" t="inlineStr">
        <is>
          <t>LULEÅ</t>
        </is>
      </c>
      <c r="G305" t="n">
        <v>2.5</v>
      </c>
      <c r="H305" t="n">
        <v>0</v>
      </c>
      <c r="I305" t="n">
        <v>0</v>
      </c>
      <c r="J305" t="n">
        <v>0</v>
      </c>
      <c r="K305" t="n">
        <v>0</v>
      </c>
      <c r="L305" t="n">
        <v>0</v>
      </c>
      <c r="M305" t="n">
        <v>0</v>
      </c>
      <c r="N305" t="n">
        <v>0</v>
      </c>
      <c r="O305" t="n">
        <v>0</v>
      </c>
      <c r="P305" t="n">
        <v>0</v>
      </c>
      <c r="Q305" t="n">
        <v>0</v>
      </c>
      <c r="R305" s="2" t="inlineStr"/>
    </row>
    <row r="306" ht="15" customHeight="1">
      <c r="A306" t="inlineStr">
        <is>
          <t>A 63150-2021</t>
        </is>
      </c>
      <c r="B306" s="1" t="n">
        <v>44505</v>
      </c>
      <c r="C306" s="1" t="n">
        <v>45821</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66225-2021</t>
        </is>
      </c>
      <c r="B307" s="1" t="n">
        <v>44517</v>
      </c>
      <c r="C307" s="1" t="n">
        <v>45821</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66702-2021</t>
        </is>
      </c>
      <c r="B308" s="1" t="n">
        <v>44519</v>
      </c>
      <c r="C308" s="1" t="n">
        <v>45821</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68307-2021</t>
        </is>
      </c>
      <c r="B309" s="1" t="n">
        <v>44526</v>
      </c>
      <c r="C309" s="1" t="n">
        <v>45821</v>
      </c>
      <c r="D309" t="inlineStr">
        <is>
          <t>NORRBOTTENS LÄN</t>
        </is>
      </c>
      <c r="E309" t="inlineStr">
        <is>
          <t>LULEÅ</t>
        </is>
      </c>
      <c r="G309" t="n">
        <v>2.9</v>
      </c>
      <c r="H309" t="n">
        <v>0</v>
      </c>
      <c r="I309" t="n">
        <v>0</v>
      </c>
      <c r="J309" t="n">
        <v>0</v>
      </c>
      <c r="K309" t="n">
        <v>0</v>
      </c>
      <c r="L309" t="n">
        <v>0</v>
      </c>
      <c r="M309" t="n">
        <v>0</v>
      </c>
      <c r="N309" t="n">
        <v>0</v>
      </c>
      <c r="O309" t="n">
        <v>0</v>
      </c>
      <c r="P309" t="n">
        <v>0</v>
      </c>
      <c r="Q309" t="n">
        <v>0</v>
      </c>
      <c r="R309" s="2" t="inlineStr"/>
    </row>
    <row r="310" ht="15" customHeight="1">
      <c r="A310" t="inlineStr">
        <is>
          <t>A 68808-2021</t>
        </is>
      </c>
      <c r="B310" s="1" t="n">
        <v>44529</v>
      </c>
      <c r="C310" s="1" t="n">
        <v>45821</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69895-2021</t>
        </is>
      </c>
      <c r="B311" s="1" t="n">
        <v>44532</v>
      </c>
      <c r="C311" s="1" t="n">
        <v>45821</v>
      </c>
      <c r="D311" t="inlineStr">
        <is>
          <t>NORRBOTTENS LÄN</t>
        </is>
      </c>
      <c r="E311" t="inlineStr">
        <is>
          <t>LULEÅ</t>
        </is>
      </c>
      <c r="G311" t="n">
        <v>3.2</v>
      </c>
      <c r="H311" t="n">
        <v>0</v>
      </c>
      <c r="I311" t="n">
        <v>0</v>
      </c>
      <c r="J311" t="n">
        <v>0</v>
      </c>
      <c r="K311" t="n">
        <v>0</v>
      </c>
      <c r="L311" t="n">
        <v>0</v>
      </c>
      <c r="M311" t="n">
        <v>0</v>
      </c>
      <c r="N311" t="n">
        <v>0</v>
      </c>
      <c r="O311" t="n">
        <v>0</v>
      </c>
      <c r="P311" t="n">
        <v>0</v>
      </c>
      <c r="Q311" t="n">
        <v>0</v>
      </c>
      <c r="R311" s="2" t="inlineStr"/>
    </row>
    <row r="312" ht="15" customHeight="1">
      <c r="A312" t="inlineStr">
        <is>
          <t>A 71909-2021</t>
        </is>
      </c>
      <c r="B312" s="1" t="n">
        <v>44543</v>
      </c>
      <c r="C312" s="1" t="n">
        <v>45821</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72555-2021</t>
        </is>
      </c>
      <c r="B313" s="1" t="n">
        <v>44546</v>
      </c>
      <c r="C313" s="1" t="n">
        <v>45821</v>
      </c>
      <c r="D313" t="inlineStr">
        <is>
          <t>NORRBOTTENS LÄN</t>
        </is>
      </c>
      <c r="E313" t="inlineStr">
        <is>
          <t>LULEÅ</t>
        </is>
      </c>
      <c r="G313" t="n">
        <v>1.7</v>
      </c>
      <c r="H313" t="n">
        <v>0</v>
      </c>
      <c r="I313" t="n">
        <v>0</v>
      </c>
      <c r="J313" t="n">
        <v>0</v>
      </c>
      <c r="K313" t="n">
        <v>0</v>
      </c>
      <c r="L313" t="n">
        <v>0</v>
      </c>
      <c r="M313" t="n">
        <v>0</v>
      </c>
      <c r="N313" t="n">
        <v>0</v>
      </c>
      <c r="O313" t="n">
        <v>0</v>
      </c>
      <c r="P313" t="n">
        <v>0</v>
      </c>
      <c r="Q313" t="n">
        <v>0</v>
      </c>
      <c r="R313" s="2" t="inlineStr"/>
    </row>
    <row r="314" ht="15" customHeight="1">
      <c r="A314" t="inlineStr">
        <is>
          <t>A 72752-2021</t>
        </is>
      </c>
      <c r="B314" s="1" t="n">
        <v>44546</v>
      </c>
      <c r="C314" s="1" t="n">
        <v>45821</v>
      </c>
      <c r="D314" t="inlineStr">
        <is>
          <t>NORRBOTTENS LÄN</t>
        </is>
      </c>
      <c r="E314" t="inlineStr">
        <is>
          <t>LULEÅ</t>
        </is>
      </c>
      <c r="G314" t="n">
        <v>1.8</v>
      </c>
      <c r="H314" t="n">
        <v>0</v>
      </c>
      <c r="I314" t="n">
        <v>0</v>
      </c>
      <c r="J314" t="n">
        <v>0</v>
      </c>
      <c r="K314" t="n">
        <v>0</v>
      </c>
      <c r="L314" t="n">
        <v>0</v>
      </c>
      <c r="M314" t="n">
        <v>0</v>
      </c>
      <c r="N314" t="n">
        <v>0</v>
      </c>
      <c r="O314" t="n">
        <v>0</v>
      </c>
      <c r="P314" t="n">
        <v>0</v>
      </c>
      <c r="Q314" t="n">
        <v>0</v>
      </c>
      <c r="R314" s="2" t="inlineStr"/>
    </row>
    <row r="315" ht="15" customHeight="1">
      <c r="A315" t="inlineStr">
        <is>
          <t>A 72756-2021</t>
        </is>
      </c>
      <c r="B315" s="1" t="n">
        <v>44546</v>
      </c>
      <c r="C315" s="1" t="n">
        <v>45821</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72919-2021</t>
        </is>
      </c>
      <c r="B316" s="1" t="n">
        <v>44547</v>
      </c>
      <c r="C316" s="1" t="n">
        <v>45821</v>
      </c>
      <c r="D316" t="inlineStr">
        <is>
          <t>NORRBOTTENS LÄN</t>
        </is>
      </c>
      <c r="E316" t="inlineStr">
        <is>
          <t>LULEÅ</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73645-2021</t>
        </is>
      </c>
      <c r="B317" s="1" t="n">
        <v>44550</v>
      </c>
      <c r="C317" s="1" t="n">
        <v>45821</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73539-2021</t>
        </is>
      </c>
      <c r="B318" s="1" t="n">
        <v>44550</v>
      </c>
      <c r="C318" s="1" t="n">
        <v>45821</v>
      </c>
      <c r="D318" t="inlineStr">
        <is>
          <t>NORRBOTTENS LÄN</t>
        </is>
      </c>
      <c r="E318" t="inlineStr">
        <is>
          <t>LULEÅ</t>
        </is>
      </c>
      <c r="G318" t="n">
        <v>7.1</v>
      </c>
      <c r="H318" t="n">
        <v>0</v>
      </c>
      <c r="I318" t="n">
        <v>0</v>
      </c>
      <c r="J318" t="n">
        <v>0</v>
      </c>
      <c r="K318" t="n">
        <v>0</v>
      </c>
      <c r="L318" t="n">
        <v>0</v>
      </c>
      <c r="M318" t="n">
        <v>0</v>
      </c>
      <c r="N318" t="n">
        <v>0</v>
      </c>
      <c r="O318" t="n">
        <v>0</v>
      </c>
      <c r="P318" t="n">
        <v>0</v>
      </c>
      <c r="Q318" t="n">
        <v>0</v>
      </c>
      <c r="R318" s="2" t="inlineStr"/>
    </row>
    <row r="319" ht="15" customHeight="1">
      <c r="A319" t="inlineStr">
        <is>
          <t>A 73907-2021</t>
        </is>
      </c>
      <c r="B319" s="1" t="n">
        <v>44552</v>
      </c>
      <c r="C319" s="1" t="n">
        <v>45821</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73905-2021</t>
        </is>
      </c>
      <c r="B320" s="1" t="n">
        <v>44552</v>
      </c>
      <c r="C320" s="1" t="n">
        <v>45821</v>
      </c>
      <c r="D320" t="inlineStr">
        <is>
          <t>NORRBOTTENS LÄN</t>
        </is>
      </c>
      <c r="E320" t="inlineStr">
        <is>
          <t>LULEÅ</t>
        </is>
      </c>
      <c r="G320" t="n">
        <v>0.9</v>
      </c>
      <c r="H320" t="n">
        <v>0</v>
      </c>
      <c r="I320" t="n">
        <v>0</v>
      </c>
      <c r="J320" t="n">
        <v>0</v>
      </c>
      <c r="K320" t="n">
        <v>0</v>
      </c>
      <c r="L320" t="n">
        <v>0</v>
      </c>
      <c r="M320" t="n">
        <v>0</v>
      </c>
      <c r="N320" t="n">
        <v>0</v>
      </c>
      <c r="O320" t="n">
        <v>0</v>
      </c>
      <c r="P320" t="n">
        <v>0</v>
      </c>
      <c r="Q320" t="n">
        <v>0</v>
      </c>
      <c r="R320" s="2" t="inlineStr"/>
    </row>
    <row r="321" ht="15" customHeight="1">
      <c r="A321" t="inlineStr">
        <is>
          <t>A 74440-2021</t>
        </is>
      </c>
      <c r="B321" s="1" t="n">
        <v>44558</v>
      </c>
      <c r="C321" s="1" t="n">
        <v>45821</v>
      </c>
      <c r="D321" t="inlineStr">
        <is>
          <t>NORRBOTTENS LÄN</t>
        </is>
      </c>
      <c r="E321" t="inlineStr">
        <is>
          <t>LULEÅ</t>
        </is>
      </c>
      <c r="G321" t="n">
        <v>2.2</v>
      </c>
      <c r="H321" t="n">
        <v>0</v>
      </c>
      <c r="I321" t="n">
        <v>0</v>
      </c>
      <c r="J321" t="n">
        <v>0</v>
      </c>
      <c r="K321" t="n">
        <v>0</v>
      </c>
      <c r="L321" t="n">
        <v>0</v>
      </c>
      <c r="M321" t="n">
        <v>0</v>
      </c>
      <c r="N321" t="n">
        <v>0</v>
      </c>
      <c r="O321" t="n">
        <v>0</v>
      </c>
      <c r="P321" t="n">
        <v>0</v>
      </c>
      <c r="Q321" t="n">
        <v>0</v>
      </c>
      <c r="R321" s="2" t="inlineStr"/>
    </row>
    <row r="322" ht="15" customHeight="1">
      <c r="A322" t="inlineStr">
        <is>
          <t>A 74441-2021</t>
        </is>
      </c>
      <c r="B322" s="1" t="n">
        <v>44558</v>
      </c>
      <c r="C322" s="1" t="n">
        <v>45821</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74276-2021</t>
        </is>
      </c>
      <c r="B323" s="1" t="n">
        <v>44558</v>
      </c>
      <c r="C323" s="1" t="n">
        <v>45821</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74437-2021</t>
        </is>
      </c>
      <c r="B324" s="1" t="n">
        <v>44558</v>
      </c>
      <c r="C324" s="1" t="n">
        <v>45821</v>
      </c>
      <c r="D324" t="inlineStr">
        <is>
          <t>NORRBOTTENS LÄN</t>
        </is>
      </c>
      <c r="E324" t="inlineStr">
        <is>
          <t>LULEÅ</t>
        </is>
      </c>
      <c r="G324" t="n">
        <v>2.7</v>
      </c>
      <c r="H324" t="n">
        <v>0</v>
      </c>
      <c r="I324" t="n">
        <v>0</v>
      </c>
      <c r="J324" t="n">
        <v>0</v>
      </c>
      <c r="K324" t="n">
        <v>0</v>
      </c>
      <c r="L324" t="n">
        <v>0</v>
      </c>
      <c r="M324" t="n">
        <v>0</v>
      </c>
      <c r="N324" t="n">
        <v>0</v>
      </c>
      <c r="O324" t="n">
        <v>0</v>
      </c>
      <c r="P324" t="n">
        <v>0</v>
      </c>
      <c r="Q324" t="n">
        <v>0</v>
      </c>
      <c r="R324" s="2" t="inlineStr"/>
    </row>
    <row r="325" ht="15" customHeight="1">
      <c r="A325" t="inlineStr">
        <is>
          <t>A 74274-2021</t>
        </is>
      </c>
      <c r="B325" s="1" t="n">
        <v>44558</v>
      </c>
      <c r="C325" s="1" t="n">
        <v>45821</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74433-2021</t>
        </is>
      </c>
      <c r="B326" s="1" t="n">
        <v>44558</v>
      </c>
      <c r="C326" s="1" t="n">
        <v>45821</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74445-2021</t>
        </is>
      </c>
      <c r="B327" s="1" t="n">
        <v>44558</v>
      </c>
      <c r="C327" s="1" t="n">
        <v>45821</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434-2022</t>
        </is>
      </c>
      <c r="B328" s="1" t="n">
        <v>44565</v>
      </c>
      <c r="C328" s="1" t="n">
        <v>45821</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433-2022</t>
        </is>
      </c>
      <c r="B329" s="1" t="n">
        <v>44565</v>
      </c>
      <c r="C329" s="1" t="n">
        <v>45821</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432-2022</t>
        </is>
      </c>
      <c r="B330" s="1" t="n">
        <v>44565</v>
      </c>
      <c r="C330" s="1" t="n">
        <v>45821</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1336-2022</t>
        </is>
      </c>
      <c r="B331" s="1" t="n">
        <v>44572</v>
      </c>
      <c r="C331" s="1" t="n">
        <v>45821</v>
      </c>
      <c r="D331" t="inlineStr">
        <is>
          <t>NORRBOTTENS LÄN</t>
        </is>
      </c>
      <c r="E331" t="inlineStr">
        <is>
          <t>LULEÅ</t>
        </is>
      </c>
      <c r="G331" t="n">
        <v>4.5</v>
      </c>
      <c r="H331" t="n">
        <v>0</v>
      </c>
      <c r="I331" t="n">
        <v>0</v>
      </c>
      <c r="J331" t="n">
        <v>0</v>
      </c>
      <c r="K331" t="n">
        <v>0</v>
      </c>
      <c r="L331" t="n">
        <v>0</v>
      </c>
      <c r="M331" t="n">
        <v>0</v>
      </c>
      <c r="N331" t="n">
        <v>0</v>
      </c>
      <c r="O331" t="n">
        <v>0</v>
      </c>
      <c r="P331" t="n">
        <v>0</v>
      </c>
      <c r="Q331" t="n">
        <v>0</v>
      </c>
      <c r="R331" s="2" t="inlineStr"/>
    </row>
    <row r="332" ht="15" customHeight="1">
      <c r="A332" t="inlineStr">
        <is>
          <t>A 1857-2022</t>
        </is>
      </c>
      <c r="B332" s="1" t="n">
        <v>44574</v>
      </c>
      <c r="C332" s="1" t="n">
        <v>45821</v>
      </c>
      <c r="D332" t="inlineStr">
        <is>
          <t>NORRBOTTENS LÄN</t>
        </is>
      </c>
      <c r="E332" t="inlineStr">
        <is>
          <t>LULEÅ</t>
        </is>
      </c>
      <c r="G332" t="n">
        <v>16.8</v>
      </c>
      <c r="H332" t="n">
        <v>0</v>
      </c>
      <c r="I332" t="n">
        <v>0</v>
      </c>
      <c r="J332" t="n">
        <v>0</v>
      </c>
      <c r="K332" t="n">
        <v>0</v>
      </c>
      <c r="L332" t="n">
        <v>0</v>
      </c>
      <c r="M332" t="n">
        <v>0</v>
      </c>
      <c r="N332" t="n">
        <v>0</v>
      </c>
      <c r="O332" t="n">
        <v>0</v>
      </c>
      <c r="P332" t="n">
        <v>0</v>
      </c>
      <c r="Q332" t="n">
        <v>0</v>
      </c>
      <c r="R332" s="2" t="inlineStr"/>
    </row>
    <row r="333" ht="15" customHeight="1">
      <c r="A333" t="inlineStr">
        <is>
          <t>A 2339-2022</t>
        </is>
      </c>
      <c r="B333" s="1" t="n">
        <v>44578</v>
      </c>
      <c r="C333" s="1" t="n">
        <v>45821</v>
      </c>
      <c r="D333" t="inlineStr">
        <is>
          <t>NORRBOTTENS LÄN</t>
        </is>
      </c>
      <c r="E333" t="inlineStr">
        <is>
          <t>LULEÅ</t>
        </is>
      </c>
      <c r="G333" t="n">
        <v>6.8</v>
      </c>
      <c r="H333" t="n">
        <v>0</v>
      </c>
      <c r="I333" t="n">
        <v>0</v>
      </c>
      <c r="J333" t="n">
        <v>0</v>
      </c>
      <c r="K333" t="n">
        <v>0</v>
      </c>
      <c r="L333" t="n">
        <v>0</v>
      </c>
      <c r="M333" t="n">
        <v>0</v>
      </c>
      <c r="N333" t="n">
        <v>0</v>
      </c>
      <c r="O333" t="n">
        <v>0</v>
      </c>
      <c r="P333" t="n">
        <v>0</v>
      </c>
      <c r="Q333" t="n">
        <v>0</v>
      </c>
      <c r="R333" s="2" t="inlineStr"/>
    </row>
    <row r="334" ht="15" customHeight="1">
      <c r="A334" t="inlineStr">
        <is>
          <t>A 2561-2022</t>
        </is>
      </c>
      <c r="B334" s="1" t="n">
        <v>44579</v>
      </c>
      <c r="C334" s="1" t="n">
        <v>45821</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2748-2022</t>
        </is>
      </c>
      <c r="B335" s="1" t="n">
        <v>44580</v>
      </c>
      <c r="C335" s="1" t="n">
        <v>45821</v>
      </c>
      <c r="D335" t="inlineStr">
        <is>
          <t>NORRBOTTENS LÄN</t>
        </is>
      </c>
      <c r="E335" t="inlineStr">
        <is>
          <t>LULEÅ</t>
        </is>
      </c>
      <c r="G335" t="n">
        <v>4.7</v>
      </c>
      <c r="H335" t="n">
        <v>0</v>
      </c>
      <c r="I335" t="n">
        <v>0</v>
      </c>
      <c r="J335" t="n">
        <v>0</v>
      </c>
      <c r="K335" t="n">
        <v>0</v>
      </c>
      <c r="L335" t="n">
        <v>0</v>
      </c>
      <c r="M335" t="n">
        <v>0</v>
      </c>
      <c r="N335" t="n">
        <v>0</v>
      </c>
      <c r="O335" t="n">
        <v>0</v>
      </c>
      <c r="P335" t="n">
        <v>0</v>
      </c>
      <c r="Q335" t="n">
        <v>0</v>
      </c>
      <c r="R335" s="2" t="inlineStr"/>
    </row>
    <row r="336" ht="15" customHeight="1">
      <c r="A336" t="inlineStr">
        <is>
          <t>A 3536-2022</t>
        </is>
      </c>
      <c r="B336" s="1" t="n">
        <v>44585</v>
      </c>
      <c r="C336" s="1" t="n">
        <v>45821</v>
      </c>
      <c r="D336" t="inlineStr">
        <is>
          <t>NORRBOTTENS LÄN</t>
        </is>
      </c>
      <c r="E336" t="inlineStr">
        <is>
          <t>LULEÅ</t>
        </is>
      </c>
      <c r="G336" t="n">
        <v>9.9</v>
      </c>
      <c r="H336" t="n">
        <v>0</v>
      </c>
      <c r="I336" t="n">
        <v>0</v>
      </c>
      <c r="J336" t="n">
        <v>0</v>
      </c>
      <c r="K336" t="n">
        <v>0</v>
      </c>
      <c r="L336" t="n">
        <v>0</v>
      </c>
      <c r="M336" t="n">
        <v>0</v>
      </c>
      <c r="N336" t="n">
        <v>0</v>
      </c>
      <c r="O336" t="n">
        <v>0</v>
      </c>
      <c r="P336" t="n">
        <v>0</v>
      </c>
      <c r="Q336" t="n">
        <v>0</v>
      </c>
      <c r="R336" s="2" t="inlineStr"/>
    </row>
    <row r="337" ht="15" customHeight="1">
      <c r="A337" t="inlineStr">
        <is>
          <t>A 3843-2022</t>
        </is>
      </c>
      <c r="B337" s="1" t="n">
        <v>44586</v>
      </c>
      <c r="C337" s="1" t="n">
        <v>45821</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3951-2022</t>
        </is>
      </c>
      <c r="B338" s="1" t="n">
        <v>44587</v>
      </c>
      <c r="C338" s="1" t="n">
        <v>45821</v>
      </c>
      <c r="D338" t="inlineStr">
        <is>
          <t>NORRBOTTENS LÄN</t>
        </is>
      </c>
      <c r="E338" t="inlineStr">
        <is>
          <t>LULEÅ</t>
        </is>
      </c>
      <c r="G338" t="n">
        <v>2.7</v>
      </c>
      <c r="H338" t="n">
        <v>0</v>
      </c>
      <c r="I338" t="n">
        <v>0</v>
      </c>
      <c r="J338" t="n">
        <v>0</v>
      </c>
      <c r="K338" t="n">
        <v>0</v>
      </c>
      <c r="L338" t="n">
        <v>0</v>
      </c>
      <c r="M338" t="n">
        <v>0</v>
      </c>
      <c r="N338" t="n">
        <v>0</v>
      </c>
      <c r="O338" t="n">
        <v>0</v>
      </c>
      <c r="P338" t="n">
        <v>0</v>
      </c>
      <c r="Q338" t="n">
        <v>0</v>
      </c>
      <c r="R338" s="2" t="inlineStr"/>
    </row>
    <row r="339" ht="15" customHeight="1">
      <c r="A339" t="inlineStr">
        <is>
          <t>A 8472-2022</t>
        </is>
      </c>
      <c r="B339" s="1" t="n">
        <v>44610</v>
      </c>
      <c r="C339" s="1" t="n">
        <v>45821</v>
      </c>
      <c r="D339" t="inlineStr">
        <is>
          <t>NORRBOTTENS LÄN</t>
        </is>
      </c>
      <c r="E339" t="inlineStr">
        <is>
          <t>LULEÅ</t>
        </is>
      </c>
      <c r="G339" t="n">
        <v>5.1</v>
      </c>
      <c r="H339" t="n">
        <v>0</v>
      </c>
      <c r="I339" t="n">
        <v>0</v>
      </c>
      <c r="J339" t="n">
        <v>0</v>
      </c>
      <c r="K339" t="n">
        <v>0</v>
      </c>
      <c r="L339" t="n">
        <v>0</v>
      </c>
      <c r="M339" t="n">
        <v>0</v>
      </c>
      <c r="N339" t="n">
        <v>0</v>
      </c>
      <c r="O339" t="n">
        <v>0</v>
      </c>
      <c r="P339" t="n">
        <v>0</v>
      </c>
      <c r="Q339" t="n">
        <v>0</v>
      </c>
      <c r="R339" s="2" t="inlineStr"/>
    </row>
    <row r="340" ht="15" customHeight="1">
      <c r="A340" t="inlineStr">
        <is>
          <t>A 8390-2022</t>
        </is>
      </c>
      <c r="B340" s="1" t="n">
        <v>44610</v>
      </c>
      <c r="C340" s="1" t="n">
        <v>45821</v>
      </c>
      <c r="D340" t="inlineStr">
        <is>
          <t>NORRBOTTENS LÄN</t>
        </is>
      </c>
      <c r="E340" t="inlineStr">
        <is>
          <t>LULEÅ</t>
        </is>
      </c>
      <c r="G340" t="n">
        <v>5.8</v>
      </c>
      <c r="H340" t="n">
        <v>0</v>
      </c>
      <c r="I340" t="n">
        <v>0</v>
      </c>
      <c r="J340" t="n">
        <v>0</v>
      </c>
      <c r="K340" t="n">
        <v>0</v>
      </c>
      <c r="L340" t="n">
        <v>0</v>
      </c>
      <c r="M340" t="n">
        <v>0</v>
      </c>
      <c r="N340" t="n">
        <v>0</v>
      </c>
      <c r="O340" t="n">
        <v>0</v>
      </c>
      <c r="P340" t="n">
        <v>0</v>
      </c>
      <c r="Q340" t="n">
        <v>0</v>
      </c>
      <c r="R340" s="2" t="inlineStr"/>
    </row>
    <row r="341" ht="15" customHeight="1">
      <c r="A341" t="inlineStr">
        <is>
          <t>A 8521-2022</t>
        </is>
      </c>
      <c r="B341" s="1" t="n">
        <v>44610</v>
      </c>
      <c r="C341" s="1" t="n">
        <v>45821</v>
      </c>
      <c r="D341" t="inlineStr">
        <is>
          <t>NORRBOTTENS LÄN</t>
        </is>
      </c>
      <c r="E341" t="inlineStr">
        <is>
          <t>LULEÅ</t>
        </is>
      </c>
      <c r="G341" t="n">
        <v>2.2</v>
      </c>
      <c r="H341" t="n">
        <v>0</v>
      </c>
      <c r="I341" t="n">
        <v>0</v>
      </c>
      <c r="J341" t="n">
        <v>0</v>
      </c>
      <c r="K341" t="n">
        <v>0</v>
      </c>
      <c r="L341" t="n">
        <v>0</v>
      </c>
      <c r="M341" t="n">
        <v>0</v>
      </c>
      <c r="N341" t="n">
        <v>0</v>
      </c>
      <c r="O341" t="n">
        <v>0</v>
      </c>
      <c r="P341" t="n">
        <v>0</v>
      </c>
      <c r="Q341" t="n">
        <v>0</v>
      </c>
      <c r="R341" s="2" t="inlineStr"/>
    </row>
    <row r="342" ht="15" customHeight="1">
      <c r="A342" t="inlineStr">
        <is>
          <t>A 9580-2022</t>
        </is>
      </c>
      <c r="B342" s="1" t="n">
        <v>44617</v>
      </c>
      <c r="C342" s="1" t="n">
        <v>45821</v>
      </c>
      <c r="D342" t="inlineStr">
        <is>
          <t>NORRBOTTENS LÄN</t>
        </is>
      </c>
      <c r="E342" t="inlineStr">
        <is>
          <t>LULEÅ</t>
        </is>
      </c>
      <c r="G342" t="n">
        <v>2.8</v>
      </c>
      <c r="H342" t="n">
        <v>0</v>
      </c>
      <c r="I342" t="n">
        <v>0</v>
      </c>
      <c r="J342" t="n">
        <v>0</v>
      </c>
      <c r="K342" t="n">
        <v>0</v>
      </c>
      <c r="L342" t="n">
        <v>0</v>
      </c>
      <c r="M342" t="n">
        <v>0</v>
      </c>
      <c r="N342" t="n">
        <v>0</v>
      </c>
      <c r="O342" t="n">
        <v>0</v>
      </c>
      <c r="P342" t="n">
        <v>0</v>
      </c>
      <c r="Q342" t="n">
        <v>0</v>
      </c>
      <c r="R342" s="2" t="inlineStr"/>
    </row>
    <row r="343" ht="15" customHeight="1">
      <c r="A343" t="inlineStr">
        <is>
          <t>A 9582-2022</t>
        </is>
      </c>
      <c r="B343" s="1" t="n">
        <v>44617</v>
      </c>
      <c r="C343" s="1" t="n">
        <v>45821</v>
      </c>
      <c r="D343" t="inlineStr">
        <is>
          <t>NORRBOTTENS LÄN</t>
        </is>
      </c>
      <c r="E343" t="inlineStr">
        <is>
          <t>LULEÅ</t>
        </is>
      </c>
      <c r="G343" t="n">
        <v>2.9</v>
      </c>
      <c r="H343" t="n">
        <v>0</v>
      </c>
      <c r="I343" t="n">
        <v>0</v>
      </c>
      <c r="J343" t="n">
        <v>0</v>
      </c>
      <c r="K343" t="n">
        <v>0</v>
      </c>
      <c r="L343" t="n">
        <v>0</v>
      </c>
      <c r="M343" t="n">
        <v>0</v>
      </c>
      <c r="N343" t="n">
        <v>0</v>
      </c>
      <c r="O343" t="n">
        <v>0</v>
      </c>
      <c r="P343" t="n">
        <v>0</v>
      </c>
      <c r="Q343" t="n">
        <v>0</v>
      </c>
      <c r="R343" s="2" t="inlineStr"/>
    </row>
    <row r="344" ht="15" customHeight="1">
      <c r="A344" t="inlineStr">
        <is>
          <t>A 9706-2022</t>
        </is>
      </c>
      <c r="B344" s="1" t="n">
        <v>44617</v>
      </c>
      <c r="C344" s="1" t="n">
        <v>45821</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9929-2022</t>
        </is>
      </c>
      <c r="B345" s="1" t="n">
        <v>44620</v>
      </c>
      <c r="C345" s="1" t="n">
        <v>45821</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9930-2022</t>
        </is>
      </c>
      <c r="B346" s="1" t="n">
        <v>44620</v>
      </c>
      <c r="C346" s="1" t="n">
        <v>45821</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9932-2022</t>
        </is>
      </c>
      <c r="B347" s="1" t="n">
        <v>44620</v>
      </c>
      <c r="C347" s="1" t="n">
        <v>45821</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10303-2022</t>
        </is>
      </c>
      <c r="B348" s="1" t="n">
        <v>44622</v>
      </c>
      <c r="C348" s="1" t="n">
        <v>45821</v>
      </c>
      <c r="D348" t="inlineStr">
        <is>
          <t>NORRBOTTENS LÄN</t>
        </is>
      </c>
      <c r="E348" t="inlineStr">
        <is>
          <t>LULEÅ</t>
        </is>
      </c>
      <c r="G348" t="n">
        <v>1.1</v>
      </c>
      <c r="H348" t="n">
        <v>0</v>
      </c>
      <c r="I348" t="n">
        <v>0</v>
      </c>
      <c r="J348" t="n">
        <v>0</v>
      </c>
      <c r="K348" t="n">
        <v>0</v>
      </c>
      <c r="L348" t="n">
        <v>0</v>
      </c>
      <c r="M348" t="n">
        <v>0</v>
      </c>
      <c r="N348" t="n">
        <v>0</v>
      </c>
      <c r="O348" t="n">
        <v>0</v>
      </c>
      <c r="P348" t="n">
        <v>0</v>
      </c>
      <c r="Q348" t="n">
        <v>0</v>
      </c>
      <c r="R348" s="2" t="inlineStr"/>
    </row>
    <row r="349" ht="15" customHeight="1">
      <c r="A349" t="inlineStr">
        <is>
          <t>A 10304-2022</t>
        </is>
      </c>
      <c r="B349" s="1" t="n">
        <v>44622</v>
      </c>
      <c r="C349" s="1" t="n">
        <v>45821</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10195-2022</t>
        </is>
      </c>
      <c r="B350" s="1" t="n">
        <v>44622</v>
      </c>
      <c r="C350" s="1" t="n">
        <v>45821</v>
      </c>
      <c r="D350" t="inlineStr">
        <is>
          <t>NORRBOTTENS LÄN</t>
        </is>
      </c>
      <c r="E350" t="inlineStr">
        <is>
          <t>LULEÅ</t>
        </is>
      </c>
      <c r="G350" t="n">
        <v>33.4</v>
      </c>
      <c r="H350" t="n">
        <v>0</v>
      </c>
      <c r="I350" t="n">
        <v>0</v>
      </c>
      <c r="J350" t="n">
        <v>0</v>
      </c>
      <c r="K350" t="n">
        <v>0</v>
      </c>
      <c r="L350" t="n">
        <v>0</v>
      </c>
      <c r="M350" t="n">
        <v>0</v>
      </c>
      <c r="N350" t="n">
        <v>0</v>
      </c>
      <c r="O350" t="n">
        <v>0</v>
      </c>
      <c r="P350" t="n">
        <v>0</v>
      </c>
      <c r="Q350" t="n">
        <v>0</v>
      </c>
      <c r="R350" s="2" t="inlineStr"/>
    </row>
    <row r="351" ht="15" customHeight="1">
      <c r="A351" t="inlineStr">
        <is>
          <t>A 11793-2022</t>
        </is>
      </c>
      <c r="B351" s="1" t="n">
        <v>44634</v>
      </c>
      <c r="C351" s="1" t="n">
        <v>45821</v>
      </c>
      <c r="D351" t="inlineStr">
        <is>
          <t>NORRBOTTENS LÄN</t>
        </is>
      </c>
      <c r="E351" t="inlineStr">
        <is>
          <t>LULEÅ</t>
        </is>
      </c>
      <c r="G351" t="n">
        <v>5.3</v>
      </c>
      <c r="H351" t="n">
        <v>0</v>
      </c>
      <c r="I351" t="n">
        <v>0</v>
      </c>
      <c r="J351" t="n">
        <v>0</v>
      </c>
      <c r="K351" t="n">
        <v>0</v>
      </c>
      <c r="L351" t="n">
        <v>0</v>
      </c>
      <c r="M351" t="n">
        <v>0</v>
      </c>
      <c r="N351" t="n">
        <v>0</v>
      </c>
      <c r="O351" t="n">
        <v>0</v>
      </c>
      <c r="P351" t="n">
        <v>0</v>
      </c>
      <c r="Q351" t="n">
        <v>0</v>
      </c>
      <c r="R351" s="2" t="inlineStr"/>
    </row>
    <row r="352" ht="15" customHeight="1">
      <c r="A352" t="inlineStr">
        <is>
          <t>A 11833-2022</t>
        </is>
      </c>
      <c r="B352" s="1" t="n">
        <v>44634</v>
      </c>
      <c r="C352" s="1" t="n">
        <v>45821</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12010-2022</t>
        </is>
      </c>
      <c r="B353" s="1" t="n">
        <v>44635</v>
      </c>
      <c r="C353" s="1" t="n">
        <v>45821</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13095-2022</t>
        </is>
      </c>
      <c r="B354" s="1" t="n">
        <v>44643</v>
      </c>
      <c r="C354" s="1" t="n">
        <v>45821</v>
      </c>
      <c r="D354" t="inlineStr">
        <is>
          <t>NORRBOTTENS LÄN</t>
        </is>
      </c>
      <c r="E354" t="inlineStr">
        <is>
          <t>LULEÅ</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14561-2022</t>
        </is>
      </c>
      <c r="B355" s="1" t="n">
        <v>44655</v>
      </c>
      <c r="C355" s="1" t="n">
        <v>45821</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15047-2022</t>
        </is>
      </c>
      <c r="B356" s="1" t="n">
        <v>44657</v>
      </c>
      <c r="C356" s="1" t="n">
        <v>45821</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15194-2022</t>
        </is>
      </c>
      <c r="B357" s="1" t="n">
        <v>44658</v>
      </c>
      <c r="C357" s="1" t="n">
        <v>45821</v>
      </c>
      <c r="D357" t="inlineStr">
        <is>
          <t>NORRBOTTENS LÄN</t>
        </is>
      </c>
      <c r="E357" t="inlineStr">
        <is>
          <t>LULEÅ</t>
        </is>
      </c>
      <c r="G357" t="n">
        <v>26.9</v>
      </c>
      <c r="H357" t="n">
        <v>0</v>
      </c>
      <c r="I357" t="n">
        <v>0</v>
      </c>
      <c r="J357" t="n">
        <v>0</v>
      </c>
      <c r="K357" t="n">
        <v>0</v>
      </c>
      <c r="L357" t="n">
        <v>0</v>
      </c>
      <c r="M357" t="n">
        <v>0</v>
      </c>
      <c r="N357" t="n">
        <v>0</v>
      </c>
      <c r="O357" t="n">
        <v>0</v>
      </c>
      <c r="P357" t="n">
        <v>0</v>
      </c>
      <c r="Q357" t="n">
        <v>0</v>
      </c>
      <c r="R357" s="2" t="inlineStr"/>
    </row>
    <row r="358" ht="15" customHeight="1">
      <c r="A358" t="inlineStr">
        <is>
          <t>A 15848-2022</t>
        </is>
      </c>
      <c r="B358" s="1" t="n">
        <v>44664</v>
      </c>
      <c r="C358" s="1" t="n">
        <v>45821</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16793-2022</t>
        </is>
      </c>
      <c r="B359" s="1" t="n">
        <v>44673</v>
      </c>
      <c r="C359" s="1" t="n">
        <v>45821</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16987-2022</t>
        </is>
      </c>
      <c r="B360" s="1" t="n">
        <v>44676</v>
      </c>
      <c r="C360" s="1" t="n">
        <v>45821</v>
      </c>
      <c r="D360" t="inlineStr">
        <is>
          <t>NORRBOTTENS LÄN</t>
        </is>
      </c>
      <c r="E360" t="inlineStr">
        <is>
          <t>LULEÅ</t>
        </is>
      </c>
      <c r="G360" t="n">
        <v>29.9</v>
      </c>
      <c r="H360" t="n">
        <v>0</v>
      </c>
      <c r="I360" t="n">
        <v>0</v>
      </c>
      <c r="J360" t="n">
        <v>0</v>
      </c>
      <c r="K360" t="n">
        <v>0</v>
      </c>
      <c r="L360" t="n">
        <v>0</v>
      </c>
      <c r="M360" t="n">
        <v>0</v>
      </c>
      <c r="N360" t="n">
        <v>0</v>
      </c>
      <c r="O360" t="n">
        <v>0</v>
      </c>
      <c r="P360" t="n">
        <v>0</v>
      </c>
      <c r="Q360" t="n">
        <v>0</v>
      </c>
      <c r="R360" s="2" t="inlineStr"/>
    </row>
    <row r="361" ht="15" customHeight="1">
      <c r="A361" t="inlineStr">
        <is>
          <t>A 17548-2022</t>
        </is>
      </c>
      <c r="B361" s="1" t="n">
        <v>44679</v>
      </c>
      <c r="C361" s="1" t="n">
        <v>45821</v>
      </c>
      <c r="D361" t="inlineStr">
        <is>
          <t>NORRBOTTENS LÄN</t>
        </is>
      </c>
      <c r="E361" t="inlineStr">
        <is>
          <t>LULEÅ</t>
        </is>
      </c>
      <c r="G361" t="n">
        <v>8.6</v>
      </c>
      <c r="H361" t="n">
        <v>0</v>
      </c>
      <c r="I361" t="n">
        <v>0</v>
      </c>
      <c r="J361" t="n">
        <v>0</v>
      </c>
      <c r="K361" t="n">
        <v>0</v>
      </c>
      <c r="L361" t="n">
        <v>0</v>
      </c>
      <c r="M361" t="n">
        <v>0</v>
      </c>
      <c r="N361" t="n">
        <v>0</v>
      </c>
      <c r="O361" t="n">
        <v>0</v>
      </c>
      <c r="P361" t="n">
        <v>0</v>
      </c>
      <c r="Q361" t="n">
        <v>0</v>
      </c>
      <c r="R361" s="2" t="inlineStr"/>
    </row>
    <row r="362" ht="15" customHeight="1">
      <c r="A362" t="inlineStr">
        <is>
          <t>A 19392-2022</t>
        </is>
      </c>
      <c r="B362" s="1" t="n">
        <v>44693</v>
      </c>
      <c r="C362" s="1" t="n">
        <v>45821</v>
      </c>
      <c r="D362" t="inlineStr">
        <is>
          <t>NORRBOTTENS LÄN</t>
        </is>
      </c>
      <c r="E362" t="inlineStr">
        <is>
          <t>LULEÅ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19391-2022</t>
        </is>
      </c>
      <c r="B363" s="1" t="n">
        <v>44693</v>
      </c>
      <c r="C363" s="1" t="n">
        <v>45821</v>
      </c>
      <c r="D363" t="inlineStr">
        <is>
          <t>NORRBOTTENS LÄN</t>
        </is>
      </c>
      <c r="E363" t="inlineStr">
        <is>
          <t>LULEÅ</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19790-2022</t>
        </is>
      </c>
      <c r="B364" s="1" t="n">
        <v>44695</v>
      </c>
      <c r="C364" s="1" t="n">
        <v>45821</v>
      </c>
      <c r="D364" t="inlineStr">
        <is>
          <t>NORRBOTTENS LÄN</t>
        </is>
      </c>
      <c r="E364" t="inlineStr">
        <is>
          <t>LULEÅ</t>
        </is>
      </c>
      <c r="G364" t="n">
        <v>6.1</v>
      </c>
      <c r="H364" t="n">
        <v>0</v>
      </c>
      <c r="I364" t="n">
        <v>0</v>
      </c>
      <c r="J364" t="n">
        <v>0</v>
      </c>
      <c r="K364" t="n">
        <v>0</v>
      </c>
      <c r="L364" t="n">
        <v>0</v>
      </c>
      <c r="M364" t="n">
        <v>0</v>
      </c>
      <c r="N364" t="n">
        <v>0</v>
      </c>
      <c r="O364" t="n">
        <v>0</v>
      </c>
      <c r="P364" t="n">
        <v>0</v>
      </c>
      <c r="Q364" t="n">
        <v>0</v>
      </c>
      <c r="R364" s="2" t="inlineStr"/>
    </row>
    <row r="365" ht="15" customHeight="1">
      <c r="A365" t="inlineStr">
        <is>
          <t>A 19791-2022</t>
        </is>
      </c>
      <c r="B365" s="1" t="n">
        <v>44695</v>
      </c>
      <c r="C365" s="1" t="n">
        <v>45821</v>
      </c>
      <c r="D365" t="inlineStr">
        <is>
          <t>NORRBOTTENS LÄN</t>
        </is>
      </c>
      <c r="E365" t="inlineStr">
        <is>
          <t>LULEÅ</t>
        </is>
      </c>
      <c r="G365" t="n">
        <v>2.9</v>
      </c>
      <c r="H365" t="n">
        <v>0</v>
      </c>
      <c r="I365" t="n">
        <v>0</v>
      </c>
      <c r="J365" t="n">
        <v>0</v>
      </c>
      <c r="K365" t="n">
        <v>0</v>
      </c>
      <c r="L365" t="n">
        <v>0</v>
      </c>
      <c r="M365" t="n">
        <v>0</v>
      </c>
      <c r="N365" t="n">
        <v>0</v>
      </c>
      <c r="O365" t="n">
        <v>0</v>
      </c>
      <c r="P365" t="n">
        <v>0</v>
      </c>
      <c r="Q365" t="n">
        <v>0</v>
      </c>
      <c r="R365" s="2" t="inlineStr"/>
    </row>
    <row r="366" ht="15" customHeight="1">
      <c r="A366" t="inlineStr">
        <is>
          <t>A 22784-2022</t>
        </is>
      </c>
      <c r="B366" s="1" t="n">
        <v>44714</v>
      </c>
      <c r="C366" s="1" t="n">
        <v>45821</v>
      </c>
      <c r="D366" t="inlineStr">
        <is>
          <t>NORRBOTTENS LÄN</t>
        </is>
      </c>
      <c r="E366" t="inlineStr">
        <is>
          <t>LULEÅ</t>
        </is>
      </c>
      <c r="F366" t="inlineStr">
        <is>
          <t>SCA</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23166-2022</t>
        </is>
      </c>
      <c r="B367" s="1" t="n">
        <v>44720</v>
      </c>
      <c r="C367" s="1" t="n">
        <v>45821</v>
      </c>
      <c r="D367" t="inlineStr">
        <is>
          <t>NORRBOTTENS LÄN</t>
        </is>
      </c>
      <c r="E367" t="inlineStr">
        <is>
          <t>LULEÅ</t>
        </is>
      </c>
      <c r="G367" t="n">
        <v>5.7</v>
      </c>
      <c r="H367" t="n">
        <v>0</v>
      </c>
      <c r="I367" t="n">
        <v>0</v>
      </c>
      <c r="J367" t="n">
        <v>0</v>
      </c>
      <c r="K367" t="n">
        <v>0</v>
      </c>
      <c r="L367" t="n">
        <v>0</v>
      </c>
      <c r="M367" t="n">
        <v>0</v>
      </c>
      <c r="N367" t="n">
        <v>0</v>
      </c>
      <c r="O367" t="n">
        <v>0</v>
      </c>
      <c r="P367" t="n">
        <v>0</v>
      </c>
      <c r="Q367" t="n">
        <v>0</v>
      </c>
      <c r="R367" s="2" t="inlineStr"/>
    </row>
    <row r="368" ht="15" customHeight="1">
      <c r="A368" t="inlineStr">
        <is>
          <t>A 23884-2022</t>
        </is>
      </c>
      <c r="B368" s="1" t="n">
        <v>44722</v>
      </c>
      <c r="C368" s="1" t="n">
        <v>45821</v>
      </c>
      <c r="D368" t="inlineStr">
        <is>
          <t>NORRBOTTENS LÄN</t>
        </is>
      </c>
      <c r="E368" t="inlineStr">
        <is>
          <t>LULEÅ</t>
        </is>
      </c>
      <c r="G368" t="n">
        <v>2.1</v>
      </c>
      <c r="H368" t="n">
        <v>0</v>
      </c>
      <c r="I368" t="n">
        <v>0</v>
      </c>
      <c r="J368" t="n">
        <v>0</v>
      </c>
      <c r="K368" t="n">
        <v>0</v>
      </c>
      <c r="L368" t="n">
        <v>0</v>
      </c>
      <c r="M368" t="n">
        <v>0</v>
      </c>
      <c r="N368" t="n">
        <v>0</v>
      </c>
      <c r="O368" t="n">
        <v>0</v>
      </c>
      <c r="P368" t="n">
        <v>0</v>
      </c>
      <c r="Q368" t="n">
        <v>0</v>
      </c>
      <c r="R368" s="2" t="inlineStr"/>
    </row>
    <row r="369" ht="15" customHeight="1">
      <c r="A369" t="inlineStr">
        <is>
          <t>A 24995-2022</t>
        </is>
      </c>
      <c r="B369" s="1" t="n">
        <v>44729</v>
      </c>
      <c r="C369" s="1" t="n">
        <v>45821</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26267-2022</t>
        </is>
      </c>
      <c r="B370" s="1" t="n">
        <v>44735</v>
      </c>
      <c r="C370" s="1" t="n">
        <v>45821</v>
      </c>
      <c r="D370" t="inlineStr">
        <is>
          <t>NORRBOTTENS LÄN</t>
        </is>
      </c>
      <c r="E370" t="inlineStr">
        <is>
          <t>LULEÅ</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27108-2022</t>
        </is>
      </c>
      <c r="B371" s="1" t="n">
        <v>44741</v>
      </c>
      <c r="C371" s="1" t="n">
        <v>45821</v>
      </c>
      <c r="D371" t="inlineStr">
        <is>
          <t>NORRBOTTENS LÄN</t>
        </is>
      </c>
      <c r="E371" t="inlineStr">
        <is>
          <t>LULEÅ</t>
        </is>
      </c>
      <c r="G371" t="n">
        <v>3.5</v>
      </c>
      <c r="H371" t="n">
        <v>0</v>
      </c>
      <c r="I371" t="n">
        <v>0</v>
      </c>
      <c r="J371" t="n">
        <v>0</v>
      </c>
      <c r="K371" t="n">
        <v>0</v>
      </c>
      <c r="L371" t="n">
        <v>0</v>
      </c>
      <c r="M371" t="n">
        <v>0</v>
      </c>
      <c r="N371" t="n">
        <v>0</v>
      </c>
      <c r="O371" t="n">
        <v>0</v>
      </c>
      <c r="P371" t="n">
        <v>0</v>
      </c>
      <c r="Q371" t="n">
        <v>0</v>
      </c>
      <c r="R371" s="2" t="inlineStr"/>
    </row>
    <row r="372" ht="15" customHeight="1">
      <c r="A372" t="inlineStr">
        <is>
          <t>A 27305-2022</t>
        </is>
      </c>
      <c r="B372" s="1" t="n">
        <v>44741</v>
      </c>
      <c r="C372" s="1" t="n">
        <v>45821</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45821</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28274-2022</t>
        </is>
      </c>
      <c r="B374" s="1" t="n">
        <v>44747</v>
      </c>
      <c r="C374" s="1" t="n">
        <v>45821</v>
      </c>
      <c r="D374" t="inlineStr">
        <is>
          <t>NORRBOTTENS LÄN</t>
        </is>
      </c>
      <c r="E374" t="inlineStr">
        <is>
          <t>LULEÅ</t>
        </is>
      </c>
      <c r="G374" t="n">
        <v>6.4</v>
      </c>
      <c r="H374" t="n">
        <v>0</v>
      </c>
      <c r="I374" t="n">
        <v>0</v>
      </c>
      <c r="J374" t="n">
        <v>0</v>
      </c>
      <c r="K374" t="n">
        <v>0</v>
      </c>
      <c r="L374" t="n">
        <v>0</v>
      </c>
      <c r="M374" t="n">
        <v>0</v>
      </c>
      <c r="N374" t="n">
        <v>0</v>
      </c>
      <c r="O374" t="n">
        <v>0</v>
      </c>
      <c r="P374" t="n">
        <v>0</v>
      </c>
      <c r="Q374" t="n">
        <v>0</v>
      </c>
      <c r="R374" s="2" t="inlineStr"/>
    </row>
    <row r="375" ht="15" customHeight="1">
      <c r="A375" t="inlineStr">
        <is>
          <t>A 28276-2022</t>
        </is>
      </c>
      <c r="B375" s="1" t="n">
        <v>44746</v>
      </c>
      <c r="C375" s="1" t="n">
        <v>45821</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28272-2022</t>
        </is>
      </c>
      <c r="B376" s="1" t="n">
        <v>44747</v>
      </c>
      <c r="C376" s="1" t="n">
        <v>45821</v>
      </c>
      <c r="D376" t="inlineStr">
        <is>
          <t>NORRBOTTENS LÄN</t>
        </is>
      </c>
      <c r="E376" t="inlineStr">
        <is>
          <t>LULEÅ</t>
        </is>
      </c>
      <c r="G376" t="n">
        <v>7.9</v>
      </c>
      <c r="H376" t="n">
        <v>0</v>
      </c>
      <c r="I376" t="n">
        <v>0</v>
      </c>
      <c r="J376" t="n">
        <v>0</v>
      </c>
      <c r="K376" t="n">
        <v>0</v>
      </c>
      <c r="L376" t="n">
        <v>0</v>
      </c>
      <c r="M376" t="n">
        <v>0</v>
      </c>
      <c r="N376" t="n">
        <v>0</v>
      </c>
      <c r="O376" t="n">
        <v>0</v>
      </c>
      <c r="P376" t="n">
        <v>0</v>
      </c>
      <c r="Q376" t="n">
        <v>0</v>
      </c>
      <c r="R376" s="2" t="inlineStr"/>
    </row>
    <row r="377" ht="15" customHeight="1">
      <c r="A377" t="inlineStr">
        <is>
          <t>A 28273-2022</t>
        </is>
      </c>
      <c r="B377" s="1" t="n">
        <v>44747</v>
      </c>
      <c r="C377" s="1" t="n">
        <v>45821</v>
      </c>
      <c r="D377" t="inlineStr">
        <is>
          <t>NORRBOTTENS LÄN</t>
        </is>
      </c>
      <c r="E377" t="inlineStr">
        <is>
          <t>LULEÅ</t>
        </is>
      </c>
      <c r="G377" t="n">
        <v>7.8</v>
      </c>
      <c r="H377" t="n">
        <v>0</v>
      </c>
      <c r="I377" t="n">
        <v>0</v>
      </c>
      <c r="J377" t="n">
        <v>0</v>
      </c>
      <c r="K377" t="n">
        <v>0</v>
      </c>
      <c r="L377" t="n">
        <v>0</v>
      </c>
      <c r="M377" t="n">
        <v>0</v>
      </c>
      <c r="N377" t="n">
        <v>0</v>
      </c>
      <c r="O377" t="n">
        <v>0</v>
      </c>
      <c r="P377" t="n">
        <v>0</v>
      </c>
      <c r="Q377" t="n">
        <v>0</v>
      </c>
      <c r="R377" s="2" t="inlineStr"/>
    </row>
    <row r="378" ht="15" customHeight="1">
      <c r="A378" t="inlineStr">
        <is>
          <t>A 28275-2022</t>
        </is>
      </c>
      <c r="B378" s="1" t="n">
        <v>44746</v>
      </c>
      <c r="C378" s="1" t="n">
        <v>45821</v>
      </c>
      <c r="D378" t="inlineStr">
        <is>
          <t>NORRBOTTENS LÄN</t>
        </is>
      </c>
      <c r="E378" t="inlineStr">
        <is>
          <t>LULEÅ</t>
        </is>
      </c>
      <c r="G378" t="n">
        <v>2.7</v>
      </c>
      <c r="H378" t="n">
        <v>0</v>
      </c>
      <c r="I378" t="n">
        <v>0</v>
      </c>
      <c r="J378" t="n">
        <v>0</v>
      </c>
      <c r="K378" t="n">
        <v>0</v>
      </c>
      <c r="L378" t="n">
        <v>0</v>
      </c>
      <c r="M378" t="n">
        <v>0</v>
      </c>
      <c r="N378" t="n">
        <v>0</v>
      </c>
      <c r="O378" t="n">
        <v>0</v>
      </c>
      <c r="P378" t="n">
        <v>0</v>
      </c>
      <c r="Q378" t="n">
        <v>0</v>
      </c>
      <c r="R378" s="2" t="inlineStr"/>
    </row>
    <row r="379" ht="15" customHeight="1">
      <c r="A379" t="inlineStr">
        <is>
          <t>A 30521-2022</t>
        </is>
      </c>
      <c r="B379" s="1" t="n">
        <v>44762</v>
      </c>
      <c r="C379" s="1" t="n">
        <v>45821</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32108-2022</t>
        </is>
      </c>
      <c r="B380" s="1" t="n">
        <v>44779</v>
      </c>
      <c r="C380" s="1" t="n">
        <v>45821</v>
      </c>
      <c r="D380" t="inlineStr">
        <is>
          <t>NORRBOTTENS LÄN</t>
        </is>
      </c>
      <c r="E380" t="inlineStr">
        <is>
          <t>LULEÅ</t>
        </is>
      </c>
      <c r="G380" t="n">
        <v>0.9</v>
      </c>
      <c r="H380" t="n">
        <v>0</v>
      </c>
      <c r="I380" t="n">
        <v>0</v>
      </c>
      <c r="J380" t="n">
        <v>0</v>
      </c>
      <c r="K380" t="n">
        <v>0</v>
      </c>
      <c r="L380" t="n">
        <v>0</v>
      </c>
      <c r="M380" t="n">
        <v>0</v>
      </c>
      <c r="N380" t="n">
        <v>0</v>
      </c>
      <c r="O380" t="n">
        <v>0</v>
      </c>
      <c r="P380" t="n">
        <v>0</v>
      </c>
      <c r="Q380" t="n">
        <v>0</v>
      </c>
      <c r="R380" s="2" t="inlineStr"/>
    </row>
    <row r="381" ht="15" customHeight="1">
      <c r="A381" t="inlineStr">
        <is>
          <t>A 32110-2022</t>
        </is>
      </c>
      <c r="B381" s="1" t="n">
        <v>44779</v>
      </c>
      <c r="C381" s="1" t="n">
        <v>45821</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32653-2022</t>
        </is>
      </c>
      <c r="B382" s="1" t="n">
        <v>44783</v>
      </c>
      <c r="C382" s="1" t="n">
        <v>45821</v>
      </c>
      <c r="D382" t="inlineStr">
        <is>
          <t>NORRBOTTENS LÄN</t>
        </is>
      </c>
      <c r="E382" t="inlineStr">
        <is>
          <t>LULEÅ</t>
        </is>
      </c>
      <c r="G382" t="n">
        <v>1.3</v>
      </c>
      <c r="H382" t="n">
        <v>0</v>
      </c>
      <c r="I382" t="n">
        <v>0</v>
      </c>
      <c r="J382" t="n">
        <v>0</v>
      </c>
      <c r="K382" t="n">
        <v>0</v>
      </c>
      <c r="L382" t="n">
        <v>0</v>
      </c>
      <c r="M382" t="n">
        <v>0</v>
      </c>
      <c r="N382" t="n">
        <v>0</v>
      </c>
      <c r="O382" t="n">
        <v>0</v>
      </c>
      <c r="P382" t="n">
        <v>0</v>
      </c>
      <c r="Q382" t="n">
        <v>0</v>
      </c>
      <c r="R382" s="2" t="inlineStr"/>
    </row>
    <row r="383" ht="15" customHeight="1">
      <c r="A383" t="inlineStr">
        <is>
          <t>A 33594-2022</t>
        </is>
      </c>
      <c r="B383" s="1" t="n">
        <v>44789</v>
      </c>
      <c r="C383" s="1" t="n">
        <v>45821</v>
      </c>
      <c r="D383" t="inlineStr">
        <is>
          <t>NORRBOTTENS LÄN</t>
        </is>
      </c>
      <c r="E383" t="inlineStr">
        <is>
          <t>LULEÅ</t>
        </is>
      </c>
      <c r="G383" t="n">
        <v>5.1</v>
      </c>
      <c r="H383" t="n">
        <v>0</v>
      </c>
      <c r="I383" t="n">
        <v>0</v>
      </c>
      <c r="J383" t="n">
        <v>0</v>
      </c>
      <c r="K383" t="n">
        <v>0</v>
      </c>
      <c r="L383" t="n">
        <v>0</v>
      </c>
      <c r="M383" t="n">
        <v>0</v>
      </c>
      <c r="N383" t="n">
        <v>0</v>
      </c>
      <c r="O383" t="n">
        <v>0</v>
      </c>
      <c r="P383" t="n">
        <v>0</v>
      </c>
      <c r="Q383" t="n">
        <v>0</v>
      </c>
      <c r="R383" s="2" t="inlineStr"/>
    </row>
    <row r="384" ht="15" customHeight="1">
      <c r="A384" t="inlineStr">
        <is>
          <t>A 33643-2022</t>
        </is>
      </c>
      <c r="B384" s="1" t="n">
        <v>44789</v>
      </c>
      <c r="C384" s="1" t="n">
        <v>45821</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34701-2022</t>
        </is>
      </c>
      <c r="B385" s="1" t="n">
        <v>44795</v>
      </c>
      <c r="C385" s="1" t="n">
        <v>45821</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35766-2022</t>
        </is>
      </c>
      <c r="B386" s="1" t="n">
        <v>44800</v>
      </c>
      <c r="C386" s="1" t="n">
        <v>45821</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37820-2022</t>
        </is>
      </c>
      <c r="B387" s="1" t="n">
        <v>44810</v>
      </c>
      <c r="C387" s="1" t="n">
        <v>45821</v>
      </c>
      <c r="D387" t="inlineStr">
        <is>
          <t>NORRBOTTENS LÄN</t>
        </is>
      </c>
      <c r="E387" t="inlineStr">
        <is>
          <t>LULEÅ</t>
        </is>
      </c>
      <c r="G387" t="n">
        <v>3.1</v>
      </c>
      <c r="H387" t="n">
        <v>0</v>
      </c>
      <c r="I387" t="n">
        <v>0</v>
      </c>
      <c r="J387" t="n">
        <v>0</v>
      </c>
      <c r="K387" t="n">
        <v>0</v>
      </c>
      <c r="L387" t="n">
        <v>0</v>
      </c>
      <c r="M387" t="n">
        <v>0</v>
      </c>
      <c r="N387" t="n">
        <v>0</v>
      </c>
      <c r="O387" t="n">
        <v>0</v>
      </c>
      <c r="P387" t="n">
        <v>0</v>
      </c>
      <c r="Q387" t="n">
        <v>0</v>
      </c>
      <c r="R387" s="2" t="inlineStr"/>
    </row>
    <row r="388" ht="15" customHeight="1">
      <c r="A388" t="inlineStr">
        <is>
          <t>A 40871-2022</t>
        </is>
      </c>
      <c r="B388" s="1" t="n">
        <v>44820</v>
      </c>
      <c r="C388" s="1" t="n">
        <v>45821</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42753-2022</t>
        </is>
      </c>
      <c r="B389" s="1" t="n">
        <v>44832</v>
      </c>
      <c r="C389" s="1" t="n">
        <v>45821</v>
      </c>
      <c r="D389" t="inlineStr">
        <is>
          <t>NORRBOTTENS LÄN</t>
        </is>
      </c>
      <c r="E389" t="inlineStr">
        <is>
          <t>LULEÅ</t>
        </is>
      </c>
      <c r="G389" t="n">
        <v>10.8</v>
      </c>
      <c r="H389" t="n">
        <v>0</v>
      </c>
      <c r="I389" t="n">
        <v>0</v>
      </c>
      <c r="J389" t="n">
        <v>0</v>
      </c>
      <c r="K389" t="n">
        <v>0</v>
      </c>
      <c r="L389" t="n">
        <v>0</v>
      </c>
      <c r="M389" t="n">
        <v>0</v>
      </c>
      <c r="N389" t="n">
        <v>0</v>
      </c>
      <c r="O389" t="n">
        <v>0</v>
      </c>
      <c r="P389" t="n">
        <v>0</v>
      </c>
      <c r="Q389" t="n">
        <v>0</v>
      </c>
      <c r="R389" s="2" t="inlineStr"/>
    </row>
    <row r="390" ht="15" customHeight="1">
      <c r="A390" t="inlineStr">
        <is>
          <t>A 44205-2022</t>
        </is>
      </c>
      <c r="B390" s="1" t="n">
        <v>44837</v>
      </c>
      <c r="C390" s="1" t="n">
        <v>45821</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44192-2022</t>
        </is>
      </c>
      <c r="B391" s="1" t="n">
        <v>44837</v>
      </c>
      <c r="C391" s="1" t="n">
        <v>45821</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44688-2022</t>
        </is>
      </c>
      <c r="B392" s="1" t="n">
        <v>44839</v>
      </c>
      <c r="C392" s="1" t="n">
        <v>45821</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44705-2022</t>
        </is>
      </c>
      <c r="B393" s="1" t="n">
        <v>44839</v>
      </c>
      <c r="C393" s="1" t="n">
        <v>45821</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44987-2022</t>
        </is>
      </c>
      <c r="B394" s="1" t="n">
        <v>44841</v>
      </c>
      <c r="C394" s="1" t="n">
        <v>45821</v>
      </c>
      <c r="D394" t="inlineStr">
        <is>
          <t>NORRBOTTENS LÄN</t>
        </is>
      </c>
      <c r="E394" t="inlineStr">
        <is>
          <t>LULEÅ</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46473-2022</t>
        </is>
      </c>
      <c r="B395" s="1" t="n">
        <v>44848</v>
      </c>
      <c r="C395" s="1" t="n">
        <v>45821</v>
      </c>
      <c r="D395" t="inlineStr">
        <is>
          <t>NORRBOTTENS LÄN</t>
        </is>
      </c>
      <c r="E395" t="inlineStr">
        <is>
          <t>LULEÅ</t>
        </is>
      </c>
      <c r="G395" t="n">
        <v>3.6</v>
      </c>
      <c r="H395" t="n">
        <v>0</v>
      </c>
      <c r="I395" t="n">
        <v>0</v>
      </c>
      <c r="J395" t="n">
        <v>0</v>
      </c>
      <c r="K395" t="n">
        <v>0</v>
      </c>
      <c r="L395" t="n">
        <v>0</v>
      </c>
      <c r="M395" t="n">
        <v>0</v>
      </c>
      <c r="N395" t="n">
        <v>0</v>
      </c>
      <c r="O395" t="n">
        <v>0</v>
      </c>
      <c r="P395" t="n">
        <v>0</v>
      </c>
      <c r="Q395" t="n">
        <v>0</v>
      </c>
      <c r="R395" s="2" t="inlineStr"/>
    </row>
    <row r="396" ht="15" customHeight="1">
      <c r="A396" t="inlineStr">
        <is>
          <t>A 47153-2022</t>
        </is>
      </c>
      <c r="B396" s="1" t="n">
        <v>44852</v>
      </c>
      <c r="C396" s="1" t="n">
        <v>45821</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47170-2022</t>
        </is>
      </c>
      <c r="B397" s="1" t="n">
        <v>44852</v>
      </c>
      <c r="C397" s="1" t="n">
        <v>45821</v>
      </c>
      <c r="D397" t="inlineStr">
        <is>
          <t>NORRBOTTENS LÄN</t>
        </is>
      </c>
      <c r="E397" t="inlineStr">
        <is>
          <t>LULEÅ</t>
        </is>
      </c>
      <c r="G397" t="n">
        <v>7.7</v>
      </c>
      <c r="H397" t="n">
        <v>0</v>
      </c>
      <c r="I397" t="n">
        <v>0</v>
      </c>
      <c r="J397" t="n">
        <v>0</v>
      </c>
      <c r="K397" t="n">
        <v>0</v>
      </c>
      <c r="L397" t="n">
        <v>0</v>
      </c>
      <c r="M397" t="n">
        <v>0</v>
      </c>
      <c r="N397" t="n">
        <v>0</v>
      </c>
      <c r="O397" t="n">
        <v>0</v>
      </c>
      <c r="P397" t="n">
        <v>0</v>
      </c>
      <c r="Q397" t="n">
        <v>0</v>
      </c>
      <c r="R397" s="2" t="inlineStr"/>
    </row>
    <row r="398" ht="15" customHeight="1">
      <c r="A398" t="inlineStr">
        <is>
          <t>A 47246-2022</t>
        </is>
      </c>
      <c r="B398" s="1" t="n">
        <v>44852</v>
      </c>
      <c r="C398" s="1" t="n">
        <v>45821</v>
      </c>
      <c r="D398" t="inlineStr">
        <is>
          <t>NORRBOTTENS LÄN</t>
        </is>
      </c>
      <c r="E398" t="inlineStr">
        <is>
          <t>LULEÅ</t>
        </is>
      </c>
      <c r="G398" t="n">
        <v>2.9</v>
      </c>
      <c r="H398" t="n">
        <v>0</v>
      </c>
      <c r="I398" t="n">
        <v>0</v>
      </c>
      <c r="J398" t="n">
        <v>0</v>
      </c>
      <c r="K398" t="n">
        <v>0</v>
      </c>
      <c r="L398" t="n">
        <v>0</v>
      </c>
      <c r="M398" t="n">
        <v>0</v>
      </c>
      <c r="N398" t="n">
        <v>0</v>
      </c>
      <c r="O398" t="n">
        <v>0</v>
      </c>
      <c r="P398" t="n">
        <v>0</v>
      </c>
      <c r="Q398" t="n">
        <v>0</v>
      </c>
      <c r="R398" s="2" t="inlineStr"/>
    </row>
    <row r="399" ht="15" customHeight="1">
      <c r="A399" t="inlineStr">
        <is>
          <t>A 47247-2022</t>
        </is>
      </c>
      <c r="B399" s="1" t="n">
        <v>44852</v>
      </c>
      <c r="C399" s="1" t="n">
        <v>45821</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48341-2022</t>
        </is>
      </c>
      <c r="B400" s="1" t="n">
        <v>44854</v>
      </c>
      <c r="C400" s="1" t="n">
        <v>45821</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48363-2022</t>
        </is>
      </c>
      <c r="B401" s="1" t="n">
        <v>44854</v>
      </c>
      <c r="C401" s="1" t="n">
        <v>45821</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48347-2022</t>
        </is>
      </c>
      <c r="B402" s="1" t="n">
        <v>44854</v>
      </c>
      <c r="C402" s="1" t="n">
        <v>45821</v>
      </c>
      <c r="D402" t="inlineStr">
        <is>
          <t>NORRBOTTENS LÄN</t>
        </is>
      </c>
      <c r="E402" t="inlineStr">
        <is>
          <t>LULEÅ</t>
        </is>
      </c>
      <c r="G402" t="n">
        <v>3.3</v>
      </c>
      <c r="H402" t="n">
        <v>0</v>
      </c>
      <c r="I402" t="n">
        <v>0</v>
      </c>
      <c r="J402" t="n">
        <v>0</v>
      </c>
      <c r="K402" t="n">
        <v>0</v>
      </c>
      <c r="L402" t="n">
        <v>0</v>
      </c>
      <c r="M402" t="n">
        <v>0</v>
      </c>
      <c r="N402" t="n">
        <v>0</v>
      </c>
      <c r="O402" t="n">
        <v>0</v>
      </c>
      <c r="P402" t="n">
        <v>0</v>
      </c>
      <c r="Q402" t="n">
        <v>0</v>
      </c>
      <c r="R402" s="2" t="inlineStr"/>
    </row>
    <row r="403" ht="15" customHeight="1">
      <c r="A403" t="inlineStr">
        <is>
          <t>A 48367-2022</t>
        </is>
      </c>
      <c r="B403" s="1" t="n">
        <v>44854</v>
      </c>
      <c r="C403" s="1" t="n">
        <v>45821</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48335-2022</t>
        </is>
      </c>
      <c r="B404" s="1" t="n">
        <v>44854</v>
      </c>
      <c r="C404" s="1" t="n">
        <v>45821</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48323-2022</t>
        </is>
      </c>
      <c r="B405" s="1" t="n">
        <v>44854</v>
      </c>
      <c r="C405" s="1" t="n">
        <v>45821</v>
      </c>
      <c r="D405" t="inlineStr">
        <is>
          <t>NORRBOTTENS LÄN</t>
        </is>
      </c>
      <c r="E405" t="inlineStr">
        <is>
          <t>LULEÅ</t>
        </is>
      </c>
      <c r="G405" t="n">
        <v>3.6</v>
      </c>
      <c r="H405" t="n">
        <v>0</v>
      </c>
      <c r="I405" t="n">
        <v>0</v>
      </c>
      <c r="J405" t="n">
        <v>0</v>
      </c>
      <c r="K405" t="n">
        <v>0</v>
      </c>
      <c r="L405" t="n">
        <v>0</v>
      </c>
      <c r="M405" t="n">
        <v>0</v>
      </c>
      <c r="N405" t="n">
        <v>0</v>
      </c>
      <c r="O405" t="n">
        <v>0</v>
      </c>
      <c r="P405" t="n">
        <v>0</v>
      </c>
      <c r="Q405" t="n">
        <v>0</v>
      </c>
      <c r="R405" s="2" t="inlineStr"/>
    </row>
    <row r="406" ht="15" customHeight="1">
      <c r="A406" t="inlineStr">
        <is>
          <t>A 48357-2022</t>
        </is>
      </c>
      <c r="B406" s="1" t="n">
        <v>44854</v>
      </c>
      <c r="C406" s="1" t="n">
        <v>45821</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48379-2022</t>
        </is>
      </c>
      <c r="B407" s="1" t="n">
        <v>44854</v>
      </c>
      <c r="C407" s="1" t="n">
        <v>45821</v>
      </c>
      <c r="D407" t="inlineStr">
        <is>
          <t>NORRBOTTENS LÄN</t>
        </is>
      </c>
      <c r="E407" t="inlineStr">
        <is>
          <t>LULEÅ</t>
        </is>
      </c>
      <c r="G407" t="n">
        <v>2.1</v>
      </c>
      <c r="H407" t="n">
        <v>0</v>
      </c>
      <c r="I407" t="n">
        <v>0</v>
      </c>
      <c r="J407" t="n">
        <v>0</v>
      </c>
      <c r="K407" t="n">
        <v>0</v>
      </c>
      <c r="L407" t="n">
        <v>0</v>
      </c>
      <c r="M407" t="n">
        <v>0</v>
      </c>
      <c r="N407" t="n">
        <v>0</v>
      </c>
      <c r="O407" t="n">
        <v>0</v>
      </c>
      <c r="P407" t="n">
        <v>0</v>
      </c>
      <c r="Q407" t="n">
        <v>0</v>
      </c>
      <c r="R407" s="2" t="inlineStr"/>
    </row>
    <row r="408" ht="15" customHeight="1">
      <c r="A408" t="inlineStr">
        <is>
          <t>A 49721-2022</t>
        </is>
      </c>
      <c r="B408" s="1" t="n">
        <v>44859</v>
      </c>
      <c r="C408" s="1" t="n">
        <v>45821</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49742-2022</t>
        </is>
      </c>
      <c r="B409" s="1" t="n">
        <v>44859</v>
      </c>
      <c r="C409" s="1" t="n">
        <v>45821</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49712-2022</t>
        </is>
      </c>
      <c r="B410" s="1" t="n">
        <v>44859</v>
      </c>
      <c r="C410" s="1" t="n">
        <v>45821</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49736-2022</t>
        </is>
      </c>
      <c r="B411" s="1" t="n">
        <v>44859</v>
      </c>
      <c r="C411" s="1" t="n">
        <v>45821</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49727-2022</t>
        </is>
      </c>
      <c r="B412" s="1" t="n">
        <v>44859</v>
      </c>
      <c r="C412" s="1" t="n">
        <v>45821</v>
      </c>
      <c r="D412" t="inlineStr">
        <is>
          <t>NORRBOTTENS LÄN</t>
        </is>
      </c>
      <c r="E412" t="inlineStr">
        <is>
          <t>LULEÅ</t>
        </is>
      </c>
      <c r="G412" t="n">
        <v>3.5</v>
      </c>
      <c r="H412" t="n">
        <v>0</v>
      </c>
      <c r="I412" t="n">
        <v>0</v>
      </c>
      <c r="J412" t="n">
        <v>0</v>
      </c>
      <c r="K412" t="n">
        <v>0</v>
      </c>
      <c r="L412" t="n">
        <v>0</v>
      </c>
      <c r="M412" t="n">
        <v>0</v>
      </c>
      <c r="N412" t="n">
        <v>0</v>
      </c>
      <c r="O412" t="n">
        <v>0</v>
      </c>
      <c r="P412" t="n">
        <v>0</v>
      </c>
      <c r="Q412" t="n">
        <v>0</v>
      </c>
      <c r="R412" s="2" t="inlineStr"/>
    </row>
    <row r="413" ht="15" customHeight="1">
      <c r="A413" t="inlineStr">
        <is>
          <t>A 49746-2022</t>
        </is>
      </c>
      <c r="B413" s="1" t="n">
        <v>44859</v>
      </c>
      <c r="C413" s="1" t="n">
        <v>45821</v>
      </c>
      <c r="D413" t="inlineStr">
        <is>
          <t>NORRBOTTENS LÄN</t>
        </is>
      </c>
      <c r="E413" t="inlineStr">
        <is>
          <t>LULEÅ</t>
        </is>
      </c>
      <c r="G413" t="n">
        <v>1.6</v>
      </c>
      <c r="H413" t="n">
        <v>0</v>
      </c>
      <c r="I413" t="n">
        <v>0</v>
      </c>
      <c r="J413" t="n">
        <v>0</v>
      </c>
      <c r="K413" t="n">
        <v>0</v>
      </c>
      <c r="L413" t="n">
        <v>0</v>
      </c>
      <c r="M413" t="n">
        <v>0</v>
      </c>
      <c r="N413" t="n">
        <v>0</v>
      </c>
      <c r="O413" t="n">
        <v>0</v>
      </c>
      <c r="P413" t="n">
        <v>0</v>
      </c>
      <c r="Q413" t="n">
        <v>0</v>
      </c>
      <c r="R413" s="2" t="inlineStr"/>
    </row>
    <row r="414" ht="15" customHeight="1">
      <c r="A414" t="inlineStr">
        <is>
          <t>A 49733-2022</t>
        </is>
      </c>
      <c r="B414" s="1" t="n">
        <v>44859</v>
      </c>
      <c r="C414" s="1" t="n">
        <v>45821</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49509-2022</t>
        </is>
      </c>
      <c r="B415" s="1" t="n">
        <v>44862</v>
      </c>
      <c r="C415" s="1" t="n">
        <v>45821</v>
      </c>
      <c r="D415" t="inlineStr">
        <is>
          <t>NORRBOTTENS LÄN</t>
        </is>
      </c>
      <c r="E415" t="inlineStr">
        <is>
          <t>LULEÅ</t>
        </is>
      </c>
      <c r="G415" t="n">
        <v>5</v>
      </c>
      <c r="H415" t="n">
        <v>0</v>
      </c>
      <c r="I415" t="n">
        <v>0</v>
      </c>
      <c r="J415" t="n">
        <v>0</v>
      </c>
      <c r="K415" t="n">
        <v>0</v>
      </c>
      <c r="L415" t="n">
        <v>0</v>
      </c>
      <c r="M415" t="n">
        <v>0</v>
      </c>
      <c r="N415" t="n">
        <v>0</v>
      </c>
      <c r="O415" t="n">
        <v>0</v>
      </c>
      <c r="P415" t="n">
        <v>0</v>
      </c>
      <c r="Q415" t="n">
        <v>0</v>
      </c>
      <c r="R415" s="2" t="inlineStr"/>
    </row>
    <row r="416" ht="15" customHeight="1">
      <c r="A416" t="inlineStr">
        <is>
          <t>A 49401-2022</t>
        </is>
      </c>
      <c r="B416" s="1" t="n">
        <v>44861</v>
      </c>
      <c r="C416" s="1" t="n">
        <v>45821</v>
      </c>
      <c r="D416" t="inlineStr">
        <is>
          <t>NORRBOTTENS LÄN</t>
        </is>
      </c>
      <c r="E416" t="inlineStr">
        <is>
          <t>LULEÅ</t>
        </is>
      </c>
      <c r="G416" t="n">
        <v>8.4</v>
      </c>
      <c r="H416" t="n">
        <v>0</v>
      </c>
      <c r="I416" t="n">
        <v>0</v>
      </c>
      <c r="J416" t="n">
        <v>0</v>
      </c>
      <c r="K416" t="n">
        <v>0</v>
      </c>
      <c r="L416" t="n">
        <v>0</v>
      </c>
      <c r="M416" t="n">
        <v>0</v>
      </c>
      <c r="N416" t="n">
        <v>0</v>
      </c>
      <c r="O416" t="n">
        <v>0</v>
      </c>
      <c r="P416" t="n">
        <v>0</v>
      </c>
      <c r="Q416" t="n">
        <v>0</v>
      </c>
      <c r="R416" s="2" t="inlineStr"/>
    </row>
    <row r="417" ht="15" customHeight="1">
      <c r="A417" t="inlineStr">
        <is>
          <t>A 50330-2022</t>
        </is>
      </c>
      <c r="B417" s="1" t="n">
        <v>44865</v>
      </c>
      <c r="C417" s="1" t="n">
        <v>45821</v>
      </c>
      <c r="D417" t="inlineStr">
        <is>
          <t>NORRBOTTENS LÄN</t>
        </is>
      </c>
      <c r="E417" t="inlineStr">
        <is>
          <t>LULEÅ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51668-2022</t>
        </is>
      </c>
      <c r="B418" s="1" t="n">
        <v>44867</v>
      </c>
      <c r="C418" s="1" t="n">
        <v>45821</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52164-2022</t>
        </is>
      </c>
      <c r="B419" s="1" t="n">
        <v>44868</v>
      </c>
      <c r="C419" s="1" t="n">
        <v>45821</v>
      </c>
      <c r="D419" t="inlineStr">
        <is>
          <t>NORRBOTTENS LÄN</t>
        </is>
      </c>
      <c r="E419" t="inlineStr">
        <is>
          <t>LULEÅ</t>
        </is>
      </c>
      <c r="G419" t="n">
        <v>3.6</v>
      </c>
      <c r="H419" t="n">
        <v>0</v>
      </c>
      <c r="I419" t="n">
        <v>0</v>
      </c>
      <c r="J419" t="n">
        <v>0</v>
      </c>
      <c r="K419" t="n">
        <v>0</v>
      </c>
      <c r="L419" t="n">
        <v>0</v>
      </c>
      <c r="M419" t="n">
        <v>0</v>
      </c>
      <c r="N419" t="n">
        <v>0</v>
      </c>
      <c r="O419" t="n">
        <v>0</v>
      </c>
      <c r="P419" t="n">
        <v>0</v>
      </c>
      <c r="Q419" t="n">
        <v>0</v>
      </c>
      <c r="R419" s="2" t="inlineStr"/>
    </row>
    <row r="420" ht="15" customHeight="1">
      <c r="A420" t="inlineStr">
        <is>
          <t>A 52191-2022</t>
        </is>
      </c>
      <c r="B420" s="1" t="n">
        <v>44868</v>
      </c>
      <c r="C420" s="1" t="n">
        <v>45821</v>
      </c>
      <c r="D420" t="inlineStr">
        <is>
          <t>NORRBOTTENS LÄN</t>
        </is>
      </c>
      <c r="E420" t="inlineStr">
        <is>
          <t>LULEÅ</t>
        </is>
      </c>
      <c r="G420" t="n">
        <v>3.2</v>
      </c>
      <c r="H420" t="n">
        <v>0</v>
      </c>
      <c r="I420" t="n">
        <v>0</v>
      </c>
      <c r="J420" t="n">
        <v>0</v>
      </c>
      <c r="K420" t="n">
        <v>0</v>
      </c>
      <c r="L420" t="n">
        <v>0</v>
      </c>
      <c r="M420" t="n">
        <v>0</v>
      </c>
      <c r="N420" t="n">
        <v>0</v>
      </c>
      <c r="O420" t="n">
        <v>0</v>
      </c>
      <c r="P420" t="n">
        <v>0</v>
      </c>
      <c r="Q420" t="n">
        <v>0</v>
      </c>
      <c r="R420" s="2" t="inlineStr"/>
    </row>
    <row r="421" ht="15" customHeight="1">
      <c r="A421" t="inlineStr">
        <is>
          <t>A 52190-2022</t>
        </is>
      </c>
      <c r="B421" s="1" t="n">
        <v>44868</v>
      </c>
      <c r="C421" s="1" t="n">
        <v>45821</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52168-2022</t>
        </is>
      </c>
      <c r="B422" s="1" t="n">
        <v>44868</v>
      </c>
      <c r="C422" s="1" t="n">
        <v>45821</v>
      </c>
      <c r="D422" t="inlineStr">
        <is>
          <t>NORRBOTTENS LÄN</t>
        </is>
      </c>
      <c r="E422" t="inlineStr">
        <is>
          <t>LULEÅ</t>
        </is>
      </c>
      <c r="G422" t="n">
        <v>4.6</v>
      </c>
      <c r="H422" t="n">
        <v>0</v>
      </c>
      <c r="I422" t="n">
        <v>0</v>
      </c>
      <c r="J422" t="n">
        <v>0</v>
      </c>
      <c r="K422" t="n">
        <v>0</v>
      </c>
      <c r="L422" t="n">
        <v>0</v>
      </c>
      <c r="M422" t="n">
        <v>0</v>
      </c>
      <c r="N422" t="n">
        <v>0</v>
      </c>
      <c r="O422" t="n">
        <v>0</v>
      </c>
      <c r="P422" t="n">
        <v>0</v>
      </c>
      <c r="Q422" t="n">
        <v>0</v>
      </c>
      <c r="R422" s="2" t="inlineStr"/>
    </row>
    <row r="423" ht="15" customHeight="1">
      <c r="A423" t="inlineStr">
        <is>
          <t>A 52185-2022</t>
        </is>
      </c>
      <c r="B423" s="1" t="n">
        <v>44868</v>
      </c>
      <c r="C423" s="1" t="n">
        <v>45821</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52205-2022</t>
        </is>
      </c>
      <c r="B424" s="1" t="n">
        <v>44868</v>
      </c>
      <c r="C424" s="1" t="n">
        <v>45821</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52188-2022</t>
        </is>
      </c>
      <c r="B425" s="1" t="n">
        <v>44868</v>
      </c>
      <c r="C425" s="1" t="n">
        <v>45821</v>
      </c>
      <c r="D425" t="inlineStr">
        <is>
          <t>NORRBOTTENS LÄN</t>
        </is>
      </c>
      <c r="E425" t="inlineStr">
        <is>
          <t>LULEÅ</t>
        </is>
      </c>
      <c r="G425" t="n">
        <v>0.3</v>
      </c>
      <c r="H425" t="n">
        <v>0</v>
      </c>
      <c r="I425" t="n">
        <v>0</v>
      </c>
      <c r="J425" t="n">
        <v>0</v>
      </c>
      <c r="K425" t="n">
        <v>0</v>
      </c>
      <c r="L425" t="n">
        <v>0</v>
      </c>
      <c r="M425" t="n">
        <v>0</v>
      </c>
      <c r="N425" t="n">
        <v>0</v>
      </c>
      <c r="O425" t="n">
        <v>0</v>
      </c>
      <c r="P425" t="n">
        <v>0</v>
      </c>
      <c r="Q425" t="n">
        <v>0</v>
      </c>
      <c r="R425" s="2" t="inlineStr"/>
    </row>
    <row r="426" ht="15" customHeight="1">
      <c r="A426" t="inlineStr">
        <is>
          <t>A 52216-2022</t>
        </is>
      </c>
      <c r="B426" s="1" t="n">
        <v>44869</v>
      </c>
      <c r="C426" s="1" t="n">
        <v>45821</v>
      </c>
      <c r="D426" t="inlineStr">
        <is>
          <t>NORRBOTTENS LÄN</t>
        </is>
      </c>
      <c r="E426" t="inlineStr">
        <is>
          <t>LULEÅ</t>
        </is>
      </c>
      <c r="G426" t="n">
        <v>6</v>
      </c>
      <c r="H426" t="n">
        <v>0</v>
      </c>
      <c r="I426" t="n">
        <v>0</v>
      </c>
      <c r="J426" t="n">
        <v>0</v>
      </c>
      <c r="K426" t="n">
        <v>0</v>
      </c>
      <c r="L426" t="n">
        <v>0</v>
      </c>
      <c r="M426" t="n">
        <v>0</v>
      </c>
      <c r="N426" t="n">
        <v>0</v>
      </c>
      <c r="O426" t="n">
        <v>0</v>
      </c>
      <c r="P426" t="n">
        <v>0</v>
      </c>
      <c r="Q426" t="n">
        <v>0</v>
      </c>
      <c r="R426" s="2" t="inlineStr"/>
    </row>
    <row r="427" ht="15" customHeight="1">
      <c r="A427" t="inlineStr">
        <is>
          <t>A 52854-2022</t>
        </is>
      </c>
      <c r="B427" s="1" t="n">
        <v>44872</v>
      </c>
      <c r="C427" s="1" t="n">
        <v>45821</v>
      </c>
      <c r="D427" t="inlineStr">
        <is>
          <t>NORRBOTTENS LÄN</t>
        </is>
      </c>
      <c r="E427" t="inlineStr">
        <is>
          <t>LULEÅ</t>
        </is>
      </c>
      <c r="G427" t="n">
        <v>1.6</v>
      </c>
      <c r="H427" t="n">
        <v>0</v>
      </c>
      <c r="I427" t="n">
        <v>0</v>
      </c>
      <c r="J427" t="n">
        <v>0</v>
      </c>
      <c r="K427" t="n">
        <v>0</v>
      </c>
      <c r="L427" t="n">
        <v>0</v>
      </c>
      <c r="M427" t="n">
        <v>0</v>
      </c>
      <c r="N427" t="n">
        <v>0</v>
      </c>
      <c r="O427" t="n">
        <v>0</v>
      </c>
      <c r="P427" t="n">
        <v>0</v>
      </c>
      <c r="Q427" t="n">
        <v>0</v>
      </c>
      <c r="R427" s="2" t="inlineStr"/>
    </row>
    <row r="428" ht="15" customHeight="1">
      <c r="A428" t="inlineStr">
        <is>
          <t>A 51964-2022</t>
        </is>
      </c>
      <c r="B428" s="1" t="n">
        <v>44872</v>
      </c>
      <c r="C428" s="1" t="n">
        <v>45821</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52594-2022</t>
        </is>
      </c>
      <c r="B429" s="1" t="n">
        <v>44874</v>
      </c>
      <c r="C429" s="1" t="n">
        <v>45821</v>
      </c>
      <c r="D429" t="inlineStr">
        <is>
          <t>NORRBOTTENS LÄN</t>
        </is>
      </c>
      <c r="E429" t="inlineStr">
        <is>
          <t>LULEÅ</t>
        </is>
      </c>
      <c r="F429" t="inlineStr">
        <is>
          <t>Kyrkan</t>
        </is>
      </c>
      <c r="G429" t="n">
        <v>6.2</v>
      </c>
      <c r="H429" t="n">
        <v>0</v>
      </c>
      <c r="I429" t="n">
        <v>0</v>
      </c>
      <c r="J429" t="n">
        <v>0</v>
      </c>
      <c r="K429" t="n">
        <v>0</v>
      </c>
      <c r="L429" t="n">
        <v>0</v>
      </c>
      <c r="M429" t="n">
        <v>0</v>
      </c>
      <c r="N429" t="n">
        <v>0</v>
      </c>
      <c r="O429" t="n">
        <v>0</v>
      </c>
      <c r="P429" t="n">
        <v>0</v>
      </c>
      <c r="Q429" t="n">
        <v>0</v>
      </c>
      <c r="R429" s="2" t="inlineStr"/>
    </row>
    <row r="430" ht="15" customHeight="1">
      <c r="A430" t="inlineStr">
        <is>
          <t>A 53444-2022</t>
        </is>
      </c>
      <c r="B430" s="1" t="n">
        <v>44874</v>
      </c>
      <c r="C430" s="1" t="n">
        <v>45821</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53185-2022</t>
        </is>
      </c>
      <c r="B431" s="1" t="n">
        <v>44876</v>
      </c>
      <c r="C431" s="1" t="n">
        <v>45821</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54580-2022</t>
        </is>
      </c>
      <c r="B432" s="1" t="n">
        <v>44882</v>
      </c>
      <c r="C432" s="1" t="n">
        <v>45821</v>
      </c>
      <c r="D432" t="inlineStr">
        <is>
          <t>NORRBOTTENS LÄN</t>
        </is>
      </c>
      <c r="E432" t="inlineStr">
        <is>
          <t>LULEÅ</t>
        </is>
      </c>
      <c r="F432" t="inlineStr">
        <is>
          <t>SCA</t>
        </is>
      </c>
      <c r="G432" t="n">
        <v>12.1</v>
      </c>
      <c r="H432" t="n">
        <v>0</v>
      </c>
      <c r="I432" t="n">
        <v>0</v>
      </c>
      <c r="J432" t="n">
        <v>0</v>
      </c>
      <c r="K432" t="n">
        <v>0</v>
      </c>
      <c r="L432" t="n">
        <v>0</v>
      </c>
      <c r="M432" t="n">
        <v>0</v>
      </c>
      <c r="N432" t="n">
        <v>0</v>
      </c>
      <c r="O432" t="n">
        <v>0</v>
      </c>
      <c r="P432" t="n">
        <v>0</v>
      </c>
      <c r="Q432" t="n">
        <v>0</v>
      </c>
      <c r="R432" s="2" t="inlineStr"/>
    </row>
    <row r="433" ht="15" customHeight="1">
      <c r="A433" t="inlineStr">
        <is>
          <t>A 54824-2022</t>
        </is>
      </c>
      <c r="B433" s="1" t="n">
        <v>44883</v>
      </c>
      <c r="C433" s="1" t="n">
        <v>45821</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55770-2022</t>
        </is>
      </c>
      <c r="B434" s="1" t="n">
        <v>44886</v>
      </c>
      <c r="C434" s="1" t="n">
        <v>45821</v>
      </c>
      <c r="D434" t="inlineStr">
        <is>
          <t>NORRBOTTENS LÄN</t>
        </is>
      </c>
      <c r="E434" t="inlineStr">
        <is>
          <t>LULEÅ</t>
        </is>
      </c>
      <c r="G434" t="n">
        <v>1.6</v>
      </c>
      <c r="H434" t="n">
        <v>0</v>
      </c>
      <c r="I434" t="n">
        <v>0</v>
      </c>
      <c r="J434" t="n">
        <v>0</v>
      </c>
      <c r="K434" t="n">
        <v>0</v>
      </c>
      <c r="L434" t="n">
        <v>0</v>
      </c>
      <c r="M434" t="n">
        <v>0</v>
      </c>
      <c r="N434" t="n">
        <v>0</v>
      </c>
      <c r="O434" t="n">
        <v>0</v>
      </c>
      <c r="P434" t="n">
        <v>0</v>
      </c>
      <c r="Q434" t="n">
        <v>0</v>
      </c>
      <c r="R434" s="2" t="inlineStr"/>
    </row>
    <row r="435" ht="15" customHeight="1">
      <c r="A435" t="inlineStr">
        <is>
          <t>A 55195-2022</t>
        </is>
      </c>
      <c r="B435" s="1" t="n">
        <v>44886</v>
      </c>
      <c r="C435" s="1" t="n">
        <v>45821</v>
      </c>
      <c r="D435" t="inlineStr">
        <is>
          <t>NORRBOTTENS LÄN</t>
        </is>
      </c>
      <c r="E435" t="inlineStr">
        <is>
          <t>LULEÅ</t>
        </is>
      </c>
      <c r="G435" t="n">
        <v>0.4</v>
      </c>
      <c r="H435" t="n">
        <v>0</v>
      </c>
      <c r="I435" t="n">
        <v>0</v>
      </c>
      <c r="J435" t="n">
        <v>0</v>
      </c>
      <c r="K435" t="n">
        <v>0</v>
      </c>
      <c r="L435" t="n">
        <v>0</v>
      </c>
      <c r="M435" t="n">
        <v>0</v>
      </c>
      <c r="N435" t="n">
        <v>0</v>
      </c>
      <c r="O435" t="n">
        <v>0</v>
      </c>
      <c r="P435" t="n">
        <v>0</v>
      </c>
      <c r="Q435" t="n">
        <v>0</v>
      </c>
      <c r="R435" s="2" t="inlineStr"/>
    </row>
    <row r="436" ht="15" customHeight="1">
      <c r="A436" t="inlineStr">
        <is>
          <t>A 57619-2022</t>
        </is>
      </c>
      <c r="B436" s="1" t="n">
        <v>44890</v>
      </c>
      <c r="C436" s="1" t="n">
        <v>45821</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57764-2022</t>
        </is>
      </c>
      <c r="B437" s="1" t="n">
        <v>44890</v>
      </c>
      <c r="C437" s="1" t="n">
        <v>45821</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57264-2022</t>
        </is>
      </c>
      <c r="B438" s="1" t="n">
        <v>44895</v>
      </c>
      <c r="C438" s="1" t="n">
        <v>45821</v>
      </c>
      <c r="D438" t="inlineStr">
        <is>
          <t>NORRBOTTENS LÄN</t>
        </is>
      </c>
      <c r="E438" t="inlineStr">
        <is>
          <t>LULEÅ</t>
        </is>
      </c>
      <c r="G438" t="n">
        <v>8</v>
      </c>
      <c r="H438" t="n">
        <v>0</v>
      </c>
      <c r="I438" t="n">
        <v>0</v>
      </c>
      <c r="J438" t="n">
        <v>0</v>
      </c>
      <c r="K438" t="n">
        <v>0</v>
      </c>
      <c r="L438" t="n">
        <v>0</v>
      </c>
      <c r="M438" t="n">
        <v>0</v>
      </c>
      <c r="N438" t="n">
        <v>0</v>
      </c>
      <c r="O438" t="n">
        <v>0</v>
      </c>
      <c r="P438" t="n">
        <v>0</v>
      </c>
      <c r="Q438" t="n">
        <v>0</v>
      </c>
      <c r="R438" s="2" t="inlineStr"/>
    </row>
    <row r="439" ht="15" customHeight="1">
      <c r="A439" t="inlineStr">
        <is>
          <t>A 57816-2022</t>
        </is>
      </c>
      <c r="B439" s="1" t="n">
        <v>44897</v>
      </c>
      <c r="C439" s="1" t="n">
        <v>45821</v>
      </c>
      <c r="D439" t="inlineStr">
        <is>
          <t>NORRBOTTENS LÄN</t>
        </is>
      </c>
      <c r="E439" t="inlineStr">
        <is>
          <t>LULEÅ</t>
        </is>
      </c>
      <c r="G439" t="n">
        <v>3.4</v>
      </c>
      <c r="H439" t="n">
        <v>0</v>
      </c>
      <c r="I439" t="n">
        <v>0</v>
      </c>
      <c r="J439" t="n">
        <v>0</v>
      </c>
      <c r="K439" t="n">
        <v>0</v>
      </c>
      <c r="L439" t="n">
        <v>0</v>
      </c>
      <c r="M439" t="n">
        <v>0</v>
      </c>
      <c r="N439" t="n">
        <v>0</v>
      </c>
      <c r="O439" t="n">
        <v>0</v>
      </c>
      <c r="P439" t="n">
        <v>0</v>
      </c>
      <c r="Q439" t="n">
        <v>0</v>
      </c>
      <c r="R439" s="2" t="inlineStr"/>
    </row>
    <row r="440" ht="15" customHeight="1">
      <c r="A440" t="inlineStr">
        <is>
          <t>A 57822-2022</t>
        </is>
      </c>
      <c r="B440" s="1" t="n">
        <v>44897</v>
      </c>
      <c r="C440" s="1" t="n">
        <v>45821</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57815-2022</t>
        </is>
      </c>
      <c r="B441" s="1" t="n">
        <v>44897</v>
      </c>
      <c r="C441" s="1" t="n">
        <v>45821</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57821-2022</t>
        </is>
      </c>
      <c r="B442" s="1" t="n">
        <v>44897</v>
      </c>
      <c r="C442" s="1" t="n">
        <v>45821</v>
      </c>
      <c r="D442" t="inlineStr">
        <is>
          <t>NORRBOTTENS LÄN</t>
        </is>
      </c>
      <c r="E442" t="inlineStr">
        <is>
          <t>LULEÅ</t>
        </is>
      </c>
      <c r="G442" t="n">
        <v>8.6</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45821</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57818-2022</t>
        </is>
      </c>
      <c r="B444" s="1" t="n">
        <v>44897</v>
      </c>
      <c r="C444" s="1" t="n">
        <v>45821</v>
      </c>
      <c r="D444" t="inlineStr">
        <is>
          <t>NORRBOTTENS LÄN</t>
        </is>
      </c>
      <c r="E444" t="inlineStr">
        <is>
          <t>LULEÅ</t>
        </is>
      </c>
      <c r="G444" t="n">
        <v>4.5</v>
      </c>
      <c r="H444" t="n">
        <v>0</v>
      </c>
      <c r="I444" t="n">
        <v>0</v>
      </c>
      <c r="J444" t="n">
        <v>0</v>
      </c>
      <c r="K444" t="n">
        <v>0</v>
      </c>
      <c r="L444" t="n">
        <v>0</v>
      </c>
      <c r="M444" t="n">
        <v>0</v>
      </c>
      <c r="N444" t="n">
        <v>0</v>
      </c>
      <c r="O444" t="n">
        <v>0</v>
      </c>
      <c r="P444" t="n">
        <v>0</v>
      </c>
      <c r="Q444" t="n">
        <v>0</v>
      </c>
      <c r="R444" s="2" t="inlineStr"/>
    </row>
    <row r="445" ht="15" customHeight="1">
      <c r="A445" t="inlineStr">
        <is>
          <t>A 57823-2022</t>
        </is>
      </c>
      <c r="B445" s="1" t="n">
        <v>44897</v>
      </c>
      <c r="C445" s="1" t="n">
        <v>45821</v>
      </c>
      <c r="D445" t="inlineStr">
        <is>
          <t>NORRBOTTENS LÄN</t>
        </is>
      </c>
      <c r="E445" t="inlineStr">
        <is>
          <t>LULEÅ</t>
        </is>
      </c>
      <c r="G445" t="n">
        <v>6.7</v>
      </c>
      <c r="H445" t="n">
        <v>0</v>
      </c>
      <c r="I445" t="n">
        <v>0</v>
      </c>
      <c r="J445" t="n">
        <v>0</v>
      </c>
      <c r="K445" t="n">
        <v>0</v>
      </c>
      <c r="L445" t="n">
        <v>0</v>
      </c>
      <c r="M445" t="n">
        <v>0</v>
      </c>
      <c r="N445" t="n">
        <v>0</v>
      </c>
      <c r="O445" t="n">
        <v>0</v>
      </c>
      <c r="P445" t="n">
        <v>0</v>
      </c>
      <c r="Q445" t="n">
        <v>0</v>
      </c>
      <c r="R445" s="2" t="inlineStr"/>
    </row>
    <row r="446" ht="15" customHeight="1">
      <c r="A446" t="inlineStr">
        <is>
          <t>A 57826-2022</t>
        </is>
      </c>
      <c r="B446" s="1" t="n">
        <v>44897</v>
      </c>
      <c r="C446" s="1" t="n">
        <v>45821</v>
      </c>
      <c r="D446" t="inlineStr">
        <is>
          <t>NORRBOTTENS LÄN</t>
        </is>
      </c>
      <c r="E446" t="inlineStr">
        <is>
          <t>LULEÅ</t>
        </is>
      </c>
      <c r="G446" t="n">
        <v>1.1</v>
      </c>
      <c r="H446" t="n">
        <v>0</v>
      </c>
      <c r="I446" t="n">
        <v>0</v>
      </c>
      <c r="J446" t="n">
        <v>0</v>
      </c>
      <c r="K446" t="n">
        <v>0</v>
      </c>
      <c r="L446" t="n">
        <v>0</v>
      </c>
      <c r="M446" t="n">
        <v>0</v>
      </c>
      <c r="N446" t="n">
        <v>0</v>
      </c>
      <c r="O446" t="n">
        <v>0</v>
      </c>
      <c r="P446" t="n">
        <v>0</v>
      </c>
      <c r="Q446" t="n">
        <v>0</v>
      </c>
      <c r="R446" s="2" t="inlineStr"/>
    </row>
    <row r="447" ht="15" customHeight="1">
      <c r="A447" t="inlineStr">
        <is>
          <t>A 57824-2022</t>
        </is>
      </c>
      <c r="B447" s="1" t="n">
        <v>44897</v>
      </c>
      <c r="C447" s="1" t="n">
        <v>45821</v>
      </c>
      <c r="D447" t="inlineStr">
        <is>
          <t>NORRBOTTENS LÄN</t>
        </is>
      </c>
      <c r="E447" t="inlineStr">
        <is>
          <t>LULEÅ</t>
        </is>
      </c>
      <c r="G447" t="n">
        <v>3.3</v>
      </c>
      <c r="H447" t="n">
        <v>0</v>
      </c>
      <c r="I447" t="n">
        <v>0</v>
      </c>
      <c r="J447" t="n">
        <v>0</v>
      </c>
      <c r="K447" t="n">
        <v>0</v>
      </c>
      <c r="L447" t="n">
        <v>0</v>
      </c>
      <c r="M447" t="n">
        <v>0</v>
      </c>
      <c r="N447" t="n">
        <v>0</v>
      </c>
      <c r="O447" t="n">
        <v>0</v>
      </c>
      <c r="P447" t="n">
        <v>0</v>
      </c>
      <c r="Q447" t="n">
        <v>0</v>
      </c>
      <c r="R447" s="2" t="inlineStr"/>
    </row>
    <row r="448" ht="15" customHeight="1">
      <c r="A448" t="inlineStr">
        <is>
          <t>A 58716-2022</t>
        </is>
      </c>
      <c r="B448" s="1" t="n">
        <v>44902</v>
      </c>
      <c r="C448" s="1" t="n">
        <v>45821</v>
      </c>
      <c r="D448" t="inlineStr">
        <is>
          <t>NORRBOTTENS LÄN</t>
        </is>
      </c>
      <c r="E448" t="inlineStr">
        <is>
          <t>LULEÅ</t>
        </is>
      </c>
      <c r="G448" t="n">
        <v>0.6</v>
      </c>
      <c r="H448" t="n">
        <v>0</v>
      </c>
      <c r="I448" t="n">
        <v>0</v>
      </c>
      <c r="J448" t="n">
        <v>0</v>
      </c>
      <c r="K448" t="n">
        <v>0</v>
      </c>
      <c r="L448" t="n">
        <v>0</v>
      </c>
      <c r="M448" t="n">
        <v>0</v>
      </c>
      <c r="N448" t="n">
        <v>0</v>
      </c>
      <c r="O448" t="n">
        <v>0</v>
      </c>
      <c r="P448" t="n">
        <v>0</v>
      </c>
      <c r="Q448" t="n">
        <v>0</v>
      </c>
      <c r="R448" s="2" t="inlineStr"/>
    </row>
    <row r="449" ht="15" customHeight="1">
      <c r="A449" t="inlineStr">
        <is>
          <t>A 59397-2022</t>
        </is>
      </c>
      <c r="B449" s="1" t="n">
        <v>44906</v>
      </c>
      <c r="C449" s="1" t="n">
        <v>45821</v>
      </c>
      <c r="D449" t="inlineStr">
        <is>
          <t>NORRBOTTENS LÄN</t>
        </is>
      </c>
      <c r="E449" t="inlineStr">
        <is>
          <t>LULEÅ</t>
        </is>
      </c>
      <c r="G449" t="n">
        <v>4.3</v>
      </c>
      <c r="H449" t="n">
        <v>0</v>
      </c>
      <c r="I449" t="n">
        <v>0</v>
      </c>
      <c r="J449" t="n">
        <v>0</v>
      </c>
      <c r="K449" t="n">
        <v>0</v>
      </c>
      <c r="L449" t="n">
        <v>0</v>
      </c>
      <c r="M449" t="n">
        <v>0</v>
      </c>
      <c r="N449" t="n">
        <v>0</v>
      </c>
      <c r="O449" t="n">
        <v>0</v>
      </c>
      <c r="P449" t="n">
        <v>0</v>
      </c>
      <c r="Q449" t="n">
        <v>0</v>
      </c>
      <c r="R449" s="2" t="inlineStr"/>
    </row>
    <row r="450" ht="15" customHeight="1">
      <c r="A450" t="inlineStr">
        <is>
          <t>A 59523-2022</t>
        </is>
      </c>
      <c r="B450" s="1" t="n">
        <v>44907</v>
      </c>
      <c r="C450" s="1" t="n">
        <v>45821</v>
      </c>
      <c r="D450" t="inlineStr">
        <is>
          <t>NORRBOTTENS LÄN</t>
        </is>
      </c>
      <c r="E450" t="inlineStr">
        <is>
          <t>LULEÅ</t>
        </is>
      </c>
      <c r="G450" t="n">
        <v>9.5</v>
      </c>
      <c r="H450" t="n">
        <v>0</v>
      </c>
      <c r="I450" t="n">
        <v>0</v>
      </c>
      <c r="J450" t="n">
        <v>0</v>
      </c>
      <c r="K450" t="n">
        <v>0</v>
      </c>
      <c r="L450" t="n">
        <v>0</v>
      </c>
      <c r="M450" t="n">
        <v>0</v>
      </c>
      <c r="N450" t="n">
        <v>0</v>
      </c>
      <c r="O450" t="n">
        <v>0</v>
      </c>
      <c r="P450" t="n">
        <v>0</v>
      </c>
      <c r="Q450" t="n">
        <v>0</v>
      </c>
      <c r="R450" s="2" t="inlineStr"/>
    </row>
    <row r="451" ht="15" customHeight="1">
      <c r="A451" t="inlineStr">
        <is>
          <t>A 59515-2022</t>
        </is>
      </c>
      <c r="B451" s="1" t="n">
        <v>44907</v>
      </c>
      <c r="C451" s="1" t="n">
        <v>45821</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61315-2022</t>
        </is>
      </c>
      <c r="B452" s="1" t="n">
        <v>44909</v>
      </c>
      <c r="C452" s="1" t="n">
        <v>45821</v>
      </c>
      <c r="D452" t="inlineStr">
        <is>
          <t>NORRBOTTENS LÄN</t>
        </is>
      </c>
      <c r="E452" t="inlineStr">
        <is>
          <t>LULEÅ</t>
        </is>
      </c>
      <c r="G452" t="n">
        <v>2.8</v>
      </c>
      <c r="H452" t="n">
        <v>0</v>
      </c>
      <c r="I452" t="n">
        <v>0</v>
      </c>
      <c r="J452" t="n">
        <v>0</v>
      </c>
      <c r="K452" t="n">
        <v>0</v>
      </c>
      <c r="L452" t="n">
        <v>0</v>
      </c>
      <c r="M452" t="n">
        <v>0</v>
      </c>
      <c r="N452" t="n">
        <v>0</v>
      </c>
      <c r="O452" t="n">
        <v>0</v>
      </c>
      <c r="P452" t="n">
        <v>0</v>
      </c>
      <c r="Q452" t="n">
        <v>0</v>
      </c>
      <c r="R452" s="2" t="inlineStr"/>
    </row>
    <row r="453" ht="15" customHeight="1">
      <c r="A453" t="inlineStr">
        <is>
          <t>A 61469-2022</t>
        </is>
      </c>
      <c r="B453" s="1" t="n">
        <v>44910</v>
      </c>
      <c r="C453" s="1" t="n">
        <v>45821</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61753-2022</t>
        </is>
      </c>
      <c r="B454" s="1" t="n">
        <v>44911</v>
      </c>
      <c r="C454" s="1" t="n">
        <v>45821</v>
      </c>
      <c r="D454" t="inlineStr">
        <is>
          <t>NORRBOTTENS LÄN</t>
        </is>
      </c>
      <c r="E454" t="inlineStr">
        <is>
          <t>LULEÅ</t>
        </is>
      </c>
      <c r="G454" t="n">
        <v>1.6</v>
      </c>
      <c r="H454" t="n">
        <v>0</v>
      </c>
      <c r="I454" t="n">
        <v>0</v>
      </c>
      <c r="J454" t="n">
        <v>0</v>
      </c>
      <c r="K454" t="n">
        <v>0</v>
      </c>
      <c r="L454" t="n">
        <v>0</v>
      </c>
      <c r="M454" t="n">
        <v>0</v>
      </c>
      <c r="N454" t="n">
        <v>0</v>
      </c>
      <c r="O454" t="n">
        <v>0</v>
      </c>
      <c r="P454" t="n">
        <v>0</v>
      </c>
      <c r="Q454" t="n">
        <v>0</v>
      </c>
      <c r="R454" s="2" t="inlineStr"/>
    </row>
    <row r="455" ht="15" customHeight="1">
      <c r="A455" t="inlineStr">
        <is>
          <t>A 62055-2022</t>
        </is>
      </c>
      <c r="B455" s="1" t="n">
        <v>44914</v>
      </c>
      <c r="C455" s="1" t="n">
        <v>45821</v>
      </c>
      <c r="D455" t="inlineStr">
        <is>
          <t>NORRBOTTENS LÄN</t>
        </is>
      </c>
      <c r="E455" t="inlineStr">
        <is>
          <t>LULEÅ</t>
        </is>
      </c>
      <c r="G455" t="n">
        <v>2.7</v>
      </c>
      <c r="H455" t="n">
        <v>0</v>
      </c>
      <c r="I455" t="n">
        <v>0</v>
      </c>
      <c r="J455" t="n">
        <v>0</v>
      </c>
      <c r="K455" t="n">
        <v>0</v>
      </c>
      <c r="L455" t="n">
        <v>0</v>
      </c>
      <c r="M455" t="n">
        <v>0</v>
      </c>
      <c r="N455" t="n">
        <v>0</v>
      </c>
      <c r="O455" t="n">
        <v>0</v>
      </c>
      <c r="P455" t="n">
        <v>0</v>
      </c>
      <c r="Q455" t="n">
        <v>0</v>
      </c>
      <c r="R455" s="2" t="inlineStr"/>
    </row>
    <row r="456" ht="15" customHeight="1">
      <c r="A456" t="inlineStr">
        <is>
          <t>A 62061-2022</t>
        </is>
      </c>
      <c r="B456" s="1" t="n">
        <v>44914</v>
      </c>
      <c r="C456" s="1" t="n">
        <v>45821</v>
      </c>
      <c r="D456" t="inlineStr">
        <is>
          <t>NORRBOTTENS LÄN</t>
        </is>
      </c>
      <c r="E456" t="inlineStr">
        <is>
          <t>LULEÅ</t>
        </is>
      </c>
      <c r="G456" t="n">
        <v>2.4</v>
      </c>
      <c r="H456" t="n">
        <v>0</v>
      </c>
      <c r="I456" t="n">
        <v>0</v>
      </c>
      <c r="J456" t="n">
        <v>0</v>
      </c>
      <c r="K456" t="n">
        <v>0</v>
      </c>
      <c r="L456" t="n">
        <v>0</v>
      </c>
      <c r="M456" t="n">
        <v>0</v>
      </c>
      <c r="N456" t="n">
        <v>0</v>
      </c>
      <c r="O456" t="n">
        <v>0</v>
      </c>
      <c r="P456" t="n">
        <v>0</v>
      </c>
      <c r="Q456" t="n">
        <v>0</v>
      </c>
      <c r="R456" s="2" t="inlineStr"/>
    </row>
    <row r="457" ht="15" customHeight="1">
      <c r="A457" t="inlineStr">
        <is>
          <t>A 62692-2022</t>
        </is>
      </c>
      <c r="B457" s="1" t="n">
        <v>44917</v>
      </c>
      <c r="C457" s="1" t="n">
        <v>45821</v>
      </c>
      <c r="D457" t="inlineStr">
        <is>
          <t>NORRBOTTENS LÄN</t>
        </is>
      </c>
      <c r="E457" t="inlineStr">
        <is>
          <t>LULEÅ</t>
        </is>
      </c>
      <c r="G457" t="n">
        <v>1.9</v>
      </c>
      <c r="H457" t="n">
        <v>0</v>
      </c>
      <c r="I457" t="n">
        <v>0</v>
      </c>
      <c r="J457" t="n">
        <v>0</v>
      </c>
      <c r="K457" t="n">
        <v>0</v>
      </c>
      <c r="L457" t="n">
        <v>0</v>
      </c>
      <c r="M457" t="n">
        <v>0</v>
      </c>
      <c r="N457" t="n">
        <v>0</v>
      </c>
      <c r="O457" t="n">
        <v>0</v>
      </c>
      <c r="P457" t="n">
        <v>0</v>
      </c>
      <c r="Q457" t="n">
        <v>0</v>
      </c>
      <c r="R457" s="2" t="inlineStr"/>
    </row>
    <row r="458" ht="15" customHeight="1">
      <c r="A458" t="inlineStr">
        <is>
          <t>A 62701-2022</t>
        </is>
      </c>
      <c r="B458" s="1" t="n">
        <v>44917</v>
      </c>
      <c r="C458" s="1" t="n">
        <v>45821</v>
      </c>
      <c r="D458" t="inlineStr">
        <is>
          <t>NORRBOTTENS LÄN</t>
        </is>
      </c>
      <c r="E458" t="inlineStr">
        <is>
          <t>LULEÅ</t>
        </is>
      </c>
      <c r="G458" t="n">
        <v>0.5</v>
      </c>
      <c r="H458" t="n">
        <v>0</v>
      </c>
      <c r="I458" t="n">
        <v>0</v>
      </c>
      <c r="J458" t="n">
        <v>0</v>
      </c>
      <c r="K458" t="n">
        <v>0</v>
      </c>
      <c r="L458" t="n">
        <v>0</v>
      </c>
      <c r="M458" t="n">
        <v>0</v>
      </c>
      <c r="N458" t="n">
        <v>0</v>
      </c>
      <c r="O458" t="n">
        <v>0</v>
      </c>
      <c r="P458" t="n">
        <v>0</v>
      </c>
      <c r="Q458" t="n">
        <v>0</v>
      </c>
      <c r="R458" s="2" t="inlineStr"/>
    </row>
    <row r="459" ht="15" customHeight="1">
      <c r="A459" t="inlineStr">
        <is>
          <t>A 62697-2022</t>
        </is>
      </c>
      <c r="B459" s="1" t="n">
        <v>44917</v>
      </c>
      <c r="C459" s="1" t="n">
        <v>45821</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62685-2022</t>
        </is>
      </c>
      <c r="B460" s="1" t="n">
        <v>44917</v>
      </c>
      <c r="C460" s="1" t="n">
        <v>45821</v>
      </c>
      <c r="D460" t="inlineStr">
        <is>
          <t>NORRBOTTENS LÄN</t>
        </is>
      </c>
      <c r="E460" t="inlineStr">
        <is>
          <t>LULEÅ</t>
        </is>
      </c>
      <c r="G460" t="n">
        <v>3.4</v>
      </c>
      <c r="H460" t="n">
        <v>0</v>
      </c>
      <c r="I460" t="n">
        <v>0</v>
      </c>
      <c r="J460" t="n">
        <v>0</v>
      </c>
      <c r="K460" t="n">
        <v>0</v>
      </c>
      <c r="L460" t="n">
        <v>0</v>
      </c>
      <c r="M460" t="n">
        <v>0</v>
      </c>
      <c r="N460" t="n">
        <v>0</v>
      </c>
      <c r="O460" t="n">
        <v>0</v>
      </c>
      <c r="P460" t="n">
        <v>0</v>
      </c>
      <c r="Q460" t="n">
        <v>0</v>
      </c>
      <c r="R460" s="2" t="inlineStr"/>
    </row>
    <row r="461" ht="15" customHeight="1">
      <c r="A461" t="inlineStr">
        <is>
          <t>A 62686-2022</t>
        </is>
      </c>
      <c r="B461" s="1" t="n">
        <v>44918</v>
      </c>
      <c r="C461" s="1" t="n">
        <v>45821</v>
      </c>
      <c r="D461" t="inlineStr">
        <is>
          <t>NORRBOTTENS LÄN</t>
        </is>
      </c>
      <c r="E461" t="inlineStr">
        <is>
          <t>LULEÅ</t>
        </is>
      </c>
      <c r="G461" t="n">
        <v>2.9</v>
      </c>
      <c r="H461" t="n">
        <v>0</v>
      </c>
      <c r="I461" t="n">
        <v>0</v>
      </c>
      <c r="J461" t="n">
        <v>0</v>
      </c>
      <c r="K461" t="n">
        <v>0</v>
      </c>
      <c r="L461" t="n">
        <v>0</v>
      </c>
      <c r="M461" t="n">
        <v>0</v>
      </c>
      <c r="N461" t="n">
        <v>0</v>
      </c>
      <c r="O461" t="n">
        <v>0</v>
      </c>
      <c r="P461" t="n">
        <v>0</v>
      </c>
      <c r="Q461" t="n">
        <v>0</v>
      </c>
      <c r="R461" s="2" t="inlineStr"/>
    </row>
    <row r="462" ht="15" customHeight="1">
      <c r="A462" t="inlineStr">
        <is>
          <t>A 2002-2023</t>
        </is>
      </c>
      <c r="B462" s="1" t="n">
        <v>44937</v>
      </c>
      <c r="C462" s="1" t="n">
        <v>45821</v>
      </c>
      <c r="D462" t="inlineStr">
        <is>
          <t>NORRBOTTENS LÄN</t>
        </is>
      </c>
      <c r="E462" t="inlineStr">
        <is>
          <t>LULEÅ</t>
        </is>
      </c>
      <c r="G462" t="n">
        <v>7.9</v>
      </c>
      <c r="H462" t="n">
        <v>0</v>
      </c>
      <c r="I462" t="n">
        <v>0</v>
      </c>
      <c r="J462" t="n">
        <v>0</v>
      </c>
      <c r="K462" t="n">
        <v>0</v>
      </c>
      <c r="L462" t="n">
        <v>0</v>
      </c>
      <c r="M462" t="n">
        <v>0</v>
      </c>
      <c r="N462" t="n">
        <v>0</v>
      </c>
      <c r="O462" t="n">
        <v>0</v>
      </c>
      <c r="P462" t="n">
        <v>0</v>
      </c>
      <c r="Q462" t="n">
        <v>0</v>
      </c>
      <c r="R462" s="2" t="inlineStr"/>
    </row>
    <row r="463" ht="15" customHeight="1">
      <c r="A463" t="inlineStr">
        <is>
          <t>A 2006-2023</t>
        </is>
      </c>
      <c r="B463" s="1" t="n">
        <v>44937</v>
      </c>
      <c r="C463" s="1" t="n">
        <v>45821</v>
      </c>
      <c r="D463" t="inlineStr">
        <is>
          <t>NORRBOTTENS LÄN</t>
        </is>
      </c>
      <c r="E463" t="inlineStr">
        <is>
          <t>LULEÅ</t>
        </is>
      </c>
      <c r="G463" t="n">
        <v>0.4</v>
      </c>
      <c r="H463" t="n">
        <v>0</v>
      </c>
      <c r="I463" t="n">
        <v>0</v>
      </c>
      <c r="J463" t="n">
        <v>0</v>
      </c>
      <c r="K463" t="n">
        <v>0</v>
      </c>
      <c r="L463" t="n">
        <v>0</v>
      </c>
      <c r="M463" t="n">
        <v>0</v>
      </c>
      <c r="N463" t="n">
        <v>0</v>
      </c>
      <c r="O463" t="n">
        <v>0</v>
      </c>
      <c r="P463" t="n">
        <v>0</v>
      </c>
      <c r="Q463" t="n">
        <v>0</v>
      </c>
      <c r="R463" s="2" t="inlineStr"/>
    </row>
    <row r="464" ht="15" customHeight="1">
      <c r="A464" t="inlineStr">
        <is>
          <t>A 2007-2023</t>
        </is>
      </c>
      <c r="B464" s="1" t="n">
        <v>44937</v>
      </c>
      <c r="C464" s="1" t="n">
        <v>45821</v>
      </c>
      <c r="D464" t="inlineStr">
        <is>
          <t>NORRBOTTENS LÄN</t>
        </is>
      </c>
      <c r="E464" t="inlineStr">
        <is>
          <t>LULEÅ</t>
        </is>
      </c>
      <c r="G464" t="n">
        <v>1.8</v>
      </c>
      <c r="H464" t="n">
        <v>0</v>
      </c>
      <c r="I464" t="n">
        <v>0</v>
      </c>
      <c r="J464" t="n">
        <v>0</v>
      </c>
      <c r="K464" t="n">
        <v>0</v>
      </c>
      <c r="L464" t="n">
        <v>0</v>
      </c>
      <c r="M464" t="n">
        <v>0</v>
      </c>
      <c r="N464" t="n">
        <v>0</v>
      </c>
      <c r="O464" t="n">
        <v>0</v>
      </c>
      <c r="P464" t="n">
        <v>0</v>
      </c>
      <c r="Q464" t="n">
        <v>0</v>
      </c>
      <c r="R464" s="2" t="inlineStr"/>
    </row>
    <row r="465" ht="15" customHeight="1">
      <c r="A465" t="inlineStr">
        <is>
          <t>A 3128-2023</t>
        </is>
      </c>
      <c r="B465" s="1" t="n">
        <v>44946</v>
      </c>
      <c r="C465" s="1" t="n">
        <v>45821</v>
      </c>
      <c r="D465" t="inlineStr">
        <is>
          <t>NORRBOTTENS LÄN</t>
        </is>
      </c>
      <c r="E465" t="inlineStr">
        <is>
          <t>LULEÅ</t>
        </is>
      </c>
      <c r="G465" t="n">
        <v>5</v>
      </c>
      <c r="H465" t="n">
        <v>0</v>
      </c>
      <c r="I465" t="n">
        <v>0</v>
      </c>
      <c r="J465" t="n">
        <v>0</v>
      </c>
      <c r="K465" t="n">
        <v>0</v>
      </c>
      <c r="L465" t="n">
        <v>0</v>
      </c>
      <c r="M465" t="n">
        <v>0</v>
      </c>
      <c r="N465" t="n">
        <v>0</v>
      </c>
      <c r="O465" t="n">
        <v>0</v>
      </c>
      <c r="P465" t="n">
        <v>0</v>
      </c>
      <c r="Q465" t="n">
        <v>0</v>
      </c>
      <c r="R465" s="2" t="inlineStr"/>
    </row>
    <row r="466" ht="15" customHeight="1">
      <c r="A466" t="inlineStr">
        <is>
          <t>A 3888-2023</t>
        </is>
      </c>
      <c r="B466" s="1" t="n">
        <v>44951</v>
      </c>
      <c r="C466" s="1" t="n">
        <v>45821</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4046-2023</t>
        </is>
      </c>
      <c r="B467" s="1" t="n">
        <v>44952</v>
      </c>
      <c r="C467" s="1" t="n">
        <v>45821</v>
      </c>
      <c r="D467" t="inlineStr">
        <is>
          <t>NORRBOTTENS LÄN</t>
        </is>
      </c>
      <c r="E467" t="inlineStr">
        <is>
          <t>LULEÅ</t>
        </is>
      </c>
      <c r="G467" t="n">
        <v>0.6</v>
      </c>
      <c r="H467" t="n">
        <v>0</v>
      </c>
      <c r="I467" t="n">
        <v>0</v>
      </c>
      <c r="J467" t="n">
        <v>0</v>
      </c>
      <c r="K467" t="n">
        <v>0</v>
      </c>
      <c r="L467" t="n">
        <v>0</v>
      </c>
      <c r="M467" t="n">
        <v>0</v>
      </c>
      <c r="N467" t="n">
        <v>0</v>
      </c>
      <c r="O467" t="n">
        <v>0</v>
      </c>
      <c r="P467" t="n">
        <v>0</v>
      </c>
      <c r="Q467" t="n">
        <v>0</v>
      </c>
      <c r="R467" s="2" t="inlineStr"/>
    </row>
    <row r="468" ht="15" customHeight="1">
      <c r="A468" t="inlineStr">
        <is>
          <t>A 4599-2023</t>
        </is>
      </c>
      <c r="B468" s="1" t="n">
        <v>44956</v>
      </c>
      <c r="C468" s="1" t="n">
        <v>45821</v>
      </c>
      <c r="D468" t="inlineStr">
        <is>
          <t>NORRBOTTENS LÄN</t>
        </is>
      </c>
      <c r="E468" t="inlineStr">
        <is>
          <t>LULEÅ</t>
        </is>
      </c>
      <c r="G468" t="n">
        <v>14.8</v>
      </c>
      <c r="H468" t="n">
        <v>0</v>
      </c>
      <c r="I468" t="n">
        <v>0</v>
      </c>
      <c r="J468" t="n">
        <v>0</v>
      </c>
      <c r="K468" t="n">
        <v>0</v>
      </c>
      <c r="L468" t="n">
        <v>0</v>
      </c>
      <c r="M468" t="n">
        <v>0</v>
      </c>
      <c r="N468" t="n">
        <v>0</v>
      </c>
      <c r="O468" t="n">
        <v>0</v>
      </c>
      <c r="P468" t="n">
        <v>0</v>
      </c>
      <c r="Q468" t="n">
        <v>0</v>
      </c>
      <c r="R468" s="2" t="inlineStr"/>
    </row>
    <row r="469" ht="15" customHeight="1">
      <c r="A469" t="inlineStr">
        <is>
          <t>A 5688-2023</t>
        </is>
      </c>
      <c r="B469" s="1" t="n">
        <v>44960</v>
      </c>
      <c r="C469" s="1" t="n">
        <v>45821</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6386-2023</t>
        </is>
      </c>
      <c r="B470" s="1" t="n">
        <v>44960</v>
      </c>
      <c r="C470" s="1" t="n">
        <v>45821</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45821</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6396-2023</t>
        </is>
      </c>
      <c r="B472" s="1" t="n">
        <v>44960</v>
      </c>
      <c r="C472" s="1" t="n">
        <v>45821</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6361-2023</t>
        </is>
      </c>
      <c r="B473" s="1" t="n">
        <v>44965</v>
      </c>
      <c r="C473" s="1" t="n">
        <v>45821</v>
      </c>
      <c r="D473" t="inlineStr">
        <is>
          <t>NORRBOTTENS LÄN</t>
        </is>
      </c>
      <c r="E473" t="inlineStr">
        <is>
          <t>LULEÅ</t>
        </is>
      </c>
      <c r="G473" t="n">
        <v>6.7</v>
      </c>
      <c r="H473" t="n">
        <v>0</v>
      </c>
      <c r="I473" t="n">
        <v>0</v>
      </c>
      <c r="J473" t="n">
        <v>0</v>
      </c>
      <c r="K473" t="n">
        <v>0</v>
      </c>
      <c r="L473" t="n">
        <v>0</v>
      </c>
      <c r="M473" t="n">
        <v>0</v>
      </c>
      <c r="N473" t="n">
        <v>0</v>
      </c>
      <c r="O473" t="n">
        <v>0</v>
      </c>
      <c r="P473" t="n">
        <v>0</v>
      </c>
      <c r="Q473" t="n">
        <v>0</v>
      </c>
      <c r="R473" s="2" t="inlineStr"/>
    </row>
    <row r="474" ht="15" customHeight="1">
      <c r="A474" t="inlineStr">
        <is>
          <t>A 7393-2023</t>
        </is>
      </c>
      <c r="B474" s="1" t="n">
        <v>44966</v>
      </c>
      <c r="C474" s="1" t="n">
        <v>45821</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45821</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7010-2023</t>
        </is>
      </c>
      <c r="B476" s="1" t="n">
        <v>44967</v>
      </c>
      <c r="C476" s="1" t="n">
        <v>45821</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8824-2023</t>
        </is>
      </c>
      <c r="B477" s="1" t="n">
        <v>44973</v>
      </c>
      <c r="C477" s="1" t="n">
        <v>45821</v>
      </c>
      <c r="D477" t="inlineStr">
        <is>
          <t>NORRBOTTENS LÄN</t>
        </is>
      </c>
      <c r="E477" t="inlineStr">
        <is>
          <t>LULEÅ</t>
        </is>
      </c>
      <c r="G477" t="n">
        <v>2.8</v>
      </c>
      <c r="H477" t="n">
        <v>0</v>
      </c>
      <c r="I477" t="n">
        <v>0</v>
      </c>
      <c r="J477" t="n">
        <v>0</v>
      </c>
      <c r="K477" t="n">
        <v>0</v>
      </c>
      <c r="L477" t="n">
        <v>0</v>
      </c>
      <c r="M477" t="n">
        <v>0</v>
      </c>
      <c r="N477" t="n">
        <v>0</v>
      </c>
      <c r="O477" t="n">
        <v>0</v>
      </c>
      <c r="P477" t="n">
        <v>0</v>
      </c>
      <c r="Q477" t="n">
        <v>0</v>
      </c>
      <c r="R477" s="2" t="inlineStr"/>
    </row>
    <row r="478" ht="15" customHeight="1">
      <c r="A478" t="inlineStr">
        <is>
          <t>A 8816-2023</t>
        </is>
      </c>
      <c r="B478" s="1" t="n">
        <v>44973</v>
      </c>
      <c r="C478" s="1" t="n">
        <v>45821</v>
      </c>
      <c r="D478" t="inlineStr">
        <is>
          <t>NORRBOTTENS LÄN</t>
        </is>
      </c>
      <c r="E478" t="inlineStr">
        <is>
          <t>LULEÅ</t>
        </is>
      </c>
      <c r="G478" t="n">
        <v>7.4</v>
      </c>
      <c r="H478" t="n">
        <v>0</v>
      </c>
      <c r="I478" t="n">
        <v>0</v>
      </c>
      <c r="J478" t="n">
        <v>0</v>
      </c>
      <c r="K478" t="n">
        <v>0</v>
      </c>
      <c r="L478" t="n">
        <v>0</v>
      </c>
      <c r="M478" t="n">
        <v>0</v>
      </c>
      <c r="N478" t="n">
        <v>0</v>
      </c>
      <c r="O478" t="n">
        <v>0</v>
      </c>
      <c r="P478" t="n">
        <v>0</v>
      </c>
      <c r="Q478" t="n">
        <v>0</v>
      </c>
      <c r="R478" s="2" t="inlineStr"/>
    </row>
    <row r="479" ht="15" customHeight="1">
      <c r="A479" t="inlineStr">
        <is>
          <t>A 8068-2023</t>
        </is>
      </c>
      <c r="B479" s="1" t="n">
        <v>44974</v>
      </c>
      <c r="C479" s="1" t="n">
        <v>45821</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9278-2023</t>
        </is>
      </c>
      <c r="B480" s="1" t="n">
        <v>44977</v>
      </c>
      <c r="C480" s="1" t="n">
        <v>45821</v>
      </c>
      <c r="D480" t="inlineStr">
        <is>
          <t>NORRBOTTENS LÄN</t>
        </is>
      </c>
      <c r="E480" t="inlineStr">
        <is>
          <t>LULEÅ</t>
        </is>
      </c>
      <c r="G480" t="n">
        <v>0.7</v>
      </c>
      <c r="H480" t="n">
        <v>0</v>
      </c>
      <c r="I480" t="n">
        <v>0</v>
      </c>
      <c r="J480" t="n">
        <v>0</v>
      </c>
      <c r="K480" t="n">
        <v>0</v>
      </c>
      <c r="L480" t="n">
        <v>0</v>
      </c>
      <c r="M480" t="n">
        <v>0</v>
      </c>
      <c r="N480" t="n">
        <v>0</v>
      </c>
      <c r="O480" t="n">
        <v>0</v>
      </c>
      <c r="P480" t="n">
        <v>0</v>
      </c>
      <c r="Q480" t="n">
        <v>0</v>
      </c>
      <c r="R480" s="2" t="inlineStr"/>
    </row>
    <row r="481" ht="15" customHeight="1">
      <c r="A481" t="inlineStr">
        <is>
          <t>A 9282-2023</t>
        </is>
      </c>
      <c r="B481" s="1" t="n">
        <v>44977</v>
      </c>
      <c r="C481" s="1" t="n">
        <v>45821</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9286-2023</t>
        </is>
      </c>
      <c r="B482" s="1" t="n">
        <v>44977</v>
      </c>
      <c r="C482" s="1" t="n">
        <v>45821</v>
      </c>
      <c r="D482" t="inlineStr">
        <is>
          <t>NORRBOTTENS LÄN</t>
        </is>
      </c>
      <c r="E482" t="inlineStr">
        <is>
          <t>LULEÅ</t>
        </is>
      </c>
      <c r="G482" t="n">
        <v>1.7</v>
      </c>
      <c r="H482" t="n">
        <v>0</v>
      </c>
      <c r="I482" t="n">
        <v>0</v>
      </c>
      <c r="J482" t="n">
        <v>0</v>
      </c>
      <c r="K482" t="n">
        <v>0</v>
      </c>
      <c r="L482" t="n">
        <v>0</v>
      </c>
      <c r="M482" t="n">
        <v>0</v>
      </c>
      <c r="N482" t="n">
        <v>0</v>
      </c>
      <c r="O482" t="n">
        <v>0</v>
      </c>
      <c r="P482" t="n">
        <v>0</v>
      </c>
      <c r="Q482" t="n">
        <v>0</v>
      </c>
      <c r="R482" s="2" t="inlineStr"/>
    </row>
    <row r="483" ht="15" customHeight="1">
      <c r="A483" t="inlineStr">
        <is>
          <t>A 9274-2023</t>
        </is>
      </c>
      <c r="B483" s="1" t="n">
        <v>44977</v>
      </c>
      <c r="C483" s="1" t="n">
        <v>45821</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9289-2023</t>
        </is>
      </c>
      <c r="B484" s="1" t="n">
        <v>44977</v>
      </c>
      <c r="C484" s="1" t="n">
        <v>45821</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10050-2023</t>
        </is>
      </c>
      <c r="B485" s="1" t="n">
        <v>44979</v>
      </c>
      <c r="C485" s="1" t="n">
        <v>45821</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45821</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10903-2023</t>
        </is>
      </c>
      <c r="B487" s="1" t="n">
        <v>44985</v>
      </c>
      <c r="C487" s="1" t="n">
        <v>45821</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10894-2023</t>
        </is>
      </c>
      <c r="B488" s="1" t="n">
        <v>44985</v>
      </c>
      <c r="C488" s="1" t="n">
        <v>45821</v>
      </c>
      <c r="D488" t="inlineStr">
        <is>
          <t>NORRBOTTENS LÄN</t>
        </is>
      </c>
      <c r="E488" t="inlineStr">
        <is>
          <t>LULEÅ</t>
        </is>
      </c>
      <c r="G488" t="n">
        <v>4</v>
      </c>
      <c r="H488" t="n">
        <v>0</v>
      </c>
      <c r="I488" t="n">
        <v>0</v>
      </c>
      <c r="J488" t="n">
        <v>0</v>
      </c>
      <c r="K488" t="n">
        <v>0</v>
      </c>
      <c r="L488" t="n">
        <v>0</v>
      </c>
      <c r="M488" t="n">
        <v>0</v>
      </c>
      <c r="N488" t="n">
        <v>0</v>
      </c>
      <c r="O488" t="n">
        <v>0</v>
      </c>
      <c r="P488" t="n">
        <v>0</v>
      </c>
      <c r="Q488" t="n">
        <v>0</v>
      </c>
      <c r="R488" s="2" t="inlineStr"/>
    </row>
    <row r="489" ht="15" customHeight="1">
      <c r="A489" t="inlineStr">
        <is>
          <t>A 10885-2023</t>
        </is>
      </c>
      <c r="B489" s="1" t="n">
        <v>44985</v>
      </c>
      <c r="C489" s="1" t="n">
        <v>45821</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11142-2023</t>
        </is>
      </c>
      <c r="B490" s="1" t="n">
        <v>44987</v>
      </c>
      <c r="C490" s="1" t="n">
        <v>45821</v>
      </c>
      <c r="D490" t="inlineStr">
        <is>
          <t>NORRBOTTENS LÄN</t>
        </is>
      </c>
      <c r="E490" t="inlineStr">
        <is>
          <t>LULEÅ</t>
        </is>
      </c>
      <c r="G490" t="n">
        <v>6.8</v>
      </c>
      <c r="H490" t="n">
        <v>0</v>
      </c>
      <c r="I490" t="n">
        <v>0</v>
      </c>
      <c r="J490" t="n">
        <v>0</v>
      </c>
      <c r="K490" t="n">
        <v>0</v>
      </c>
      <c r="L490" t="n">
        <v>0</v>
      </c>
      <c r="M490" t="n">
        <v>0</v>
      </c>
      <c r="N490" t="n">
        <v>0</v>
      </c>
      <c r="O490" t="n">
        <v>0</v>
      </c>
      <c r="P490" t="n">
        <v>0</v>
      </c>
      <c r="Q490" t="n">
        <v>0</v>
      </c>
      <c r="R490" s="2" t="inlineStr"/>
    </row>
    <row r="491" ht="15" customHeight="1">
      <c r="A491" t="inlineStr">
        <is>
          <t>A 11178-2023</t>
        </is>
      </c>
      <c r="B491" s="1" t="n">
        <v>44987</v>
      </c>
      <c r="C491" s="1" t="n">
        <v>45821</v>
      </c>
      <c r="D491" t="inlineStr">
        <is>
          <t>NORRBOTTENS LÄN</t>
        </is>
      </c>
      <c r="E491" t="inlineStr">
        <is>
          <t>LULEÅ</t>
        </is>
      </c>
      <c r="G491" t="n">
        <v>4.7</v>
      </c>
      <c r="H491" t="n">
        <v>0</v>
      </c>
      <c r="I491" t="n">
        <v>0</v>
      </c>
      <c r="J491" t="n">
        <v>0</v>
      </c>
      <c r="K491" t="n">
        <v>0</v>
      </c>
      <c r="L491" t="n">
        <v>0</v>
      </c>
      <c r="M491" t="n">
        <v>0</v>
      </c>
      <c r="N491" t="n">
        <v>0</v>
      </c>
      <c r="O491" t="n">
        <v>0</v>
      </c>
      <c r="P491" t="n">
        <v>0</v>
      </c>
      <c r="Q491" t="n">
        <v>0</v>
      </c>
      <c r="R491" s="2" t="inlineStr"/>
    </row>
    <row r="492" ht="15" customHeight="1">
      <c r="A492" t="inlineStr">
        <is>
          <t>A 11716-2023</t>
        </is>
      </c>
      <c r="B492" s="1" t="n">
        <v>44992</v>
      </c>
      <c r="C492" s="1" t="n">
        <v>45821</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11719-2023</t>
        </is>
      </c>
      <c r="B493" s="1" t="n">
        <v>44992</v>
      </c>
      <c r="C493" s="1" t="n">
        <v>45821</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11982-2023</t>
        </is>
      </c>
      <c r="B494" s="1" t="n">
        <v>44994</v>
      </c>
      <c r="C494" s="1" t="n">
        <v>45821</v>
      </c>
      <c r="D494" t="inlineStr">
        <is>
          <t>NORRBOTTENS LÄN</t>
        </is>
      </c>
      <c r="E494" t="inlineStr">
        <is>
          <t>LULEÅ</t>
        </is>
      </c>
      <c r="G494" t="n">
        <v>0.7</v>
      </c>
      <c r="H494" t="n">
        <v>0</v>
      </c>
      <c r="I494" t="n">
        <v>0</v>
      </c>
      <c r="J494" t="n">
        <v>0</v>
      </c>
      <c r="K494" t="n">
        <v>0</v>
      </c>
      <c r="L494" t="n">
        <v>0</v>
      </c>
      <c r="M494" t="n">
        <v>0</v>
      </c>
      <c r="N494" t="n">
        <v>0</v>
      </c>
      <c r="O494" t="n">
        <v>0</v>
      </c>
      <c r="P494" t="n">
        <v>0</v>
      </c>
      <c r="Q494" t="n">
        <v>0</v>
      </c>
      <c r="R494" s="2" t="inlineStr"/>
    </row>
    <row r="495" ht="15" customHeight="1">
      <c r="A495" t="inlineStr">
        <is>
          <t>A 12312-2023</t>
        </is>
      </c>
      <c r="B495" s="1" t="n">
        <v>44995</v>
      </c>
      <c r="C495" s="1" t="n">
        <v>45821</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12323-2023</t>
        </is>
      </c>
      <c r="B496" s="1" t="n">
        <v>44995</v>
      </c>
      <c r="C496" s="1" t="n">
        <v>45821</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12685-2023</t>
        </is>
      </c>
      <c r="B497" s="1" t="n">
        <v>44999</v>
      </c>
      <c r="C497" s="1" t="n">
        <v>45821</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12782-2023</t>
        </is>
      </c>
      <c r="B498" s="1" t="n">
        <v>45000</v>
      </c>
      <c r="C498" s="1" t="n">
        <v>45821</v>
      </c>
      <c r="D498" t="inlineStr">
        <is>
          <t>NORRBOTTENS LÄN</t>
        </is>
      </c>
      <c r="E498" t="inlineStr">
        <is>
          <t>LULEÅ</t>
        </is>
      </c>
      <c r="G498" t="n">
        <v>2.8</v>
      </c>
      <c r="H498" t="n">
        <v>0</v>
      </c>
      <c r="I498" t="n">
        <v>0</v>
      </c>
      <c r="J498" t="n">
        <v>0</v>
      </c>
      <c r="K498" t="n">
        <v>0</v>
      </c>
      <c r="L498" t="n">
        <v>0</v>
      </c>
      <c r="M498" t="n">
        <v>0</v>
      </c>
      <c r="N498" t="n">
        <v>0</v>
      </c>
      <c r="O498" t="n">
        <v>0</v>
      </c>
      <c r="P498" t="n">
        <v>0</v>
      </c>
      <c r="Q498" t="n">
        <v>0</v>
      </c>
      <c r="R498" s="2" t="inlineStr"/>
    </row>
    <row r="499" ht="15" customHeight="1">
      <c r="A499" t="inlineStr">
        <is>
          <t>A 12865-2023</t>
        </is>
      </c>
      <c r="B499" s="1" t="n">
        <v>45001</v>
      </c>
      <c r="C499" s="1" t="n">
        <v>45821</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13247-2023</t>
        </is>
      </c>
      <c r="B500" s="1" t="n">
        <v>45002</v>
      </c>
      <c r="C500" s="1" t="n">
        <v>45821</v>
      </c>
      <c r="D500" t="inlineStr">
        <is>
          <t>NORRBOTTENS LÄN</t>
        </is>
      </c>
      <c r="E500" t="inlineStr">
        <is>
          <t>LULEÅ</t>
        </is>
      </c>
      <c r="G500" t="n">
        <v>5.3</v>
      </c>
      <c r="H500" t="n">
        <v>0</v>
      </c>
      <c r="I500" t="n">
        <v>0</v>
      </c>
      <c r="J500" t="n">
        <v>0</v>
      </c>
      <c r="K500" t="n">
        <v>0</v>
      </c>
      <c r="L500" t="n">
        <v>0</v>
      </c>
      <c r="M500" t="n">
        <v>0</v>
      </c>
      <c r="N500" t="n">
        <v>0</v>
      </c>
      <c r="O500" t="n">
        <v>0</v>
      </c>
      <c r="P500" t="n">
        <v>0</v>
      </c>
      <c r="Q500" t="n">
        <v>0</v>
      </c>
      <c r="R500" s="2" t="inlineStr"/>
    </row>
    <row r="501" ht="15" customHeight="1">
      <c r="A501" t="inlineStr">
        <is>
          <t>A 14128-2023</t>
        </is>
      </c>
      <c r="B501" s="1" t="n">
        <v>45009</v>
      </c>
      <c r="C501" s="1" t="n">
        <v>45821</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14447-2023</t>
        </is>
      </c>
      <c r="B502" s="1" t="n">
        <v>45012</v>
      </c>
      <c r="C502" s="1" t="n">
        <v>45821</v>
      </c>
      <c r="D502" t="inlineStr">
        <is>
          <t>NORRBOTTENS LÄN</t>
        </is>
      </c>
      <c r="E502" t="inlineStr">
        <is>
          <t>LULEÅ</t>
        </is>
      </c>
      <c r="G502" t="n">
        <v>0.6</v>
      </c>
      <c r="H502" t="n">
        <v>0</v>
      </c>
      <c r="I502" t="n">
        <v>0</v>
      </c>
      <c r="J502" t="n">
        <v>0</v>
      </c>
      <c r="K502" t="n">
        <v>0</v>
      </c>
      <c r="L502" t="n">
        <v>0</v>
      </c>
      <c r="M502" t="n">
        <v>0</v>
      </c>
      <c r="N502" t="n">
        <v>0</v>
      </c>
      <c r="O502" t="n">
        <v>0</v>
      </c>
      <c r="P502" t="n">
        <v>0</v>
      </c>
      <c r="Q502" t="n">
        <v>0</v>
      </c>
      <c r="R502" s="2" t="inlineStr"/>
    </row>
    <row r="503" ht="15" customHeight="1">
      <c r="A503" t="inlineStr">
        <is>
          <t>A 14803-2023</t>
        </is>
      </c>
      <c r="B503" s="1" t="n">
        <v>45013</v>
      </c>
      <c r="C503" s="1" t="n">
        <v>45821</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15127-2023</t>
        </is>
      </c>
      <c r="B504" s="1" t="n">
        <v>45016</v>
      </c>
      <c r="C504" s="1" t="n">
        <v>45821</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16108-2023</t>
        </is>
      </c>
      <c r="B505" s="1" t="n">
        <v>45021</v>
      </c>
      <c r="C505" s="1" t="n">
        <v>45821</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17419-2023</t>
        </is>
      </c>
      <c r="B506" s="1" t="n">
        <v>45035</v>
      </c>
      <c r="C506" s="1" t="n">
        <v>45821</v>
      </c>
      <c r="D506" t="inlineStr">
        <is>
          <t>NORRBOTTENS LÄN</t>
        </is>
      </c>
      <c r="E506" t="inlineStr">
        <is>
          <t>LULEÅ</t>
        </is>
      </c>
      <c r="G506" t="n">
        <v>5.5</v>
      </c>
      <c r="H506" t="n">
        <v>0</v>
      </c>
      <c r="I506" t="n">
        <v>0</v>
      </c>
      <c r="J506" t="n">
        <v>0</v>
      </c>
      <c r="K506" t="n">
        <v>0</v>
      </c>
      <c r="L506" t="n">
        <v>0</v>
      </c>
      <c r="M506" t="n">
        <v>0</v>
      </c>
      <c r="N506" t="n">
        <v>0</v>
      </c>
      <c r="O506" t="n">
        <v>0</v>
      </c>
      <c r="P506" t="n">
        <v>0</v>
      </c>
      <c r="Q506" t="n">
        <v>0</v>
      </c>
      <c r="R506" s="2" t="inlineStr"/>
    </row>
    <row r="507" ht="15" customHeight="1">
      <c r="A507" t="inlineStr">
        <is>
          <t>A 17438-2023</t>
        </is>
      </c>
      <c r="B507" s="1" t="n">
        <v>45036</v>
      </c>
      <c r="C507" s="1" t="n">
        <v>45821</v>
      </c>
      <c r="D507" t="inlineStr">
        <is>
          <t>NORRBOTTENS LÄN</t>
        </is>
      </c>
      <c r="E507" t="inlineStr">
        <is>
          <t>LULEÅ</t>
        </is>
      </c>
      <c r="G507" t="n">
        <v>0.8</v>
      </c>
      <c r="H507" t="n">
        <v>0</v>
      </c>
      <c r="I507" t="n">
        <v>0</v>
      </c>
      <c r="J507" t="n">
        <v>0</v>
      </c>
      <c r="K507" t="n">
        <v>0</v>
      </c>
      <c r="L507" t="n">
        <v>0</v>
      </c>
      <c r="M507" t="n">
        <v>0</v>
      </c>
      <c r="N507" t="n">
        <v>0</v>
      </c>
      <c r="O507" t="n">
        <v>0</v>
      </c>
      <c r="P507" t="n">
        <v>0</v>
      </c>
      <c r="Q507" t="n">
        <v>0</v>
      </c>
      <c r="R507" s="2" t="inlineStr"/>
    </row>
    <row r="508" ht="15" customHeight="1">
      <c r="A508" t="inlineStr">
        <is>
          <t>A 17427-2023</t>
        </is>
      </c>
      <c r="B508" s="1" t="n">
        <v>45035</v>
      </c>
      <c r="C508" s="1" t="n">
        <v>45821</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17439-2023</t>
        </is>
      </c>
      <c r="B509" s="1" t="n">
        <v>45036</v>
      </c>
      <c r="C509" s="1" t="n">
        <v>45821</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17421-2023</t>
        </is>
      </c>
      <c r="B510" s="1" t="n">
        <v>45036</v>
      </c>
      <c r="C510" s="1" t="n">
        <v>45821</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17425-2023</t>
        </is>
      </c>
      <c r="B511" s="1" t="n">
        <v>45035</v>
      </c>
      <c r="C511" s="1" t="n">
        <v>45821</v>
      </c>
      <c r="D511" t="inlineStr">
        <is>
          <t>NORRBOTTENS LÄN</t>
        </is>
      </c>
      <c r="E511" t="inlineStr">
        <is>
          <t>LULEÅ</t>
        </is>
      </c>
      <c r="G511" t="n">
        <v>2.7</v>
      </c>
      <c r="H511" t="n">
        <v>0</v>
      </c>
      <c r="I511" t="n">
        <v>0</v>
      </c>
      <c r="J511" t="n">
        <v>0</v>
      </c>
      <c r="K511" t="n">
        <v>0</v>
      </c>
      <c r="L511" t="n">
        <v>0</v>
      </c>
      <c r="M511" t="n">
        <v>0</v>
      </c>
      <c r="N511" t="n">
        <v>0</v>
      </c>
      <c r="O511" t="n">
        <v>0</v>
      </c>
      <c r="P511" t="n">
        <v>0</v>
      </c>
      <c r="Q511" t="n">
        <v>0</v>
      </c>
      <c r="R511" s="2" t="inlineStr"/>
    </row>
    <row r="512" ht="15" customHeight="1">
      <c r="A512" t="inlineStr">
        <is>
          <t>A 18166-2023</t>
        </is>
      </c>
      <c r="B512" s="1" t="n">
        <v>45041</v>
      </c>
      <c r="C512" s="1" t="n">
        <v>45821</v>
      </c>
      <c r="D512" t="inlineStr">
        <is>
          <t>NORRBOTTENS LÄN</t>
        </is>
      </c>
      <c r="E512" t="inlineStr">
        <is>
          <t>LULEÅ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18208-2023</t>
        </is>
      </c>
      <c r="B513" s="1" t="n">
        <v>45040</v>
      </c>
      <c r="C513" s="1" t="n">
        <v>45821</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18754-2023</t>
        </is>
      </c>
      <c r="B514" s="1" t="n">
        <v>45043</v>
      </c>
      <c r="C514" s="1" t="n">
        <v>45821</v>
      </c>
      <c r="D514" t="inlineStr">
        <is>
          <t>NORRBOTTENS LÄN</t>
        </is>
      </c>
      <c r="E514" t="inlineStr">
        <is>
          <t>LULEÅ</t>
        </is>
      </c>
      <c r="G514" t="n">
        <v>7.4</v>
      </c>
      <c r="H514" t="n">
        <v>0</v>
      </c>
      <c r="I514" t="n">
        <v>0</v>
      </c>
      <c r="J514" t="n">
        <v>0</v>
      </c>
      <c r="K514" t="n">
        <v>0</v>
      </c>
      <c r="L514" t="n">
        <v>0</v>
      </c>
      <c r="M514" t="n">
        <v>0</v>
      </c>
      <c r="N514" t="n">
        <v>0</v>
      </c>
      <c r="O514" t="n">
        <v>0</v>
      </c>
      <c r="P514" t="n">
        <v>0</v>
      </c>
      <c r="Q514" t="n">
        <v>0</v>
      </c>
      <c r="R514" s="2" t="inlineStr"/>
    </row>
    <row r="515" ht="15" customHeight="1">
      <c r="A515" t="inlineStr">
        <is>
          <t>A 20063-2023</t>
        </is>
      </c>
      <c r="B515" s="1" t="n">
        <v>45054</v>
      </c>
      <c r="C515" s="1" t="n">
        <v>45821</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20340-2023</t>
        </is>
      </c>
      <c r="B516" s="1" t="n">
        <v>45054</v>
      </c>
      <c r="C516" s="1" t="n">
        <v>45821</v>
      </c>
      <c r="D516" t="inlineStr">
        <is>
          <t>NORRBOTTENS LÄN</t>
        </is>
      </c>
      <c r="E516" t="inlineStr">
        <is>
          <t>LULEÅ</t>
        </is>
      </c>
      <c r="G516" t="n">
        <v>65</v>
      </c>
      <c r="H516" t="n">
        <v>0</v>
      </c>
      <c r="I516" t="n">
        <v>0</v>
      </c>
      <c r="J516" t="n">
        <v>0</v>
      </c>
      <c r="K516" t="n">
        <v>0</v>
      </c>
      <c r="L516" t="n">
        <v>0</v>
      </c>
      <c r="M516" t="n">
        <v>0</v>
      </c>
      <c r="N516" t="n">
        <v>0</v>
      </c>
      <c r="O516" t="n">
        <v>0</v>
      </c>
      <c r="P516" t="n">
        <v>0</v>
      </c>
      <c r="Q516" t="n">
        <v>0</v>
      </c>
      <c r="R516" s="2" t="inlineStr"/>
    </row>
    <row r="517" ht="15" customHeight="1">
      <c r="A517" t="inlineStr">
        <is>
          <t>A 21226-2023</t>
        </is>
      </c>
      <c r="B517" s="1" t="n">
        <v>45058</v>
      </c>
      <c r="C517" s="1" t="n">
        <v>45821</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21891-2023</t>
        </is>
      </c>
      <c r="B518" s="1" t="n">
        <v>45068</v>
      </c>
      <c r="C518" s="1" t="n">
        <v>45821</v>
      </c>
      <c r="D518" t="inlineStr">
        <is>
          <t>NORRBOTTENS LÄN</t>
        </is>
      </c>
      <c r="E518" t="inlineStr">
        <is>
          <t>LULEÅ</t>
        </is>
      </c>
      <c r="G518" t="n">
        <v>4.2</v>
      </c>
      <c r="H518" t="n">
        <v>0</v>
      </c>
      <c r="I518" t="n">
        <v>0</v>
      </c>
      <c r="J518" t="n">
        <v>0</v>
      </c>
      <c r="K518" t="n">
        <v>0</v>
      </c>
      <c r="L518" t="n">
        <v>0</v>
      </c>
      <c r="M518" t="n">
        <v>0</v>
      </c>
      <c r="N518" t="n">
        <v>0</v>
      </c>
      <c r="O518" t="n">
        <v>0</v>
      </c>
      <c r="P518" t="n">
        <v>0</v>
      </c>
      <c r="Q518" t="n">
        <v>0</v>
      </c>
      <c r="R518" s="2" t="inlineStr"/>
    </row>
    <row r="519" ht="15" customHeight="1">
      <c r="A519" t="inlineStr">
        <is>
          <t>A 22982-2023</t>
        </is>
      </c>
      <c r="B519" s="1" t="n">
        <v>45072</v>
      </c>
      <c r="C519" s="1" t="n">
        <v>45821</v>
      </c>
      <c r="D519" t="inlineStr">
        <is>
          <t>NORRBOTTENS LÄN</t>
        </is>
      </c>
      <c r="E519" t="inlineStr">
        <is>
          <t>LULEÅ</t>
        </is>
      </c>
      <c r="G519" t="n">
        <v>3.1</v>
      </c>
      <c r="H519" t="n">
        <v>0</v>
      </c>
      <c r="I519" t="n">
        <v>0</v>
      </c>
      <c r="J519" t="n">
        <v>0</v>
      </c>
      <c r="K519" t="n">
        <v>0</v>
      </c>
      <c r="L519" t="n">
        <v>0</v>
      </c>
      <c r="M519" t="n">
        <v>0</v>
      </c>
      <c r="N519" t="n">
        <v>0</v>
      </c>
      <c r="O519" t="n">
        <v>0</v>
      </c>
      <c r="P519" t="n">
        <v>0</v>
      </c>
      <c r="Q519" t="n">
        <v>0</v>
      </c>
      <c r="R519" s="2" t="inlineStr"/>
    </row>
    <row r="520" ht="15" customHeight="1">
      <c r="A520" t="inlineStr">
        <is>
          <t>A 23801-2023</t>
        </is>
      </c>
      <c r="B520" s="1" t="n">
        <v>45075</v>
      </c>
      <c r="C520" s="1" t="n">
        <v>45821</v>
      </c>
      <c r="D520" t="inlineStr">
        <is>
          <t>NORRBOTTENS LÄN</t>
        </is>
      </c>
      <c r="E520" t="inlineStr">
        <is>
          <t>LULEÅ</t>
        </is>
      </c>
      <c r="G520" t="n">
        <v>26.1</v>
      </c>
      <c r="H520" t="n">
        <v>0</v>
      </c>
      <c r="I520" t="n">
        <v>0</v>
      </c>
      <c r="J520" t="n">
        <v>0</v>
      </c>
      <c r="K520" t="n">
        <v>0</v>
      </c>
      <c r="L520" t="n">
        <v>0</v>
      </c>
      <c r="M520" t="n">
        <v>0</v>
      </c>
      <c r="N520" t="n">
        <v>0</v>
      </c>
      <c r="O520" t="n">
        <v>0</v>
      </c>
      <c r="P520" t="n">
        <v>0</v>
      </c>
      <c r="Q520" t="n">
        <v>0</v>
      </c>
      <c r="R520" s="2" t="inlineStr"/>
    </row>
    <row r="521" ht="15" customHeight="1">
      <c r="A521" t="inlineStr">
        <is>
          <t>A 23835-2023</t>
        </is>
      </c>
      <c r="B521" s="1" t="n">
        <v>45075</v>
      </c>
      <c r="C521" s="1" t="n">
        <v>45821</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23819-2023</t>
        </is>
      </c>
      <c r="B522" s="1" t="n">
        <v>45075</v>
      </c>
      <c r="C522" s="1" t="n">
        <v>45821</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23830-2023</t>
        </is>
      </c>
      <c r="B523" s="1" t="n">
        <v>45075</v>
      </c>
      <c r="C523" s="1" t="n">
        <v>45821</v>
      </c>
      <c r="D523" t="inlineStr">
        <is>
          <t>NORRBOTTENS LÄN</t>
        </is>
      </c>
      <c r="E523" t="inlineStr">
        <is>
          <t>LULEÅ</t>
        </is>
      </c>
      <c r="G523" t="n">
        <v>4.1</v>
      </c>
      <c r="H523" t="n">
        <v>0</v>
      </c>
      <c r="I523" t="n">
        <v>0</v>
      </c>
      <c r="J523" t="n">
        <v>0</v>
      </c>
      <c r="K523" t="n">
        <v>0</v>
      </c>
      <c r="L523" t="n">
        <v>0</v>
      </c>
      <c r="M523" t="n">
        <v>0</v>
      </c>
      <c r="N523" t="n">
        <v>0</v>
      </c>
      <c r="O523" t="n">
        <v>0</v>
      </c>
      <c r="P523" t="n">
        <v>0</v>
      </c>
      <c r="Q523" t="n">
        <v>0</v>
      </c>
      <c r="R523" s="2" t="inlineStr"/>
    </row>
    <row r="524" ht="15" customHeight="1">
      <c r="A524" t="inlineStr">
        <is>
          <t>A 23744-2023</t>
        </is>
      </c>
      <c r="B524" s="1" t="n">
        <v>45077</v>
      </c>
      <c r="C524" s="1" t="n">
        <v>45821</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23730-2023</t>
        </is>
      </c>
      <c r="B525" s="1" t="n">
        <v>45077</v>
      </c>
      <c r="C525" s="1" t="n">
        <v>45821</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24168-2023</t>
        </is>
      </c>
      <c r="B526" s="1" t="n">
        <v>45079</v>
      </c>
      <c r="C526" s="1" t="n">
        <v>45821</v>
      </c>
      <c r="D526" t="inlineStr">
        <is>
          <t>NORRBOTTENS LÄN</t>
        </is>
      </c>
      <c r="E526" t="inlineStr">
        <is>
          <t>LULEÅ</t>
        </is>
      </c>
      <c r="G526" t="n">
        <v>3.7</v>
      </c>
      <c r="H526" t="n">
        <v>0</v>
      </c>
      <c r="I526" t="n">
        <v>0</v>
      </c>
      <c r="J526" t="n">
        <v>0</v>
      </c>
      <c r="K526" t="n">
        <v>0</v>
      </c>
      <c r="L526" t="n">
        <v>0</v>
      </c>
      <c r="M526" t="n">
        <v>0</v>
      </c>
      <c r="N526" t="n">
        <v>0</v>
      </c>
      <c r="O526" t="n">
        <v>0</v>
      </c>
      <c r="P526" t="n">
        <v>0</v>
      </c>
      <c r="Q526" t="n">
        <v>0</v>
      </c>
      <c r="R526" s="2" t="inlineStr"/>
    </row>
    <row r="527" ht="15" customHeight="1">
      <c r="A527" t="inlineStr">
        <is>
          <t>A 24166-2023</t>
        </is>
      </c>
      <c r="B527" s="1" t="n">
        <v>45079</v>
      </c>
      <c r="C527" s="1" t="n">
        <v>45821</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25834-2023</t>
        </is>
      </c>
      <c r="B528" s="1" t="n">
        <v>45090</v>
      </c>
      <c r="C528" s="1" t="n">
        <v>45821</v>
      </c>
      <c r="D528" t="inlineStr">
        <is>
          <t>NORRBOTTENS LÄN</t>
        </is>
      </c>
      <c r="E528" t="inlineStr">
        <is>
          <t>LULEÅ</t>
        </is>
      </c>
      <c r="G528" t="n">
        <v>3.1</v>
      </c>
      <c r="H528" t="n">
        <v>0</v>
      </c>
      <c r="I528" t="n">
        <v>0</v>
      </c>
      <c r="J528" t="n">
        <v>0</v>
      </c>
      <c r="K528" t="n">
        <v>0</v>
      </c>
      <c r="L528" t="n">
        <v>0</v>
      </c>
      <c r="M528" t="n">
        <v>0</v>
      </c>
      <c r="N528" t="n">
        <v>0</v>
      </c>
      <c r="O528" t="n">
        <v>0</v>
      </c>
      <c r="P528" t="n">
        <v>0</v>
      </c>
      <c r="Q528" t="n">
        <v>0</v>
      </c>
      <c r="R528" s="2" t="inlineStr"/>
    </row>
    <row r="529" ht="15" customHeight="1">
      <c r="A529" t="inlineStr">
        <is>
          <t>A 26253-2023</t>
        </is>
      </c>
      <c r="B529" s="1" t="n">
        <v>45091</v>
      </c>
      <c r="C529" s="1" t="n">
        <v>45821</v>
      </c>
      <c r="D529" t="inlineStr">
        <is>
          <t>NORRBOTTENS LÄN</t>
        </is>
      </c>
      <c r="E529" t="inlineStr">
        <is>
          <t>LULEÅ</t>
        </is>
      </c>
      <c r="G529" t="n">
        <v>4.9</v>
      </c>
      <c r="H529" t="n">
        <v>0</v>
      </c>
      <c r="I529" t="n">
        <v>0</v>
      </c>
      <c r="J529" t="n">
        <v>0</v>
      </c>
      <c r="K529" t="n">
        <v>0</v>
      </c>
      <c r="L529" t="n">
        <v>0</v>
      </c>
      <c r="M529" t="n">
        <v>0</v>
      </c>
      <c r="N529" t="n">
        <v>0</v>
      </c>
      <c r="O529" t="n">
        <v>0</v>
      </c>
      <c r="P529" t="n">
        <v>0</v>
      </c>
      <c r="Q529" t="n">
        <v>0</v>
      </c>
      <c r="R529" s="2" t="inlineStr"/>
    </row>
    <row r="530" ht="15" customHeight="1">
      <c r="A530" t="inlineStr">
        <is>
          <t>A 27503-2023</t>
        </is>
      </c>
      <c r="B530" s="1" t="n">
        <v>45092</v>
      </c>
      <c r="C530" s="1" t="n">
        <v>45821</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28294-2023</t>
        </is>
      </c>
      <c r="B531" s="1" t="n">
        <v>45096</v>
      </c>
      <c r="C531" s="1" t="n">
        <v>45821</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27999-2023</t>
        </is>
      </c>
      <c r="B532" s="1" t="n">
        <v>45099</v>
      </c>
      <c r="C532" s="1" t="n">
        <v>45821</v>
      </c>
      <c r="D532" t="inlineStr">
        <is>
          <t>NORRBOTTENS LÄN</t>
        </is>
      </c>
      <c r="E532" t="inlineStr">
        <is>
          <t>LULEÅ</t>
        </is>
      </c>
      <c r="G532" t="n">
        <v>1</v>
      </c>
      <c r="H532" t="n">
        <v>0</v>
      </c>
      <c r="I532" t="n">
        <v>0</v>
      </c>
      <c r="J532" t="n">
        <v>0</v>
      </c>
      <c r="K532" t="n">
        <v>0</v>
      </c>
      <c r="L532" t="n">
        <v>0</v>
      </c>
      <c r="M532" t="n">
        <v>0</v>
      </c>
      <c r="N532" t="n">
        <v>0</v>
      </c>
      <c r="O532" t="n">
        <v>0</v>
      </c>
      <c r="P532" t="n">
        <v>0</v>
      </c>
      <c r="Q532" t="n">
        <v>0</v>
      </c>
      <c r="R532" s="2" t="inlineStr"/>
    </row>
    <row r="533" ht="15" customHeight="1">
      <c r="A533" t="inlineStr">
        <is>
          <t>A 29490-2023</t>
        </is>
      </c>
      <c r="B533" s="1" t="n">
        <v>45098</v>
      </c>
      <c r="C533" s="1" t="n">
        <v>45821</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29510-2023</t>
        </is>
      </c>
      <c r="B534" s="1" t="n">
        <v>45098</v>
      </c>
      <c r="C534" s="1" t="n">
        <v>45821</v>
      </c>
      <c r="D534" t="inlineStr">
        <is>
          <t>NORRBOTTENS LÄN</t>
        </is>
      </c>
      <c r="E534" t="inlineStr">
        <is>
          <t>LULEÅ</t>
        </is>
      </c>
      <c r="G534" t="n">
        <v>3.8</v>
      </c>
      <c r="H534" t="n">
        <v>0</v>
      </c>
      <c r="I534" t="n">
        <v>0</v>
      </c>
      <c r="J534" t="n">
        <v>0</v>
      </c>
      <c r="K534" t="n">
        <v>0</v>
      </c>
      <c r="L534" t="n">
        <v>0</v>
      </c>
      <c r="M534" t="n">
        <v>0</v>
      </c>
      <c r="N534" t="n">
        <v>0</v>
      </c>
      <c r="O534" t="n">
        <v>0</v>
      </c>
      <c r="P534" t="n">
        <v>0</v>
      </c>
      <c r="Q534" t="n">
        <v>0</v>
      </c>
      <c r="R534" s="2" t="inlineStr"/>
    </row>
    <row r="535" ht="15" customHeight="1">
      <c r="A535" t="inlineStr">
        <is>
          <t>A 29537-2023</t>
        </is>
      </c>
      <c r="B535" s="1" t="n">
        <v>45098</v>
      </c>
      <c r="C535" s="1" t="n">
        <v>45821</v>
      </c>
      <c r="D535" t="inlineStr">
        <is>
          <t>NORRBOTTENS LÄN</t>
        </is>
      </c>
      <c r="E535" t="inlineStr">
        <is>
          <t>LULEÅ</t>
        </is>
      </c>
      <c r="G535" t="n">
        <v>0.3</v>
      </c>
      <c r="H535" t="n">
        <v>0</v>
      </c>
      <c r="I535" t="n">
        <v>0</v>
      </c>
      <c r="J535" t="n">
        <v>0</v>
      </c>
      <c r="K535" t="n">
        <v>0</v>
      </c>
      <c r="L535" t="n">
        <v>0</v>
      </c>
      <c r="M535" t="n">
        <v>0</v>
      </c>
      <c r="N535" t="n">
        <v>0</v>
      </c>
      <c r="O535" t="n">
        <v>0</v>
      </c>
      <c r="P535" t="n">
        <v>0</v>
      </c>
      <c r="Q535" t="n">
        <v>0</v>
      </c>
      <c r="R535" s="2" t="inlineStr"/>
    </row>
    <row r="536" ht="15" customHeight="1">
      <c r="A536" t="inlineStr">
        <is>
          <t>A 31347-2023</t>
        </is>
      </c>
      <c r="B536" s="1" t="n">
        <v>45104</v>
      </c>
      <c r="C536" s="1" t="n">
        <v>45821</v>
      </c>
      <c r="D536" t="inlineStr">
        <is>
          <t>NORRBOTTENS LÄN</t>
        </is>
      </c>
      <c r="E536" t="inlineStr">
        <is>
          <t>LULEÅ</t>
        </is>
      </c>
      <c r="G536" t="n">
        <v>1.4</v>
      </c>
      <c r="H536" t="n">
        <v>0</v>
      </c>
      <c r="I536" t="n">
        <v>0</v>
      </c>
      <c r="J536" t="n">
        <v>0</v>
      </c>
      <c r="K536" t="n">
        <v>0</v>
      </c>
      <c r="L536" t="n">
        <v>0</v>
      </c>
      <c r="M536" t="n">
        <v>0</v>
      </c>
      <c r="N536" t="n">
        <v>0</v>
      </c>
      <c r="O536" t="n">
        <v>0</v>
      </c>
      <c r="P536" t="n">
        <v>0</v>
      </c>
      <c r="Q536" t="n">
        <v>0</v>
      </c>
      <c r="R536" s="2" t="inlineStr"/>
    </row>
    <row r="537" ht="15" customHeight="1">
      <c r="A537" t="inlineStr">
        <is>
          <t>A 31338-2023</t>
        </is>
      </c>
      <c r="B537" s="1" t="n">
        <v>45104</v>
      </c>
      <c r="C537" s="1" t="n">
        <v>45821</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29458-2023</t>
        </is>
      </c>
      <c r="B538" s="1" t="n">
        <v>45106</v>
      </c>
      <c r="C538" s="1" t="n">
        <v>45821</v>
      </c>
      <c r="D538" t="inlineStr">
        <is>
          <t>NORRBOTTENS LÄN</t>
        </is>
      </c>
      <c r="E538" t="inlineStr">
        <is>
          <t>LULEÅ</t>
        </is>
      </c>
      <c r="G538" t="n">
        <v>7.4</v>
      </c>
      <c r="H538" t="n">
        <v>0</v>
      </c>
      <c r="I538" t="n">
        <v>0</v>
      </c>
      <c r="J538" t="n">
        <v>0</v>
      </c>
      <c r="K538" t="n">
        <v>0</v>
      </c>
      <c r="L538" t="n">
        <v>0</v>
      </c>
      <c r="M538" t="n">
        <v>0</v>
      </c>
      <c r="N538" t="n">
        <v>0</v>
      </c>
      <c r="O538" t="n">
        <v>0</v>
      </c>
      <c r="P538" t="n">
        <v>0</v>
      </c>
      <c r="Q538" t="n">
        <v>0</v>
      </c>
      <c r="R538" s="2" t="inlineStr"/>
    </row>
    <row r="539" ht="15" customHeight="1">
      <c r="A539" t="inlineStr">
        <is>
          <t>A 29457-2023</t>
        </is>
      </c>
      <c r="B539" s="1" t="n">
        <v>45106</v>
      </c>
      <c r="C539" s="1" t="n">
        <v>45821</v>
      </c>
      <c r="D539" t="inlineStr">
        <is>
          <t>NORRBOTTENS LÄN</t>
        </is>
      </c>
      <c r="E539" t="inlineStr">
        <is>
          <t>LULEÅ</t>
        </is>
      </c>
      <c r="G539" t="n">
        <v>7</v>
      </c>
      <c r="H539" t="n">
        <v>0</v>
      </c>
      <c r="I539" t="n">
        <v>0</v>
      </c>
      <c r="J539" t="n">
        <v>0</v>
      </c>
      <c r="K539" t="n">
        <v>0</v>
      </c>
      <c r="L539" t="n">
        <v>0</v>
      </c>
      <c r="M539" t="n">
        <v>0</v>
      </c>
      <c r="N539" t="n">
        <v>0</v>
      </c>
      <c r="O539" t="n">
        <v>0</v>
      </c>
      <c r="P539" t="n">
        <v>0</v>
      </c>
      <c r="Q539" t="n">
        <v>0</v>
      </c>
      <c r="R539" s="2" t="inlineStr"/>
    </row>
    <row r="540" ht="15" customHeight="1">
      <c r="A540" t="inlineStr">
        <is>
          <t>A 30290-2023</t>
        </is>
      </c>
      <c r="B540" s="1" t="n">
        <v>45110</v>
      </c>
      <c r="C540" s="1" t="n">
        <v>45821</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30288-2023</t>
        </is>
      </c>
      <c r="B541" s="1" t="n">
        <v>45110</v>
      </c>
      <c r="C541" s="1" t="n">
        <v>45821</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30289-2023</t>
        </is>
      </c>
      <c r="B542" s="1" t="n">
        <v>45110</v>
      </c>
      <c r="C542" s="1" t="n">
        <v>45821</v>
      </c>
      <c r="D542" t="inlineStr">
        <is>
          <t>NORRBOTTENS LÄN</t>
        </is>
      </c>
      <c r="E542" t="inlineStr">
        <is>
          <t>LULEÅ</t>
        </is>
      </c>
      <c r="G542" t="n">
        <v>4.1</v>
      </c>
      <c r="H542" t="n">
        <v>0</v>
      </c>
      <c r="I542" t="n">
        <v>0</v>
      </c>
      <c r="J542" t="n">
        <v>0</v>
      </c>
      <c r="K542" t="n">
        <v>0</v>
      </c>
      <c r="L542" t="n">
        <v>0</v>
      </c>
      <c r="M542" t="n">
        <v>0</v>
      </c>
      <c r="N542" t="n">
        <v>0</v>
      </c>
      <c r="O542" t="n">
        <v>0</v>
      </c>
      <c r="P542" t="n">
        <v>0</v>
      </c>
      <c r="Q542" t="n">
        <v>0</v>
      </c>
      <c r="R542" s="2" t="inlineStr"/>
    </row>
    <row r="543" ht="15" customHeight="1">
      <c r="A543" t="inlineStr">
        <is>
          <t>A 30358-2023</t>
        </is>
      </c>
      <c r="B543" s="1" t="n">
        <v>45111</v>
      </c>
      <c r="C543" s="1" t="n">
        <v>45821</v>
      </c>
      <c r="D543" t="inlineStr">
        <is>
          <t>NORRBOTTENS LÄN</t>
        </is>
      </c>
      <c r="E543" t="inlineStr">
        <is>
          <t>LULEÅ</t>
        </is>
      </c>
      <c r="G543" t="n">
        <v>3.9</v>
      </c>
      <c r="H543" t="n">
        <v>0</v>
      </c>
      <c r="I543" t="n">
        <v>0</v>
      </c>
      <c r="J543" t="n">
        <v>0</v>
      </c>
      <c r="K543" t="n">
        <v>0</v>
      </c>
      <c r="L543" t="n">
        <v>0</v>
      </c>
      <c r="M543" t="n">
        <v>0</v>
      </c>
      <c r="N543" t="n">
        <v>0</v>
      </c>
      <c r="O543" t="n">
        <v>0</v>
      </c>
      <c r="P543" t="n">
        <v>0</v>
      </c>
      <c r="Q543" t="n">
        <v>0</v>
      </c>
      <c r="R543" s="2" t="inlineStr"/>
    </row>
    <row r="544" ht="15" customHeight="1">
      <c r="A544" t="inlineStr">
        <is>
          <t>A 30357-2023</t>
        </is>
      </c>
      <c r="B544" s="1" t="n">
        <v>45111</v>
      </c>
      <c r="C544" s="1" t="n">
        <v>45821</v>
      </c>
      <c r="D544" t="inlineStr">
        <is>
          <t>NORRBOTTENS LÄN</t>
        </is>
      </c>
      <c r="E544" t="inlineStr">
        <is>
          <t>LULEÅ</t>
        </is>
      </c>
      <c r="G544" t="n">
        <v>5.3</v>
      </c>
      <c r="H544" t="n">
        <v>0</v>
      </c>
      <c r="I544" t="n">
        <v>0</v>
      </c>
      <c r="J544" t="n">
        <v>0</v>
      </c>
      <c r="K544" t="n">
        <v>0</v>
      </c>
      <c r="L544" t="n">
        <v>0</v>
      </c>
      <c r="M544" t="n">
        <v>0</v>
      </c>
      <c r="N544" t="n">
        <v>0</v>
      </c>
      <c r="O544" t="n">
        <v>0</v>
      </c>
      <c r="P544" t="n">
        <v>0</v>
      </c>
      <c r="Q544" t="n">
        <v>0</v>
      </c>
      <c r="R544" s="2" t="inlineStr"/>
    </row>
    <row r="545" ht="15" customHeight="1">
      <c r="A545" t="inlineStr">
        <is>
          <t>A 30727-2023</t>
        </is>
      </c>
      <c r="B545" s="1" t="n">
        <v>45112</v>
      </c>
      <c r="C545" s="1" t="n">
        <v>45821</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31067-2023</t>
        </is>
      </c>
      <c r="B546" s="1" t="n">
        <v>45113</v>
      </c>
      <c r="C546" s="1" t="n">
        <v>45821</v>
      </c>
      <c r="D546" t="inlineStr">
        <is>
          <t>NORRBOTTENS LÄN</t>
        </is>
      </c>
      <c r="E546" t="inlineStr">
        <is>
          <t>LULEÅ</t>
        </is>
      </c>
      <c r="G546" t="n">
        <v>0.7</v>
      </c>
      <c r="H546" t="n">
        <v>0</v>
      </c>
      <c r="I546" t="n">
        <v>0</v>
      </c>
      <c r="J546" t="n">
        <v>0</v>
      </c>
      <c r="K546" t="n">
        <v>0</v>
      </c>
      <c r="L546" t="n">
        <v>0</v>
      </c>
      <c r="M546" t="n">
        <v>0</v>
      </c>
      <c r="N546" t="n">
        <v>0</v>
      </c>
      <c r="O546" t="n">
        <v>0</v>
      </c>
      <c r="P546" t="n">
        <v>0</v>
      </c>
      <c r="Q546" t="n">
        <v>0</v>
      </c>
      <c r="R546" s="2" t="inlineStr"/>
    </row>
    <row r="547" ht="15" customHeight="1">
      <c r="A547" t="inlineStr">
        <is>
          <t>A 31321-2023</t>
        </is>
      </c>
      <c r="B547" s="1" t="n">
        <v>45114</v>
      </c>
      <c r="C547" s="1" t="n">
        <v>45821</v>
      </c>
      <c r="D547" t="inlineStr">
        <is>
          <t>NORRBOTTENS LÄN</t>
        </is>
      </c>
      <c r="E547" t="inlineStr">
        <is>
          <t>LULEÅ</t>
        </is>
      </c>
      <c r="G547" t="n">
        <v>2.1</v>
      </c>
      <c r="H547" t="n">
        <v>0</v>
      </c>
      <c r="I547" t="n">
        <v>0</v>
      </c>
      <c r="J547" t="n">
        <v>0</v>
      </c>
      <c r="K547" t="n">
        <v>0</v>
      </c>
      <c r="L547" t="n">
        <v>0</v>
      </c>
      <c r="M547" t="n">
        <v>0</v>
      </c>
      <c r="N547" t="n">
        <v>0</v>
      </c>
      <c r="O547" t="n">
        <v>0</v>
      </c>
      <c r="P547" t="n">
        <v>0</v>
      </c>
      <c r="Q547" t="n">
        <v>0</v>
      </c>
      <c r="R547" s="2" t="inlineStr"/>
    </row>
    <row r="548" ht="15" customHeight="1">
      <c r="A548" t="inlineStr">
        <is>
          <t>A 33404-2023</t>
        </is>
      </c>
      <c r="B548" s="1" t="n">
        <v>45117</v>
      </c>
      <c r="C548" s="1" t="n">
        <v>45821</v>
      </c>
      <c r="D548" t="inlineStr">
        <is>
          <t>NORRBOTTENS LÄN</t>
        </is>
      </c>
      <c r="E548" t="inlineStr">
        <is>
          <t>LULEÅ</t>
        </is>
      </c>
      <c r="G548" t="n">
        <v>7.3</v>
      </c>
      <c r="H548" t="n">
        <v>0</v>
      </c>
      <c r="I548" t="n">
        <v>0</v>
      </c>
      <c r="J548" t="n">
        <v>0</v>
      </c>
      <c r="K548" t="n">
        <v>0</v>
      </c>
      <c r="L548" t="n">
        <v>0</v>
      </c>
      <c r="M548" t="n">
        <v>0</v>
      </c>
      <c r="N548" t="n">
        <v>0</v>
      </c>
      <c r="O548" t="n">
        <v>0</v>
      </c>
      <c r="P548" t="n">
        <v>0</v>
      </c>
      <c r="Q548" t="n">
        <v>0</v>
      </c>
      <c r="R548" s="2" t="inlineStr"/>
    </row>
    <row r="549" ht="15" customHeight="1">
      <c r="A549" t="inlineStr">
        <is>
          <t>A 34390-2023</t>
        </is>
      </c>
      <c r="B549" s="1" t="n">
        <v>45132</v>
      </c>
      <c r="C549" s="1" t="n">
        <v>45821</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33995-2023</t>
        </is>
      </c>
      <c r="B550" s="1" t="n">
        <v>45135</v>
      </c>
      <c r="C550" s="1" t="n">
        <v>45821</v>
      </c>
      <c r="D550" t="inlineStr">
        <is>
          <t>NORRBOTTENS LÄN</t>
        </is>
      </c>
      <c r="E550" t="inlineStr">
        <is>
          <t>LULEÅ</t>
        </is>
      </c>
      <c r="G550" t="n">
        <v>2.6</v>
      </c>
      <c r="H550" t="n">
        <v>0</v>
      </c>
      <c r="I550" t="n">
        <v>0</v>
      </c>
      <c r="J550" t="n">
        <v>0</v>
      </c>
      <c r="K550" t="n">
        <v>0</v>
      </c>
      <c r="L550" t="n">
        <v>0</v>
      </c>
      <c r="M550" t="n">
        <v>0</v>
      </c>
      <c r="N550" t="n">
        <v>0</v>
      </c>
      <c r="O550" t="n">
        <v>0</v>
      </c>
      <c r="P550" t="n">
        <v>0</v>
      </c>
      <c r="Q550" t="n">
        <v>0</v>
      </c>
      <c r="R550" s="2" t="inlineStr"/>
    </row>
    <row r="551" ht="15" customHeight="1">
      <c r="A551" t="inlineStr">
        <is>
          <t>A 34678-2023</t>
        </is>
      </c>
      <c r="B551" s="1" t="n">
        <v>45141</v>
      </c>
      <c r="C551" s="1" t="n">
        <v>45821</v>
      </c>
      <c r="D551" t="inlineStr">
        <is>
          <t>NORRBOTTENS LÄN</t>
        </is>
      </c>
      <c r="E551" t="inlineStr">
        <is>
          <t>LULEÅ</t>
        </is>
      </c>
      <c r="G551" t="n">
        <v>3.6</v>
      </c>
      <c r="H551" t="n">
        <v>0</v>
      </c>
      <c r="I551" t="n">
        <v>0</v>
      </c>
      <c r="J551" t="n">
        <v>0</v>
      </c>
      <c r="K551" t="n">
        <v>0</v>
      </c>
      <c r="L551" t="n">
        <v>0</v>
      </c>
      <c r="M551" t="n">
        <v>0</v>
      </c>
      <c r="N551" t="n">
        <v>0</v>
      </c>
      <c r="O551" t="n">
        <v>0</v>
      </c>
      <c r="P551" t="n">
        <v>0</v>
      </c>
      <c r="Q551" t="n">
        <v>0</v>
      </c>
      <c r="R551" s="2" t="inlineStr"/>
    </row>
    <row r="552" ht="15" customHeight="1">
      <c r="A552" t="inlineStr">
        <is>
          <t>A 34680-2023</t>
        </is>
      </c>
      <c r="B552" s="1" t="n">
        <v>45140</v>
      </c>
      <c r="C552" s="1" t="n">
        <v>45821</v>
      </c>
      <c r="D552" t="inlineStr">
        <is>
          <t>NORRBOTTENS LÄN</t>
        </is>
      </c>
      <c r="E552" t="inlineStr">
        <is>
          <t>LULEÅ</t>
        </is>
      </c>
      <c r="G552" t="n">
        <v>4.9</v>
      </c>
      <c r="H552" t="n">
        <v>0</v>
      </c>
      <c r="I552" t="n">
        <v>0</v>
      </c>
      <c r="J552" t="n">
        <v>0</v>
      </c>
      <c r="K552" t="n">
        <v>0</v>
      </c>
      <c r="L552" t="n">
        <v>0</v>
      </c>
      <c r="M552" t="n">
        <v>0</v>
      </c>
      <c r="N552" t="n">
        <v>0</v>
      </c>
      <c r="O552" t="n">
        <v>0</v>
      </c>
      <c r="P552" t="n">
        <v>0</v>
      </c>
      <c r="Q552" t="n">
        <v>0</v>
      </c>
      <c r="R552" s="2" t="inlineStr"/>
    </row>
    <row r="553" ht="15" customHeight="1">
      <c r="A553" t="inlineStr">
        <is>
          <t>A 34910-2023</t>
        </is>
      </c>
      <c r="B553" s="1" t="n">
        <v>45142</v>
      </c>
      <c r="C553" s="1" t="n">
        <v>45821</v>
      </c>
      <c r="D553" t="inlineStr">
        <is>
          <t>NORRBOTTENS LÄN</t>
        </is>
      </c>
      <c r="E553" t="inlineStr">
        <is>
          <t>LULEÅ</t>
        </is>
      </c>
      <c r="G553" t="n">
        <v>18.9</v>
      </c>
      <c r="H553" t="n">
        <v>0</v>
      </c>
      <c r="I553" t="n">
        <v>0</v>
      </c>
      <c r="J553" t="n">
        <v>0</v>
      </c>
      <c r="K553" t="n">
        <v>0</v>
      </c>
      <c r="L553" t="n">
        <v>0</v>
      </c>
      <c r="M553" t="n">
        <v>0</v>
      </c>
      <c r="N553" t="n">
        <v>0</v>
      </c>
      <c r="O553" t="n">
        <v>0</v>
      </c>
      <c r="P553" t="n">
        <v>0</v>
      </c>
      <c r="Q553" t="n">
        <v>0</v>
      </c>
      <c r="R553" s="2" t="inlineStr"/>
    </row>
    <row r="554" ht="15" customHeight="1">
      <c r="A554" t="inlineStr">
        <is>
          <t>A 34946-2023</t>
        </is>
      </c>
      <c r="B554" s="1" t="n">
        <v>45142</v>
      </c>
      <c r="C554" s="1" t="n">
        <v>45821</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34943-2023</t>
        </is>
      </c>
      <c r="B555" s="1" t="n">
        <v>45142</v>
      </c>
      <c r="C555" s="1" t="n">
        <v>45821</v>
      </c>
      <c r="D555" t="inlineStr">
        <is>
          <t>NORRBOTTENS LÄN</t>
        </is>
      </c>
      <c r="E555" t="inlineStr">
        <is>
          <t>LULEÅ</t>
        </is>
      </c>
      <c r="G555" t="n">
        <v>1.6</v>
      </c>
      <c r="H555" t="n">
        <v>0</v>
      </c>
      <c r="I555" t="n">
        <v>0</v>
      </c>
      <c r="J555" t="n">
        <v>0</v>
      </c>
      <c r="K555" t="n">
        <v>0</v>
      </c>
      <c r="L555" t="n">
        <v>0</v>
      </c>
      <c r="M555" t="n">
        <v>0</v>
      </c>
      <c r="N555" t="n">
        <v>0</v>
      </c>
      <c r="O555" t="n">
        <v>0</v>
      </c>
      <c r="P555" t="n">
        <v>0</v>
      </c>
      <c r="Q555" t="n">
        <v>0</v>
      </c>
      <c r="R555" s="2" t="inlineStr"/>
    </row>
    <row r="556" ht="15" customHeight="1">
      <c r="A556" t="inlineStr">
        <is>
          <t>A 35090-2023</t>
        </is>
      </c>
      <c r="B556" s="1" t="n">
        <v>45145</v>
      </c>
      <c r="C556" s="1" t="n">
        <v>45821</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36525-2023</t>
        </is>
      </c>
      <c r="B557" s="1" t="n">
        <v>45153</v>
      </c>
      <c r="C557" s="1" t="n">
        <v>45821</v>
      </c>
      <c r="D557" t="inlineStr">
        <is>
          <t>NORRBOTTENS LÄN</t>
        </is>
      </c>
      <c r="E557" t="inlineStr">
        <is>
          <t>LULEÅ</t>
        </is>
      </c>
      <c r="G557" t="n">
        <v>11.9</v>
      </c>
      <c r="H557" t="n">
        <v>0</v>
      </c>
      <c r="I557" t="n">
        <v>0</v>
      </c>
      <c r="J557" t="n">
        <v>0</v>
      </c>
      <c r="K557" t="n">
        <v>0</v>
      </c>
      <c r="L557" t="n">
        <v>0</v>
      </c>
      <c r="M557" t="n">
        <v>0</v>
      </c>
      <c r="N557" t="n">
        <v>0</v>
      </c>
      <c r="O557" t="n">
        <v>0</v>
      </c>
      <c r="P557" t="n">
        <v>0</v>
      </c>
      <c r="Q557" t="n">
        <v>0</v>
      </c>
      <c r="R557" s="2" t="inlineStr"/>
    </row>
    <row r="558" ht="15" customHeight="1">
      <c r="A558" t="inlineStr">
        <is>
          <t>A 36784-2023</t>
        </is>
      </c>
      <c r="B558" s="1" t="n">
        <v>45153</v>
      </c>
      <c r="C558" s="1" t="n">
        <v>45821</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36791-2023</t>
        </is>
      </c>
      <c r="B559" s="1" t="n">
        <v>45153</v>
      </c>
      <c r="C559" s="1" t="n">
        <v>45821</v>
      </c>
      <c r="D559" t="inlineStr">
        <is>
          <t>NORRBOTTENS LÄN</t>
        </is>
      </c>
      <c r="E559" t="inlineStr">
        <is>
          <t>LULEÅ</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37070-2023</t>
        </is>
      </c>
      <c r="B560" s="1" t="n">
        <v>45155</v>
      </c>
      <c r="C560" s="1" t="n">
        <v>45821</v>
      </c>
      <c r="D560" t="inlineStr">
        <is>
          <t>NORRBOTTENS LÄN</t>
        </is>
      </c>
      <c r="E560" t="inlineStr">
        <is>
          <t>LULEÅ</t>
        </is>
      </c>
      <c r="G560" t="n">
        <v>3.1</v>
      </c>
      <c r="H560" t="n">
        <v>0</v>
      </c>
      <c r="I560" t="n">
        <v>0</v>
      </c>
      <c r="J560" t="n">
        <v>0</v>
      </c>
      <c r="K560" t="n">
        <v>0</v>
      </c>
      <c r="L560" t="n">
        <v>0</v>
      </c>
      <c r="M560" t="n">
        <v>0</v>
      </c>
      <c r="N560" t="n">
        <v>0</v>
      </c>
      <c r="O560" t="n">
        <v>0</v>
      </c>
      <c r="P560" t="n">
        <v>0</v>
      </c>
      <c r="Q560" t="n">
        <v>0</v>
      </c>
      <c r="R560" s="2" t="inlineStr"/>
    </row>
    <row r="561" ht="15" customHeight="1">
      <c r="A561" t="inlineStr">
        <is>
          <t>A 38547-2023</t>
        </is>
      </c>
      <c r="B561" s="1" t="n">
        <v>45160</v>
      </c>
      <c r="C561" s="1" t="n">
        <v>45821</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38551-2023</t>
        </is>
      </c>
      <c r="B562" s="1" t="n">
        <v>45160</v>
      </c>
      <c r="C562" s="1" t="n">
        <v>45821</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38882-2023</t>
        </is>
      </c>
      <c r="B563" s="1" t="n">
        <v>45161</v>
      </c>
      <c r="C563" s="1" t="n">
        <v>45821</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38220-2023</t>
        </is>
      </c>
      <c r="B564" s="1" t="n">
        <v>45161</v>
      </c>
      <c r="C564" s="1" t="n">
        <v>45821</v>
      </c>
      <c r="D564" t="inlineStr">
        <is>
          <t>NORRBOTTENS LÄN</t>
        </is>
      </c>
      <c r="E564" t="inlineStr">
        <is>
          <t>LULEÅ</t>
        </is>
      </c>
      <c r="G564" t="n">
        <v>20.2</v>
      </c>
      <c r="H564" t="n">
        <v>0</v>
      </c>
      <c r="I564" t="n">
        <v>0</v>
      </c>
      <c r="J564" t="n">
        <v>0</v>
      </c>
      <c r="K564" t="n">
        <v>0</v>
      </c>
      <c r="L564" t="n">
        <v>0</v>
      </c>
      <c r="M564" t="n">
        <v>0</v>
      </c>
      <c r="N564" t="n">
        <v>0</v>
      </c>
      <c r="O564" t="n">
        <v>0</v>
      </c>
      <c r="P564" t="n">
        <v>0</v>
      </c>
      <c r="Q564" t="n">
        <v>0</v>
      </c>
      <c r="R564" s="2" t="inlineStr"/>
    </row>
    <row r="565" ht="15" customHeight="1">
      <c r="A565" t="inlineStr">
        <is>
          <t>A 38358-2023</t>
        </is>
      </c>
      <c r="B565" s="1" t="n">
        <v>45162</v>
      </c>
      <c r="C565" s="1" t="n">
        <v>45821</v>
      </c>
      <c r="D565" t="inlineStr">
        <is>
          <t>NORRBOTTENS LÄN</t>
        </is>
      </c>
      <c r="E565" t="inlineStr">
        <is>
          <t>LULEÅ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38885-2023</t>
        </is>
      </c>
      <c r="B566" s="1" t="n">
        <v>45161</v>
      </c>
      <c r="C566" s="1" t="n">
        <v>45821</v>
      </c>
      <c r="D566" t="inlineStr">
        <is>
          <t>NORRBOTTENS LÄN</t>
        </is>
      </c>
      <c r="E566" t="inlineStr">
        <is>
          <t>LULEÅ</t>
        </is>
      </c>
      <c r="G566" t="n">
        <v>0.4</v>
      </c>
      <c r="H566" t="n">
        <v>0</v>
      </c>
      <c r="I566" t="n">
        <v>0</v>
      </c>
      <c r="J566" t="n">
        <v>0</v>
      </c>
      <c r="K566" t="n">
        <v>0</v>
      </c>
      <c r="L566" t="n">
        <v>0</v>
      </c>
      <c r="M566" t="n">
        <v>0</v>
      </c>
      <c r="N566" t="n">
        <v>0</v>
      </c>
      <c r="O566" t="n">
        <v>0</v>
      </c>
      <c r="P566" t="n">
        <v>0</v>
      </c>
      <c r="Q566" t="n">
        <v>0</v>
      </c>
      <c r="R566" s="2" t="inlineStr"/>
    </row>
    <row r="567" ht="15" customHeight="1">
      <c r="A567" t="inlineStr">
        <is>
          <t>A 39315-2023</t>
        </is>
      </c>
      <c r="B567" s="1" t="n">
        <v>45162</v>
      </c>
      <c r="C567" s="1" t="n">
        <v>45821</v>
      </c>
      <c r="D567" t="inlineStr">
        <is>
          <t>NORRBOTTENS LÄN</t>
        </is>
      </c>
      <c r="E567" t="inlineStr">
        <is>
          <t>LULEÅ</t>
        </is>
      </c>
      <c r="G567" t="n">
        <v>4</v>
      </c>
      <c r="H567" t="n">
        <v>0</v>
      </c>
      <c r="I567" t="n">
        <v>0</v>
      </c>
      <c r="J567" t="n">
        <v>0</v>
      </c>
      <c r="K567" t="n">
        <v>0</v>
      </c>
      <c r="L567" t="n">
        <v>0</v>
      </c>
      <c r="M567" t="n">
        <v>0</v>
      </c>
      <c r="N567" t="n">
        <v>0</v>
      </c>
      <c r="O567" t="n">
        <v>0</v>
      </c>
      <c r="P567" t="n">
        <v>0</v>
      </c>
      <c r="Q567" t="n">
        <v>0</v>
      </c>
      <c r="R567" s="2" t="inlineStr"/>
    </row>
    <row r="568" ht="15" customHeight="1">
      <c r="A568" t="inlineStr">
        <is>
          <t>A 38865-2023</t>
        </is>
      </c>
      <c r="B568" s="1" t="n">
        <v>45163</v>
      </c>
      <c r="C568" s="1" t="n">
        <v>45821</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39196-2023</t>
        </is>
      </c>
      <c r="B569" s="1" t="n">
        <v>45166</v>
      </c>
      <c r="C569" s="1" t="n">
        <v>45821</v>
      </c>
      <c r="D569" t="inlineStr">
        <is>
          <t>NORRBOTTENS LÄN</t>
        </is>
      </c>
      <c r="E569" t="inlineStr">
        <is>
          <t>LULEÅ</t>
        </is>
      </c>
      <c r="G569" t="n">
        <v>4.5</v>
      </c>
      <c r="H569" t="n">
        <v>0</v>
      </c>
      <c r="I569" t="n">
        <v>0</v>
      </c>
      <c r="J569" t="n">
        <v>0</v>
      </c>
      <c r="K569" t="n">
        <v>0</v>
      </c>
      <c r="L569" t="n">
        <v>0</v>
      </c>
      <c r="M569" t="n">
        <v>0</v>
      </c>
      <c r="N569" t="n">
        <v>0</v>
      </c>
      <c r="O569" t="n">
        <v>0</v>
      </c>
      <c r="P569" t="n">
        <v>0</v>
      </c>
      <c r="Q569" t="n">
        <v>0</v>
      </c>
      <c r="R569" s="2" t="inlineStr"/>
    </row>
    <row r="570" ht="15" customHeight="1">
      <c r="A570" t="inlineStr">
        <is>
          <t>A 40673-2023</t>
        </is>
      </c>
      <c r="B570" s="1" t="n">
        <v>45169</v>
      </c>
      <c r="C570" s="1" t="n">
        <v>45821</v>
      </c>
      <c r="D570" t="inlineStr">
        <is>
          <t>NORRBOTTENS LÄN</t>
        </is>
      </c>
      <c r="E570" t="inlineStr">
        <is>
          <t>LULEÅ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40496-2023</t>
        </is>
      </c>
      <c r="B571" s="1" t="n">
        <v>45170</v>
      </c>
      <c r="C571" s="1" t="n">
        <v>45821</v>
      </c>
      <c r="D571" t="inlineStr">
        <is>
          <t>NORRBOTTENS LÄN</t>
        </is>
      </c>
      <c r="E571" t="inlineStr">
        <is>
          <t>LULEÅ</t>
        </is>
      </c>
      <c r="G571" t="n">
        <v>0.8</v>
      </c>
      <c r="H571" t="n">
        <v>0</v>
      </c>
      <c r="I571" t="n">
        <v>0</v>
      </c>
      <c r="J571" t="n">
        <v>0</v>
      </c>
      <c r="K571" t="n">
        <v>0</v>
      </c>
      <c r="L571" t="n">
        <v>0</v>
      </c>
      <c r="M571" t="n">
        <v>0</v>
      </c>
      <c r="N571" t="n">
        <v>0</v>
      </c>
      <c r="O571" t="n">
        <v>0</v>
      </c>
      <c r="P571" t="n">
        <v>0</v>
      </c>
      <c r="Q571" t="n">
        <v>0</v>
      </c>
      <c r="R571" s="2" t="inlineStr"/>
    </row>
    <row r="572" ht="15" customHeight="1">
      <c r="A572" t="inlineStr">
        <is>
          <t>A 40504-2023</t>
        </is>
      </c>
      <c r="B572" s="1" t="n">
        <v>45170</v>
      </c>
      <c r="C572" s="1" t="n">
        <v>45821</v>
      </c>
      <c r="D572" t="inlineStr">
        <is>
          <t>NORRBOTTENS LÄN</t>
        </is>
      </c>
      <c r="E572" t="inlineStr">
        <is>
          <t>LULEÅ</t>
        </is>
      </c>
      <c r="G572" t="n">
        <v>3.9</v>
      </c>
      <c r="H572" t="n">
        <v>0</v>
      </c>
      <c r="I572" t="n">
        <v>0</v>
      </c>
      <c r="J572" t="n">
        <v>0</v>
      </c>
      <c r="K572" t="n">
        <v>0</v>
      </c>
      <c r="L572" t="n">
        <v>0</v>
      </c>
      <c r="M572" t="n">
        <v>0</v>
      </c>
      <c r="N572" t="n">
        <v>0</v>
      </c>
      <c r="O572" t="n">
        <v>0</v>
      </c>
      <c r="P572" t="n">
        <v>0</v>
      </c>
      <c r="Q572" t="n">
        <v>0</v>
      </c>
      <c r="R572" s="2" t="inlineStr"/>
    </row>
    <row r="573" ht="15" customHeight="1">
      <c r="A573" t="inlineStr">
        <is>
          <t>A 40503-2023</t>
        </is>
      </c>
      <c r="B573" s="1" t="n">
        <v>45170</v>
      </c>
      <c r="C573" s="1" t="n">
        <v>45821</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40501-2023</t>
        </is>
      </c>
      <c r="B574" s="1" t="n">
        <v>45170</v>
      </c>
      <c r="C574" s="1" t="n">
        <v>45821</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41129-2023</t>
        </is>
      </c>
      <c r="B575" s="1" t="n">
        <v>45174</v>
      </c>
      <c r="C575" s="1" t="n">
        <v>45821</v>
      </c>
      <c r="D575" t="inlineStr">
        <is>
          <t>NORRBOTTENS LÄN</t>
        </is>
      </c>
      <c r="E575" t="inlineStr">
        <is>
          <t>LULEÅ</t>
        </is>
      </c>
      <c r="G575" t="n">
        <v>14.1</v>
      </c>
      <c r="H575" t="n">
        <v>0</v>
      </c>
      <c r="I575" t="n">
        <v>0</v>
      </c>
      <c r="J575" t="n">
        <v>0</v>
      </c>
      <c r="K575" t="n">
        <v>0</v>
      </c>
      <c r="L575" t="n">
        <v>0</v>
      </c>
      <c r="M575" t="n">
        <v>0</v>
      </c>
      <c r="N575" t="n">
        <v>0</v>
      </c>
      <c r="O575" t="n">
        <v>0</v>
      </c>
      <c r="P575" t="n">
        <v>0</v>
      </c>
      <c r="Q575" t="n">
        <v>0</v>
      </c>
      <c r="R575" s="2" t="inlineStr"/>
    </row>
    <row r="576" ht="15" customHeight="1">
      <c r="A576" t="inlineStr">
        <is>
          <t>A 41128-2023</t>
        </is>
      </c>
      <c r="B576" s="1" t="n">
        <v>45174</v>
      </c>
      <c r="C576" s="1" t="n">
        <v>45821</v>
      </c>
      <c r="D576" t="inlineStr">
        <is>
          <t>NORRBOTTENS LÄN</t>
        </is>
      </c>
      <c r="E576" t="inlineStr">
        <is>
          <t>LULEÅ</t>
        </is>
      </c>
      <c r="G576" t="n">
        <v>3.3</v>
      </c>
      <c r="H576" t="n">
        <v>0</v>
      </c>
      <c r="I576" t="n">
        <v>0</v>
      </c>
      <c r="J576" t="n">
        <v>0</v>
      </c>
      <c r="K576" t="n">
        <v>0</v>
      </c>
      <c r="L576" t="n">
        <v>0</v>
      </c>
      <c r="M576" t="n">
        <v>0</v>
      </c>
      <c r="N576" t="n">
        <v>0</v>
      </c>
      <c r="O576" t="n">
        <v>0</v>
      </c>
      <c r="P576" t="n">
        <v>0</v>
      </c>
      <c r="Q576" t="n">
        <v>0</v>
      </c>
      <c r="R576" s="2" t="inlineStr"/>
    </row>
    <row r="577" ht="15" customHeight="1">
      <c r="A577" t="inlineStr">
        <is>
          <t>A 41140-2023</t>
        </is>
      </c>
      <c r="B577" s="1" t="n">
        <v>45173</v>
      </c>
      <c r="C577" s="1" t="n">
        <v>45821</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43048-2023</t>
        </is>
      </c>
      <c r="B578" s="1" t="n">
        <v>45176</v>
      </c>
      <c r="C578" s="1" t="n">
        <v>45821</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42946-2023</t>
        </is>
      </c>
      <c r="B579" s="1" t="n">
        <v>45177</v>
      </c>
      <c r="C579" s="1" t="n">
        <v>45821</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42571-2023</t>
        </is>
      </c>
      <c r="B580" s="1" t="n">
        <v>45181</v>
      </c>
      <c r="C580" s="1" t="n">
        <v>45821</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42575-2023</t>
        </is>
      </c>
      <c r="B581" s="1" t="n">
        <v>45181</v>
      </c>
      <c r="C581" s="1" t="n">
        <v>45821</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43270-2023</t>
        </is>
      </c>
      <c r="B582" s="1" t="n">
        <v>45183</v>
      </c>
      <c r="C582" s="1" t="n">
        <v>45821</v>
      </c>
      <c r="D582" t="inlineStr">
        <is>
          <t>NORRBOTTENS LÄN</t>
        </is>
      </c>
      <c r="E582" t="inlineStr">
        <is>
          <t>LULEÅ</t>
        </is>
      </c>
      <c r="G582" t="n">
        <v>6</v>
      </c>
      <c r="H582" t="n">
        <v>0</v>
      </c>
      <c r="I582" t="n">
        <v>0</v>
      </c>
      <c r="J582" t="n">
        <v>0</v>
      </c>
      <c r="K582" t="n">
        <v>0</v>
      </c>
      <c r="L582" t="n">
        <v>0</v>
      </c>
      <c r="M582" t="n">
        <v>0</v>
      </c>
      <c r="N582" t="n">
        <v>0</v>
      </c>
      <c r="O582" t="n">
        <v>0</v>
      </c>
      <c r="P582" t="n">
        <v>0</v>
      </c>
      <c r="Q582" t="n">
        <v>0</v>
      </c>
      <c r="R582" s="2" t="inlineStr"/>
    </row>
    <row r="583" ht="15" customHeight="1">
      <c r="A583" t="inlineStr">
        <is>
          <t>A 44526-2023</t>
        </is>
      </c>
      <c r="B583" s="1" t="n">
        <v>45183</v>
      </c>
      <c r="C583" s="1" t="n">
        <v>45821</v>
      </c>
      <c r="D583" t="inlineStr">
        <is>
          <t>NORRBOTTENS LÄN</t>
        </is>
      </c>
      <c r="E583" t="inlineStr">
        <is>
          <t>LULEÅ</t>
        </is>
      </c>
      <c r="G583" t="n">
        <v>3.9</v>
      </c>
      <c r="H583" t="n">
        <v>0</v>
      </c>
      <c r="I583" t="n">
        <v>0</v>
      </c>
      <c r="J583" t="n">
        <v>0</v>
      </c>
      <c r="K583" t="n">
        <v>0</v>
      </c>
      <c r="L583" t="n">
        <v>0</v>
      </c>
      <c r="M583" t="n">
        <v>0</v>
      </c>
      <c r="N583" t="n">
        <v>0</v>
      </c>
      <c r="O583" t="n">
        <v>0</v>
      </c>
      <c r="P583" t="n">
        <v>0</v>
      </c>
      <c r="Q583" t="n">
        <v>0</v>
      </c>
      <c r="R583" s="2" t="inlineStr"/>
    </row>
    <row r="584" ht="15" customHeight="1">
      <c r="A584" t="inlineStr">
        <is>
          <t>A 44531-2023</t>
        </is>
      </c>
      <c r="B584" s="1" t="n">
        <v>45183</v>
      </c>
      <c r="C584" s="1" t="n">
        <v>45821</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44516-2023</t>
        </is>
      </c>
      <c r="B585" s="1" t="n">
        <v>45183</v>
      </c>
      <c r="C585" s="1" t="n">
        <v>45821</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43765-2023</t>
        </is>
      </c>
      <c r="B586" s="1" t="n">
        <v>45187</v>
      </c>
      <c r="C586" s="1" t="n">
        <v>45821</v>
      </c>
      <c r="D586" t="inlineStr">
        <is>
          <t>NORRBOTTENS LÄN</t>
        </is>
      </c>
      <c r="E586" t="inlineStr">
        <is>
          <t>LULEÅ</t>
        </is>
      </c>
      <c r="G586" t="n">
        <v>13.7</v>
      </c>
      <c r="H586" t="n">
        <v>0</v>
      </c>
      <c r="I586" t="n">
        <v>0</v>
      </c>
      <c r="J586" t="n">
        <v>0</v>
      </c>
      <c r="K586" t="n">
        <v>0</v>
      </c>
      <c r="L586" t="n">
        <v>0</v>
      </c>
      <c r="M586" t="n">
        <v>0</v>
      </c>
      <c r="N586" t="n">
        <v>0</v>
      </c>
      <c r="O586" t="n">
        <v>0</v>
      </c>
      <c r="P586" t="n">
        <v>0</v>
      </c>
      <c r="Q586" t="n">
        <v>0</v>
      </c>
      <c r="R586" s="2" t="inlineStr"/>
    </row>
    <row r="587" ht="15" customHeight="1">
      <c r="A587" t="inlineStr">
        <is>
          <t>A 43861-2023</t>
        </is>
      </c>
      <c r="B587" s="1" t="n">
        <v>45187</v>
      </c>
      <c r="C587" s="1" t="n">
        <v>45821</v>
      </c>
      <c r="D587" t="inlineStr">
        <is>
          <t>NORRBOTTENS LÄN</t>
        </is>
      </c>
      <c r="E587" t="inlineStr">
        <is>
          <t>LULEÅ</t>
        </is>
      </c>
      <c r="G587" t="n">
        <v>5.1</v>
      </c>
      <c r="H587" t="n">
        <v>0</v>
      </c>
      <c r="I587" t="n">
        <v>0</v>
      </c>
      <c r="J587" t="n">
        <v>0</v>
      </c>
      <c r="K587" t="n">
        <v>0</v>
      </c>
      <c r="L587" t="n">
        <v>0</v>
      </c>
      <c r="M587" t="n">
        <v>0</v>
      </c>
      <c r="N587" t="n">
        <v>0</v>
      </c>
      <c r="O587" t="n">
        <v>0</v>
      </c>
      <c r="P587" t="n">
        <v>0</v>
      </c>
      <c r="Q587" t="n">
        <v>0</v>
      </c>
      <c r="R587" s="2" t="inlineStr"/>
    </row>
    <row r="588" ht="15" customHeight="1">
      <c r="A588" t="inlineStr">
        <is>
          <t>A 44377-2023</t>
        </is>
      </c>
      <c r="B588" s="1" t="n">
        <v>45188</v>
      </c>
      <c r="C588" s="1" t="n">
        <v>45821</v>
      </c>
      <c r="D588" t="inlineStr">
        <is>
          <t>NORRBOTTENS LÄN</t>
        </is>
      </c>
      <c r="E588" t="inlineStr">
        <is>
          <t>LULEÅ</t>
        </is>
      </c>
      <c r="G588" t="n">
        <v>5.7</v>
      </c>
      <c r="H588" t="n">
        <v>0</v>
      </c>
      <c r="I588" t="n">
        <v>0</v>
      </c>
      <c r="J588" t="n">
        <v>0</v>
      </c>
      <c r="K588" t="n">
        <v>0</v>
      </c>
      <c r="L588" t="n">
        <v>0</v>
      </c>
      <c r="M588" t="n">
        <v>0</v>
      </c>
      <c r="N588" t="n">
        <v>0</v>
      </c>
      <c r="O588" t="n">
        <v>0</v>
      </c>
      <c r="P588" t="n">
        <v>0</v>
      </c>
      <c r="Q588" t="n">
        <v>0</v>
      </c>
      <c r="R588" s="2" t="inlineStr"/>
    </row>
    <row r="589" ht="15" customHeight="1">
      <c r="A589" t="inlineStr">
        <is>
          <t>A 44758-2023</t>
        </is>
      </c>
      <c r="B589" s="1" t="n">
        <v>45190</v>
      </c>
      <c r="C589" s="1" t="n">
        <v>45821</v>
      </c>
      <c r="D589" t="inlineStr">
        <is>
          <t>NORRBOTTENS LÄN</t>
        </is>
      </c>
      <c r="E589" t="inlineStr">
        <is>
          <t>LULEÅ</t>
        </is>
      </c>
      <c r="G589" t="n">
        <v>10.9</v>
      </c>
      <c r="H589" t="n">
        <v>0</v>
      </c>
      <c r="I589" t="n">
        <v>0</v>
      </c>
      <c r="J589" t="n">
        <v>0</v>
      </c>
      <c r="K589" t="n">
        <v>0</v>
      </c>
      <c r="L589" t="n">
        <v>0</v>
      </c>
      <c r="M589" t="n">
        <v>0</v>
      </c>
      <c r="N589" t="n">
        <v>0</v>
      </c>
      <c r="O589" t="n">
        <v>0</v>
      </c>
      <c r="P589" t="n">
        <v>0</v>
      </c>
      <c r="Q589" t="n">
        <v>0</v>
      </c>
      <c r="R589" s="2" t="inlineStr"/>
    </row>
    <row r="590" ht="15" customHeight="1">
      <c r="A590" t="inlineStr">
        <is>
          <t>A 46711-2023</t>
        </is>
      </c>
      <c r="B590" s="1" t="n">
        <v>45194</v>
      </c>
      <c r="C590" s="1" t="n">
        <v>45821</v>
      </c>
      <c r="D590" t="inlineStr">
        <is>
          <t>NORRBOTTENS LÄN</t>
        </is>
      </c>
      <c r="E590" t="inlineStr">
        <is>
          <t>LULEÅ</t>
        </is>
      </c>
      <c r="G590" t="n">
        <v>10.7</v>
      </c>
      <c r="H590" t="n">
        <v>0</v>
      </c>
      <c r="I590" t="n">
        <v>0</v>
      </c>
      <c r="J590" t="n">
        <v>0</v>
      </c>
      <c r="K590" t="n">
        <v>0</v>
      </c>
      <c r="L590" t="n">
        <v>0</v>
      </c>
      <c r="M590" t="n">
        <v>0</v>
      </c>
      <c r="N590" t="n">
        <v>0</v>
      </c>
      <c r="O590" t="n">
        <v>0</v>
      </c>
      <c r="P590" t="n">
        <v>0</v>
      </c>
      <c r="Q590" t="n">
        <v>0</v>
      </c>
      <c r="R590" s="2" t="inlineStr"/>
    </row>
    <row r="591" ht="15" customHeight="1">
      <c r="A591" t="inlineStr">
        <is>
          <t>A 46587-2023</t>
        </is>
      </c>
      <c r="B591" s="1" t="n">
        <v>45194</v>
      </c>
      <c r="C591" s="1" t="n">
        <v>45821</v>
      </c>
      <c r="D591" t="inlineStr">
        <is>
          <t>NORRBOTTENS LÄN</t>
        </is>
      </c>
      <c r="E591" t="inlineStr">
        <is>
          <t>LULEÅ</t>
        </is>
      </c>
      <c r="G591" t="n">
        <v>15.3</v>
      </c>
      <c r="H591" t="n">
        <v>0</v>
      </c>
      <c r="I591" t="n">
        <v>0</v>
      </c>
      <c r="J591" t="n">
        <v>0</v>
      </c>
      <c r="K591" t="n">
        <v>0</v>
      </c>
      <c r="L591" t="n">
        <v>0</v>
      </c>
      <c r="M591" t="n">
        <v>0</v>
      </c>
      <c r="N591" t="n">
        <v>0</v>
      </c>
      <c r="O591" t="n">
        <v>0</v>
      </c>
      <c r="P591" t="n">
        <v>0</v>
      </c>
      <c r="Q591" t="n">
        <v>0</v>
      </c>
      <c r="R591" s="2" t="inlineStr"/>
    </row>
    <row r="592" ht="15" customHeight="1">
      <c r="A592" t="inlineStr">
        <is>
          <t>A 46720-2023</t>
        </is>
      </c>
      <c r="B592" s="1" t="n">
        <v>45194</v>
      </c>
      <c r="C592" s="1" t="n">
        <v>45821</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c r="U592">
        <f>HYPERLINK("https://klasma.github.io/Logging_2580/knärot/A 46720-2023 karta knärot.png", "A 46720-2023")</f>
        <v/>
      </c>
      <c r="V592">
        <f>HYPERLINK("https://klasma.github.io/Logging_2580/klagomål/A 46720-2023 FSC-klagomål.docx", "A 46720-2023")</f>
        <v/>
      </c>
      <c r="W592">
        <f>HYPERLINK("https://klasma.github.io/Logging_2580/klagomålsmail/A 46720-2023 FSC-klagomål mail.docx", "A 46720-2023")</f>
        <v/>
      </c>
      <c r="X592">
        <f>HYPERLINK("https://klasma.github.io/Logging_2580/tillsyn/A 46720-2023 tillsynsbegäran.docx", "A 46720-2023")</f>
        <v/>
      </c>
      <c r="Y592">
        <f>HYPERLINK("https://klasma.github.io/Logging_2580/tillsynsmail/A 46720-2023 tillsynsbegäran mail.docx", "A 46720-2023")</f>
        <v/>
      </c>
    </row>
    <row r="593" ht="15" customHeight="1">
      <c r="A593" t="inlineStr">
        <is>
          <t>A 46704-2023</t>
        </is>
      </c>
      <c r="B593" s="1" t="n">
        <v>45198</v>
      </c>
      <c r="C593" s="1" t="n">
        <v>45821</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46895-2023</t>
        </is>
      </c>
      <c r="B594" s="1" t="n">
        <v>45201</v>
      </c>
      <c r="C594" s="1" t="n">
        <v>45821</v>
      </c>
      <c r="D594" t="inlineStr">
        <is>
          <t>NORRBOTTENS LÄN</t>
        </is>
      </c>
      <c r="E594" t="inlineStr">
        <is>
          <t>LULEÅ</t>
        </is>
      </c>
      <c r="G594" t="n">
        <v>6.3</v>
      </c>
      <c r="H594" t="n">
        <v>0</v>
      </c>
      <c r="I594" t="n">
        <v>0</v>
      </c>
      <c r="J594" t="n">
        <v>0</v>
      </c>
      <c r="K594" t="n">
        <v>0</v>
      </c>
      <c r="L594" t="n">
        <v>0</v>
      </c>
      <c r="M594" t="n">
        <v>0</v>
      </c>
      <c r="N594" t="n">
        <v>0</v>
      </c>
      <c r="O594" t="n">
        <v>0</v>
      </c>
      <c r="P594" t="n">
        <v>0</v>
      </c>
      <c r="Q594" t="n">
        <v>0</v>
      </c>
      <c r="R594" s="2" t="inlineStr"/>
    </row>
    <row r="595" ht="15" customHeight="1">
      <c r="A595" t="inlineStr">
        <is>
          <t>A 48059-2023</t>
        </is>
      </c>
      <c r="B595" s="1" t="n">
        <v>45204</v>
      </c>
      <c r="C595" s="1" t="n">
        <v>45821</v>
      </c>
      <c r="D595" t="inlineStr">
        <is>
          <t>NORRBOTTENS LÄN</t>
        </is>
      </c>
      <c r="E595" t="inlineStr">
        <is>
          <t>LULEÅ</t>
        </is>
      </c>
      <c r="G595" t="n">
        <v>2</v>
      </c>
      <c r="H595" t="n">
        <v>0</v>
      </c>
      <c r="I595" t="n">
        <v>0</v>
      </c>
      <c r="J595" t="n">
        <v>0</v>
      </c>
      <c r="K595" t="n">
        <v>0</v>
      </c>
      <c r="L595" t="n">
        <v>0</v>
      </c>
      <c r="M595" t="n">
        <v>0</v>
      </c>
      <c r="N595" t="n">
        <v>0</v>
      </c>
      <c r="O595" t="n">
        <v>0</v>
      </c>
      <c r="P595" t="n">
        <v>0</v>
      </c>
      <c r="Q595" t="n">
        <v>0</v>
      </c>
      <c r="R595" s="2" t="inlineStr"/>
    </row>
    <row r="596" ht="15" customHeight="1">
      <c r="A596" t="inlineStr">
        <is>
          <t>A 48060-2023</t>
        </is>
      </c>
      <c r="B596" s="1" t="n">
        <v>45204</v>
      </c>
      <c r="C596" s="1" t="n">
        <v>45821</v>
      </c>
      <c r="D596" t="inlineStr">
        <is>
          <t>NORRBOTTENS LÄN</t>
        </is>
      </c>
      <c r="E596" t="inlineStr">
        <is>
          <t>LULEÅ</t>
        </is>
      </c>
      <c r="G596" t="n">
        <v>10.9</v>
      </c>
      <c r="H596" t="n">
        <v>0</v>
      </c>
      <c r="I596" t="n">
        <v>0</v>
      </c>
      <c r="J596" t="n">
        <v>0</v>
      </c>
      <c r="K596" t="n">
        <v>0</v>
      </c>
      <c r="L596" t="n">
        <v>0</v>
      </c>
      <c r="M596" t="n">
        <v>0</v>
      </c>
      <c r="N596" t="n">
        <v>0</v>
      </c>
      <c r="O596" t="n">
        <v>0</v>
      </c>
      <c r="P596" t="n">
        <v>0</v>
      </c>
      <c r="Q596" t="n">
        <v>0</v>
      </c>
      <c r="R596" s="2" t="inlineStr"/>
    </row>
    <row r="597" ht="15" customHeight="1">
      <c r="A597" t="inlineStr">
        <is>
          <t>A 49018-2023</t>
        </is>
      </c>
      <c r="B597" s="1" t="n">
        <v>45204</v>
      </c>
      <c r="C597" s="1" t="n">
        <v>45821</v>
      </c>
      <c r="D597" t="inlineStr">
        <is>
          <t>NORRBOTTENS LÄN</t>
        </is>
      </c>
      <c r="E597" t="inlineStr">
        <is>
          <t>LULEÅ</t>
        </is>
      </c>
      <c r="G597" t="n">
        <v>2.8</v>
      </c>
      <c r="H597" t="n">
        <v>0</v>
      </c>
      <c r="I597" t="n">
        <v>0</v>
      </c>
      <c r="J597" t="n">
        <v>0</v>
      </c>
      <c r="K597" t="n">
        <v>0</v>
      </c>
      <c r="L597" t="n">
        <v>0</v>
      </c>
      <c r="M597" t="n">
        <v>0</v>
      </c>
      <c r="N597" t="n">
        <v>0</v>
      </c>
      <c r="O597" t="n">
        <v>0</v>
      </c>
      <c r="P597" t="n">
        <v>0</v>
      </c>
      <c r="Q597" t="n">
        <v>0</v>
      </c>
      <c r="R597" s="2" t="inlineStr"/>
    </row>
    <row r="598" ht="15" customHeight="1">
      <c r="A598" t="inlineStr">
        <is>
          <t>A 48412-2023</t>
        </is>
      </c>
      <c r="B598" s="1" t="n">
        <v>45205</v>
      </c>
      <c r="C598" s="1" t="n">
        <v>45821</v>
      </c>
      <c r="D598" t="inlineStr">
        <is>
          <t>NORRBOTTENS LÄN</t>
        </is>
      </c>
      <c r="E598" t="inlineStr">
        <is>
          <t>LULEÅ</t>
        </is>
      </c>
      <c r="G598" t="n">
        <v>45.8</v>
      </c>
      <c r="H598" t="n">
        <v>0</v>
      </c>
      <c r="I598" t="n">
        <v>0</v>
      </c>
      <c r="J598" t="n">
        <v>0</v>
      </c>
      <c r="K598" t="n">
        <v>0</v>
      </c>
      <c r="L598" t="n">
        <v>0</v>
      </c>
      <c r="M598" t="n">
        <v>0</v>
      </c>
      <c r="N598" t="n">
        <v>0</v>
      </c>
      <c r="O598" t="n">
        <v>0</v>
      </c>
      <c r="P598" t="n">
        <v>0</v>
      </c>
      <c r="Q598" t="n">
        <v>0</v>
      </c>
      <c r="R598" s="2" t="inlineStr"/>
    </row>
    <row r="599" ht="15" customHeight="1">
      <c r="A599" t="inlineStr">
        <is>
          <t>A 48410-2023</t>
        </is>
      </c>
      <c r="B599" s="1" t="n">
        <v>45205</v>
      </c>
      <c r="C599" s="1" t="n">
        <v>45821</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48409-2023</t>
        </is>
      </c>
      <c r="B600" s="1" t="n">
        <v>45205</v>
      </c>
      <c r="C600" s="1" t="n">
        <v>45821</v>
      </c>
      <c r="D600" t="inlineStr">
        <is>
          <t>NORRBOTTENS LÄN</t>
        </is>
      </c>
      <c r="E600" t="inlineStr">
        <is>
          <t>LULEÅ</t>
        </is>
      </c>
      <c r="G600" t="n">
        <v>7.9</v>
      </c>
      <c r="H600" t="n">
        <v>0</v>
      </c>
      <c r="I600" t="n">
        <v>0</v>
      </c>
      <c r="J600" t="n">
        <v>0</v>
      </c>
      <c r="K600" t="n">
        <v>0</v>
      </c>
      <c r="L600" t="n">
        <v>0</v>
      </c>
      <c r="M600" t="n">
        <v>0</v>
      </c>
      <c r="N600" t="n">
        <v>0</v>
      </c>
      <c r="O600" t="n">
        <v>0</v>
      </c>
      <c r="P600" t="n">
        <v>0</v>
      </c>
      <c r="Q600" t="n">
        <v>0</v>
      </c>
      <c r="R600" s="2" t="inlineStr"/>
    </row>
    <row r="601" ht="15" customHeight="1">
      <c r="A601" t="inlineStr">
        <is>
          <t>A 48642-2023</t>
        </is>
      </c>
      <c r="B601" s="1" t="n">
        <v>45208</v>
      </c>
      <c r="C601" s="1" t="n">
        <v>45821</v>
      </c>
      <c r="D601" t="inlineStr">
        <is>
          <t>NORRBOTTENS LÄN</t>
        </is>
      </c>
      <c r="E601" t="inlineStr">
        <is>
          <t>LULEÅ</t>
        </is>
      </c>
      <c r="G601" t="n">
        <v>4.5</v>
      </c>
      <c r="H601" t="n">
        <v>0</v>
      </c>
      <c r="I601" t="n">
        <v>0</v>
      </c>
      <c r="J601" t="n">
        <v>0</v>
      </c>
      <c r="K601" t="n">
        <v>0</v>
      </c>
      <c r="L601" t="n">
        <v>0</v>
      </c>
      <c r="M601" t="n">
        <v>0</v>
      </c>
      <c r="N601" t="n">
        <v>0</v>
      </c>
      <c r="O601" t="n">
        <v>0</v>
      </c>
      <c r="P601" t="n">
        <v>0</v>
      </c>
      <c r="Q601" t="n">
        <v>0</v>
      </c>
      <c r="R601" s="2" t="inlineStr"/>
    </row>
    <row r="602" ht="15" customHeight="1">
      <c r="A602" t="inlineStr">
        <is>
          <t>A 49244-2023</t>
        </is>
      </c>
      <c r="B602" s="1" t="n">
        <v>45210</v>
      </c>
      <c r="C602" s="1" t="n">
        <v>45821</v>
      </c>
      <c r="D602" t="inlineStr">
        <is>
          <t>NORRBOTTENS LÄN</t>
        </is>
      </c>
      <c r="E602" t="inlineStr">
        <is>
          <t>LULEÅ</t>
        </is>
      </c>
      <c r="F602" t="inlineStr">
        <is>
          <t>Kyrkan</t>
        </is>
      </c>
      <c r="G602" t="n">
        <v>5.4</v>
      </c>
      <c r="H602" t="n">
        <v>0</v>
      </c>
      <c r="I602" t="n">
        <v>0</v>
      </c>
      <c r="J602" t="n">
        <v>0</v>
      </c>
      <c r="K602" t="n">
        <v>0</v>
      </c>
      <c r="L602" t="n">
        <v>0</v>
      </c>
      <c r="M602" t="n">
        <v>0</v>
      </c>
      <c r="N602" t="n">
        <v>0</v>
      </c>
      <c r="O602" t="n">
        <v>0</v>
      </c>
      <c r="P602" t="n">
        <v>0</v>
      </c>
      <c r="Q602" t="n">
        <v>0</v>
      </c>
      <c r="R602" s="2" t="inlineStr"/>
    </row>
    <row r="603" ht="15" customHeight="1">
      <c r="A603" t="inlineStr">
        <is>
          <t>A 49858-2023</t>
        </is>
      </c>
      <c r="B603" s="1" t="n">
        <v>45213</v>
      </c>
      <c r="C603" s="1" t="n">
        <v>45821</v>
      </c>
      <c r="D603" t="inlineStr">
        <is>
          <t>NORRBOTTENS LÄN</t>
        </is>
      </c>
      <c r="E603" t="inlineStr">
        <is>
          <t>LULEÅ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49857-2023</t>
        </is>
      </c>
      <c r="B604" s="1" t="n">
        <v>45212</v>
      </c>
      <c r="C604" s="1" t="n">
        <v>45821</v>
      </c>
      <c r="D604" t="inlineStr">
        <is>
          <t>NORRBOTTENS LÄN</t>
        </is>
      </c>
      <c r="E604" t="inlineStr">
        <is>
          <t>LULEÅ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51655-2023</t>
        </is>
      </c>
      <c r="B605" s="1" t="n">
        <v>45215</v>
      </c>
      <c r="C605" s="1" t="n">
        <v>45821</v>
      </c>
      <c r="D605" t="inlineStr">
        <is>
          <t>NORRBOTTENS LÄN</t>
        </is>
      </c>
      <c r="E605" t="inlineStr">
        <is>
          <t>LULEÅ</t>
        </is>
      </c>
      <c r="G605" t="n">
        <v>7.5</v>
      </c>
      <c r="H605" t="n">
        <v>0</v>
      </c>
      <c r="I605" t="n">
        <v>0</v>
      </c>
      <c r="J605" t="n">
        <v>0</v>
      </c>
      <c r="K605" t="n">
        <v>0</v>
      </c>
      <c r="L605" t="n">
        <v>0</v>
      </c>
      <c r="M605" t="n">
        <v>0</v>
      </c>
      <c r="N605" t="n">
        <v>0</v>
      </c>
      <c r="O605" t="n">
        <v>0</v>
      </c>
      <c r="P605" t="n">
        <v>0</v>
      </c>
      <c r="Q605" t="n">
        <v>0</v>
      </c>
      <c r="R605" s="2" t="inlineStr"/>
    </row>
    <row r="606" ht="15" customHeight="1">
      <c r="A606" t="inlineStr">
        <is>
          <t>A 52545-2023</t>
        </is>
      </c>
      <c r="B606" s="1" t="n">
        <v>45218</v>
      </c>
      <c r="C606" s="1" t="n">
        <v>45821</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52697-2023</t>
        </is>
      </c>
      <c r="B607" s="1" t="n">
        <v>45219</v>
      </c>
      <c r="C607" s="1" t="n">
        <v>45821</v>
      </c>
      <c r="D607" t="inlineStr">
        <is>
          <t>NORRBOTTENS LÄN</t>
        </is>
      </c>
      <c r="E607" t="inlineStr">
        <is>
          <t>LULEÅ</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52334-2023</t>
        </is>
      </c>
      <c r="B608" s="1" t="n">
        <v>45224</v>
      </c>
      <c r="C608" s="1" t="n">
        <v>45821</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52336-2023</t>
        </is>
      </c>
      <c r="B609" s="1" t="n">
        <v>45224</v>
      </c>
      <c r="C609" s="1" t="n">
        <v>45821</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52240-2023</t>
        </is>
      </c>
      <c r="B610" s="1" t="n">
        <v>45224</v>
      </c>
      <c r="C610" s="1" t="n">
        <v>45821</v>
      </c>
      <c r="D610" t="inlineStr">
        <is>
          <t>NORRBOTTENS LÄN</t>
        </is>
      </c>
      <c r="E610" t="inlineStr">
        <is>
          <t>LULEÅ</t>
        </is>
      </c>
      <c r="G610" t="n">
        <v>4.5</v>
      </c>
      <c r="H610" t="n">
        <v>0</v>
      </c>
      <c r="I610" t="n">
        <v>0</v>
      </c>
      <c r="J610" t="n">
        <v>0</v>
      </c>
      <c r="K610" t="n">
        <v>0</v>
      </c>
      <c r="L610" t="n">
        <v>0</v>
      </c>
      <c r="M610" t="n">
        <v>0</v>
      </c>
      <c r="N610" t="n">
        <v>0</v>
      </c>
      <c r="O610" t="n">
        <v>0</v>
      </c>
      <c r="P610" t="n">
        <v>0</v>
      </c>
      <c r="Q610" t="n">
        <v>0</v>
      </c>
      <c r="R610" s="2" t="inlineStr"/>
    </row>
    <row r="611" ht="15" customHeight="1">
      <c r="A611" t="inlineStr">
        <is>
          <t>A 52322-2023</t>
        </is>
      </c>
      <c r="B611" s="1" t="n">
        <v>45224</v>
      </c>
      <c r="C611" s="1" t="n">
        <v>45821</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52330-2023</t>
        </is>
      </c>
      <c r="B612" s="1" t="n">
        <v>45224</v>
      </c>
      <c r="C612" s="1" t="n">
        <v>45821</v>
      </c>
      <c r="D612" t="inlineStr">
        <is>
          <t>NORRBOTTENS LÄN</t>
        </is>
      </c>
      <c r="E612" t="inlineStr">
        <is>
          <t>LULEÅ</t>
        </is>
      </c>
      <c r="G612" t="n">
        <v>6.7</v>
      </c>
      <c r="H612" t="n">
        <v>0</v>
      </c>
      <c r="I612" t="n">
        <v>0</v>
      </c>
      <c r="J612" t="n">
        <v>0</v>
      </c>
      <c r="K612" t="n">
        <v>0</v>
      </c>
      <c r="L612" t="n">
        <v>0</v>
      </c>
      <c r="M612" t="n">
        <v>0</v>
      </c>
      <c r="N612" t="n">
        <v>0</v>
      </c>
      <c r="O612" t="n">
        <v>0</v>
      </c>
      <c r="P612" t="n">
        <v>0</v>
      </c>
      <c r="Q612" t="n">
        <v>0</v>
      </c>
      <c r="R612" s="2" t="inlineStr"/>
    </row>
    <row r="613" ht="15" customHeight="1">
      <c r="A613" t="inlineStr">
        <is>
          <t>A 52400-2023</t>
        </is>
      </c>
      <c r="B613" s="1" t="n">
        <v>45224</v>
      </c>
      <c r="C613" s="1" t="n">
        <v>45821</v>
      </c>
      <c r="D613" t="inlineStr">
        <is>
          <t>NORRBOTTENS LÄN</t>
        </is>
      </c>
      <c r="E613" t="inlineStr">
        <is>
          <t>LULEÅ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52316-2023</t>
        </is>
      </c>
      <c r="B614" s="1" t="n">
        <v>45224</v>
      </c>
      <c r="C614" s="1" t="n">
        <v>45821</v>
      </c>
      <c r="D614" t="inlineStr">
        <is>
          <t>NORRBOTTENS LÄN</t>
        </is>
      </c>
      <c r="E614" t="inlineStr">
        <is>
          <t>LULEÅ</t>
        </is>
      </c>
      <c r="G614" t="n">
        <v>4.3</v>
      </c>
      <c r="H614" t="n">
        <v>0</v>
      </c>
      <c r="I614" t="n">
        <v>0</v>
      </c>
      <c r="J614" t="n">
        <v>0</v>
      </c>
      <c r="K614" t="n">
        <v>0</v>
      </c>
      <c r="L614" t="n">
        <v>0</v>
      </c>
      <c r="M614" t="n">
        <v>0</v>
      </c>
      <c r="N614" t="n">
        <v>0</v>
      </c>
      <c r="O614" t="n">
        <v>0</v>
      </c>
      <c r="P614" t="n">
        <v>0</v>
      </c>
      <c r="Q614" t="n">
        <v>0</v>
      </c>
      <c r="R614" s="2" t="inlineStr"/>
    </row>
    <row r="615" ht="15" customHeight="1">
      <c r="A615" t="inlineStr">
        <is>
          <t>A 52333-2023</t>
        </is>
      </c>
      <c r="B615" s="1" t="n">
        <v>45224</v>
      </c>
      <c r="C615" s="1" t="n">
        <v>45821</v>
      </c>
      <c r="D615" t="inlineStr">
        <is>
          <t>NORRBOTTENS LÄN</t>
        </is>
      </c>
      <c r="E615" t="inlineStr">
        <is>
          <t>LULEÅ</t>
        </is>
      </c>
      <c r="G615" t="n">
        <v>7.2</v>
      </c>
      <c r="H615" t="n">
        <v>0</v>
      </c>
      <c r="I615" t="n">
        <v>0</v>
      </c>
      <c r="J615" t="n">
        <v>0</v>
      </c>
      <c r="K615" t="n">
        <v>0</v>
      </c>
      <c r="L615" t="n">
        <v>0</v>
      </c>
      <c r="M615" t="n">
        <v>0</v>
      </c>
      <c r="N615" t="n">
        <v>0</v>
      </c>
      <c r="O615" t="n">
        <v>0</v>
      </c>
      <c r="P615" t="n">
        <v>0</v>
      </c>
      <c r="Q615" t="n">
        <v>0</v>
      </c>
      <c r="R615" s="2" t="inlineStr"/>
    </row>
    <row r="616" ht="15" customHeight="1">
      <c r="A616" t="inlineStr">
        <is>
          <t>A 53637-2023</t>
        </is>
      </c>
      <c r="B616" s="1" t="n">
        <v>45224</v>
      </c>
      <c r="C616" s="1" t="n">
        <v>45821</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53624-2023</t>
        </is>
      </c>
      <c r="B617" s="1" t="n">
        <v>45224</v>
      </c>
      <c r="C617" s="1" t="n">
        <v>45821</v>
      </c>
      <c r="D617" t="inlineStr">
        <is>
          <t>NORRBOTTENS LÄN</t>
        </is>
      </c>
      <c r="E617" t="inlineStr">
        <is>
          <t>LULEÅ</t>
        </is>
      </c>
      <c r="G617" t="n">
        <v>3</v>
      </c>
      <c r="H617" t="n">
        <v>0</v>
      </c>
      <c r="I617" t="n">
        <v>0</v>
      </c>
      <c r="J617" t="n">
        <v>0</v>
      </c>
      <c r="K617" t="n">
        <v>0</v>
      </c>
      <c r="L617" t="n">
        <v>0</v>
      </c>
      <c r="M617" t="n">
        <v>0</v>
      </c>
      <c r="N617" t="n">
        <v>0</v>
      </c>
      <c r="O617" t="n">
        <v>0</v>
      </c>
      <c r="P617" t="n">
        <v>0</v>
      </c>
      <c r="Q617" t="n">
        <v>0</v>
      </c>
      <c r="R617" s="2" t="inlineStr"/>
    </row>
    <row r="618" ht="15" customHeight="1">
      <c r="A618" t="inlineStr">
        <is>
          <t>A 53960-2023</t>
        </is>
      </c>
      <c r="B618" s="1" t="n">
        <v>45225</v>
      </c>
      <c r="C618" s="1" t="n">
        <v>45821</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53980-2023</t>
        </is>
      </c>
      <c r="B619" s="1" t="n">
        <v>45225</v>
      </c>
      <c r="C619" s="1" t="n">
        <v>45821</v>
      </c>
      <c r="D619" t="inlineStr">
        <is>
          <t>NORRBOTTENS LÄN</t>
        </is>
      </c>
      <c r="E619" t="inlineStr">
        <is>
          <t>LULEÅ</t>
        </is>
      </c>
      <c r="G619" t="n">
        <v>5.9</v>
      </c>
      <c r="H619" t="n">
        <v>0</v>
      </c>
      <c r="I619" t="n">
        <v>0</v>
      </c>
      <c r="J619" t="n">
        <v>0</v>
      </c>
      <c r="K619" t="n">
        <v>0</v>
      </c>
      <c r="L619" t="n">
        <v>0</v>
      </c>
      <c r="M619" t="n">
        <v>0</v>
      </c>
      <c r="N619" t="n">
        <v>0</v>
      </c>
      <c r="O619" t="n">
        <v>0</v>
      </c>
      <c r="P619" t="n">
        <v>0</v>
      </c>
      <c r="Q619" t="n">
        <v>0</v>
      </c>
      <c r="R619" s="2" t="inlineStr"/>
    </row>
    <row r="620" ht="15" customHeight="1">
      <c r="A620" t="inlineStr">
        <is>
          <t>A 53971-2023</t>
        </is>
      </c>
      <c r="B620" s="1" t="n">
        <v>45225</v>
      </c>
      <c r="C620" s="1" t="n">
        <v>45821</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53985-2023</t>
        </is>
      </c>
      <c r="B621" s="1" t="n">
        <v>45225</v>
      </c>
      <c r="C621" s="1" t="n">
        <v>45821</v>
      </c>
      <c r="D621" t="inlineStr">
        <is>
          <t>NORRBOTTENS LÄN</t>
        </is>
      </c>
      <c r="E621" t="inlineStr">
        <is>
          <t>LULEÅ</t>
        </is>
      </c>
      <c r="G621" t="n">
        <v>3.2</v>
      </c>
      <c r="H621" t="n">
        <v>0</v>
      </c>
      <c r="I621" t="n">
        <v>0</v>
      </c>
      <c r="J621" t="n">
        <v>0</v>
      </c>
      <c r="K621" t="n">
        <v>0</v>
      </c>
      <c r="L621" t="n">
        <v>0</v>
      </c>
      <c r="M621" t="n">
        <v>0</v>
      </c>
      <c r="N621" t="n">
        <v>0</v>
      </c>
      <c r="O621" t="n">
        <v>0</v>
      </c>
      <c r="P621" t="n">
        <v>0</v>
      </c>
      <c r="Q621" t="n">
        <v>0</v>
      </c>
      <c r="R621" s="2" t="inlineStr"/>
    </row>
    <row r="622" ht="15" customHeight="1">
      <c r="A622" t="inlineStr">
        <is>
          <t>A 53974-2023</t>
        </is>
      </c>
      <c r="B622" s="1" t="n">
        <v>45225</v>
      </c>
      <c r="C622" s="1" t="n">
        <v>45821</v>
      </c>
      <c r="D622" t="inlineStr">
        <is>
          <t>NORRBOTTENS LÄN</t>
        </is>
      </c>
      <c r="E622" t="inlineStr">
        <is>
          <t>LULEÅ</t>
        </is>
      </c>
      <c r="G622" t="n">
        <v>9.4</v>
      </c>
      <c r="H622" t="n">
        <v>0</v>
      </c>
      <c r="I622" t="n">
        <v>0</v>
      </c>
      <c r="J622" t="n">
        <v>0</v>
      </c>
      <c r="K622" t="n">
        <v>0</v>
      </c>
      <c r="L622" t="n">
        <v>0</v>
      </c>
      <c r="M622" t="n">
        <v>0</v>
      </c>
      <c r="N622" t="n">
        <v>0</v>
      </c>
      <c r="O622" t="n">
        <v>0</v>
      </c>
      <c r="P622" t="n">
        <v>0</v>
      </c>
      <c r="Q622" t="n">
        <v>0</v>
      </c>
      <c r="R622" s="2" t="inlineStr"/>
    </row>
    <row r="623" ht="15" customHeight="1">
      <c r="A623" t="inlineStr">
        <is>
          <t>A 53954-2023</t>
        </is>
      </c>
      <c r="B623" s="1" t="n">
        <v>45225</v>
      </c>
      <c r="C623" s="1" t="n">
        <v>45821</v>
      </c>
      <c r="D623" t="inlineStr">
        <is>
          <t>NORRBOTTENS LÄN</t>
        </is>
      </c>
      <c r="E623" t="inlineStr">
        <is>
          <t>LULEÅ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52914-2023</t>
        </is>
      </c>
      <c r="B624" s="1" t="n">
        <v>45226</v>
      </c>
      <c r="C624" s="1" t="n">
        <v>45821</v>
      </c>
      <c r="D624" t="inlineStr">
        <is>
          <t>NORRBOTTENS LÄN</t>
        </is>
      </c>
      <c r="E624" t="inlineStr">
        <is>
          <t>LULEÅ</t>
        </is>
      </c>
      <c r="G624" t="n">
        <v>2.9</v>
      </c>
      <c r="H624" t="n">
        <v>0</v>
      </c>
      <c r="I624" t="n">
        <v>0</v>
      </c>
      <c r="J624" t="n">
        <v>0</v>
      </c>
      <c r="K624" t="n">
        <v>0</v>
      </c>
      <c r="L624" t="n">
        <v>0</v>
      </c>
      <c r="M624" t="n">
        <v>0</v>
      </c>
      <c r="N624" t="n">
        <v>0</v>
      </c>
      <c r="O624" t="n">
        <v>0</v>
      </c>
      <c r="P624" t="n">
        <v>0</v>
      </c>
      <c r="Q624" t="n">
        <v>0</v>
      </c>
      <c r="R624" s="2" t="inlineStr"/>
    </row>
    <row r="625" ht="15" customHeight="1">
      <c r="A625" t="inlineStr">
        <is>
          <t>A 53433-2023</t>
        </is>
      </c>
      <c r="B625" s="1" t="n">
        <v>45229</v>
      </c>
      <c r="C625" s="1" t="n">
        <v>45821</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53750-2023</t>
        </is>
      </c>
      <c r="B626" s="1" t="n">
        <v>45230</v>
      </c>
      <c r="C626" s="1" t="n">
        <v>45821</v>
      </c>
      <c r="D626" t="inlineStr">
        <is>
          <t>NORRBOTTENS LÄN</t>
        </is>
      </c>
      <c r="E626" t="inlineStr">
        <is>
          <t>LULEÅ</t>
        </is>
      </c>
      <c r="G626" t="n">
        <v>5.2</v>
      </c>
      <c r="H626" t="n">
        <v>0</v>
      </c>
      <c r="I626" t="n">
        <v>0</v>
      </c>
      <c r="J626" t="n">
        <v>0</v>
      </c>
      <c r="K626" t="n">
        <v>0</v>
      </c>
      <c r="L626" t="n">
        <v>0</v>
      </c>
      <c r="M626" t="n">
        <v>0</v>
      </c>
      <c r="N626" t="n">
        <v>0</v>
      </c>
      <c r="O626" t="n">
        <v>0</v>
      </c>
      <c r="P626" t="n">
        <v>0</v>
      </c>
      <c r="Q626" t="n">
        <v>0</v>
      </c>
      <c r="R626" s="2" t="inlineStr"/>
    </row>
    <row r="627" ht="15" customHeight="1">
      <c r="A627" t="inlineStr">
        <is>
          <t>A 53748-2023</t>
        </is>
      </c>
      <c r="B627" s="1" t="n">
        <v>45230</v>
      </c>
      <c r="C627" s="1" t="n">
        <v>45821</v>
      </c>
      <c r="D627" t="inlineStr">
        <is>
          <t>NORRBOTTENS LÄN</t>
        </is>
      </c>
      <c r="E627" t="inlineStr">
        <is>
          <t>LULEÅ</t>
        </is>
      </c>
      <c r="G627" t="n">
        <v>2.4</v>
      </c>
      <c r="H627" t="n">
        <v>0</v>
      </c>
      <c r="I627" t="n">
        <v>0</v>
      </c>
      <c r="J627" t="n">
        <v>0</v>
      </c>
      <c r="K627" t="n">
        <v>0</v>
      </c>
      <c r="L627" t="n">
        <v>0</v>
      </c>
      <c r="M627" t="n">
        <v>0</v>
      </c>
      <c r="N627" t="n">
        <v>0</v>
      </c>
      <c r="O627" t="n">
        <v>0</v>
      </c>
      <c r="P627" t="n">
        <v>0</v>
      </c>
      <c r="Q627" t="n">
        <v>0</v>
      </c>
      <c r="R627" s="2" t="inlineStr"/>
    </row>
    <row r="628" ht="15" customHeight="1">
      <c r="A628" t="inlineStr">
        <is>
          <t>A 53754-2023</t>
        </is>
      </c>
      <c r="B628" s="1" t="n">
        <v>45230</v>
      </c>
      <c r="C628" s="1" t="n">
        <v>45821</v>
      </c>
      <c r="D628" t="inlineStr">
        <is>
          <t>NORRBOTTENS LÄN</t>
        </is>
      </c>
      <c r="E628" t="inlineStr">
        <is>
          <t>LULEÅ</t>
        </is>
      </c>
      <c r="G628" t="n">
        <v>2.5</v>
      </c>
      <c r="H628" t="n">
        <v>0</v>
      </c>
      <c r="I628" t="n">
        <v>0</v>
      </c>
      <c r="J628" t="n">
        <v>0</v>
      </c>
      <c r="K628" t="n">
        <v>0</v>
      </c>
      <c r="L628" t="n">
        <v>0</v>
      </c>
      <c r="M628" t="n">
        <v>0</v>
      </c>
      <c r="N628" t="n">
        <v>0</v>
      </c>
      <c r="O628" t="n">
        <v>0</v>
      </c>
      <c r="P628" t="n">
        <v>0</v>
      </c>
      <c r="Q628" t="n">
        <v>0</v>
      </c>
      <c r="R628" s="2" t="inlineStr"/>
    </row>
    <row r="629" ht="15" customHeight="1">
      <c r="A629" t="inlineStr">
        <is>
          <t>A 53749-2023</t>
        </is>
      </c>
      <c r="B629" s="1" t="n">
        <v>45230</v>
      </c>
      <c r="C629" s="1" t="n">
        <v>45821</v>
      </c>
      <c r="D629" t="inlineStr">
        <is>
          <t>NORRBOTTENS LÄN</t>
        </is>
      </c>
      <c r="E629" t="inlineStr">
        <is>
          <t>LULEÅ</t>
        </is>
      </c>
      <c r="G629" t="n">
        <v>3.2</v>
      </c>
      <c r="H629" t="n">
        <v>0</v>
      </c>
      <c r="I629" t="n">
        <v>0</v>
      </c>
      <c r="J629" t="n">
        <v>0</v>
      </c>
      <c r="K629" t="n">
        <v>0</v>
      </c>
      <c r="L629" t="n">
        <v>0</v>
      </c>
      <c r="M629" t="n">
        <v>0</v>
      </c>
      <c r="N629" t="n">
        <v>0</v>
      </c>
      <c r="O629" t="n">
        <v>0</v>
      </c>
      <c r="P629" t="n">
        <v>0</v>
      </c>
      <c r="Q629" t="n">
        <v>0</v>
      </c>
      <c r="R629" s="2" t="inlineStr"/>
    </row>
    <row r="630" ht="15" customHeight="1">
      <c r="A630" t="inlineStr">
        <is>
          <t>A 53541-2023</t>
        </is>
      </c>
      <c r="B630" s="1" t="n">
        <v>45230</v>
      </c>
      <c r="C630" s="1" t="n">
        <v>45821</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53712-2023</t>
        </is>
      </c>
      <c r="B631" s="1" t="n">
        <v>45230</v>
      </c>
      <c r="C631" s="1" t="n">
        <v>45821</v>
      </c>
      <c r="D631" t="inlineStr">
        <is>
          <t>NORRBOTTENS LÄN</t>
        </is>
      </c>
      <c r="E631" t="inlineStr">
        <is>
          <t>LULEÅ</t>
        </is>
      </c>
      <c r="G631" t="n">
        <v>1.7</v>
      </c>
      <c r="H631" t="n">
        <v>0</v>
      </c>
      <c r="I631" t="n">
        <v>0</v>
      </c>
      <c r="J631" t="n">
        <v>0</v>
      </c>
      <c r="K631" t="n">
        <v>0</v>
      </c>
      <c r="L631" t="n">
        <v>0</v>
      </c>
      <c r="M631" t="n">
        <v>0</v>
      </c>
      <c r="N631" t="n">
        <v>0</v>
      </c>
      <c r="O631" t="n">
        <v>0</v>
      </c>
      <c r="P631" t="n">
        <v>0</v>
      </c>
      <c r="Q631" t="n">
        <v>0</v>
      </c>
      <c r="R631" s="2" t="inlineStr"/>
    </row>
    <row r="632" ht="15" customHeight="1">
      <c r="A632" t="inlineStr">
        <is>
          <t>A 54213-2023</t>
        </is>
      </c>
      <c r="B632" s="1" t="n">
        <v>45232</v>
      </c>
      <c r="C632" s="1" t="n">
        <v>45821</v>
      </c>
      <c r="D632" t="inlineStr">
        <is>
          <t>NORRBOTTENS LÄN</t>
        </is>
      </c>
      <c r="E632" t="inlineStr">
        <is>
          <t>LULEÅ</t>
        </is>
      </c>
      <c r="G632" t="n">
        <v>0.2</v>
      </c>
      <c r="H632" t="n">
        <v>0</v>
      </c>
      <c r="I632" t="n">
        <v>0</v>
      </c>
      <c r="J632" t="n">
        <v>0</v>
      </c>
      <c r="K632" t="n">
        <v>0</v>
      </c>
      <c r="L632" t="n">
        <v>0</v>
      </c>
      <c r="M632" t="n">
        <v>0</v>
      </c>
      <c r="N632" t="n">
        <v>0</v>
      </c>
      <c r="O632" t="n">
        <v>0</v>
      </c>
      <c r="P632" t="n">
        <v>0</v>
      </c>
      <c r="Q632" t="n">
        <v>0</v>
      </c>
      <c r="R632" s="2" t="inlineStr"/>
    </row>
    <row r="633" ht="15" customHeight="1">
      <c r="A633" t="inlineStr">
        <is>
          <t>A 55747-2023</t>
        </is>
      </c>
      <c r="B633" s="1" t="n">
        <v>45232</v>
      </c>
      <c r="C633" s="1" t="n">
        <v>45821</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56031-2023</t>
        </is>
      </c>
      <c r="B634" s="1" t="n">
        <v>45233</v>
      </c>
      <c r="C634" s="1" t="n">
        <v>45821</v>
      </c>
      <c r="D634" t="inlineStr">
        <is>
          <t>NORRBOTTENS LÄN</t>
        </is>
      </c>
      <c r="E634" t="inlineStr">
        <is>
          <t>LULEÅ</t>
        </is>
      </c>
      <c r="G634" t="n">
        <v>2.9</v>
      </c>
      <c r="H634" t="n">
        <v>0</v>
      </c>
      <c r="I634" t="n">
        <v>0</v>
      </c>
      <c r="J634" t="n">
        <v>0</v>
      </c>
      <c r="K634" t="n">
        <v>0</v>
      </c>
      <c r="L634" t="n">
        <v>0</v>
      </c>
      <c r="M634" t="n">
        <v>0</v>
      </c>
      <c r="N634" t="n">
        <v>0</v>
      </c>
      <c r="O634" t="n">
        <v>0</v>
      </c>
      <c r="P634" t="n">
        <v>0</v>
      </c>
      <c r="Q634" t="n">
        <v>0</v>
      </c>
      <c r="R634" s="2" t="inlineStr"/>
    </row>
    <row r="635" ht="15" customHeight="1">
      <c r="A635" t="inlineStr">
        <is>
          <t>A 56052-2023</t>
        </is>
      </c>
      <c r="B635" s="1" t="n">
        <v>45233</v>
      </c>
      <c r="C635" s="1" t="n">
        <v>45821</v>
      </c>
      <c r="D635" t="inlineStr">
        <is>
          <t>NORRBOTTENS LÄN</t>
        </is>
      </c>
      <c r="E635" t="inlineStr">
        <is>
          <t>LULEÅ</t>
        </is>
      </c>
      <c r="G635" t="n">
        <v>2.3</v>
      </c>
      <c r="H635" t="n">
        <v>0</v>
      </c>
      <c r="I635" t="n">
        <v>0</v>
      </c>
      <c r="J635" t="n">
        <v>0</v>
      </c>
      <c r="K635" t="n">
        <v>0</v>
      </c>
      <c r="L635" t="n">
        <v>0</v>
      </c>
      <c r="M635" t="n">
        <v>0</v>
      </c>
      <c r="N635" t="n">
        <v>0</v>
      </c>
      <c r="O635" t="n">
        <v>0</v>
      </c>
      <c r="P635" t="n">
        <v>0</v>
      </c>
      <c r="Q635" t="n">
        <v>0</v>
      </c>
      <c r="R635" s="2" t="inlineStr"/>
    </row>
    <row r="636" ht="15" customHeight="1">
      <c r="A636" t="inlineStr">
        <is>
          <t>A 54970-2023</t>
        </is>
      </c>
      <c r="B636" s="1" t="n">
        <v>45236</v>
      </c>
      <c r="C636" s="1" t="n">
        <v>45821</v>
      </c>
      <c r="D636" t="inlineStr">
        <is>
          <t>NORRBOTTENS LÄN</t>
        </is>
      </c>
      <c r="E636" t="inlineStr">
        <is>
          <t>LULEÅ</t>
        </is>
      </c>
      <c r="G636" t="n">
        <v>6.6</v>
      </c>
      <c r="H636" t="n">
        <v>0</v>
      </c>
      <c r="I636" t="n">
        <v>0</v>
      </c>
      <c r="J636" t="n">
        <v>0</v>
      </c>
      <c r="K636" t="n">
        <v>0</v>
      </c>
      <c r="L636" t="n">
        <v>0</v>
      </c>
      <c r="M636" t="n">
        <v>0</v>
      </c>
      <c r="N636" t="n">
        <v>0</v>
      </c>
      <c r="O636" t="n">
        <v>0</v>
      </c>
      <c r="P636" t="n">
        <v>0</v>
      </c>
      <c r="Q636" t="n">
        <v>0</v>
      </c>
      <c r="R636" s="2" t="inlineStr"/>
    </row>
    <row r="637" ht="15" customHeight="1">
      <c r="A637" t="inlineStr">
        <is>
          <t>A 54969-2023</t>
        </is>
      </c>
      <c r="B637" s="1" t="n">
        <v>45236</v>
      </c>
      <c r="C637" s="1" t="n">
        <v>45821</v>
      </c>
      <c r="D637" t="inlineStr">
        <is>
          <t>NORRBOTTENS LÄN</t>
        </is>
      </c>
      <c r="E637" t="inlineStr">
        <is>
          <t>LULEÅ</t>
        </is>
      </c>
      <c r="G637" t="n">
        <v>5.3</v>
      </c>
      <c r="H637" t="n">
        <v>0</v>
      </c>
      <c r="I637" t="n">
        <v>0</v>
      </c>
      <c r="J637" t="n">
        <v>0</v>
      </c>
      <c r="K637" t="n">
        <v>0</v>
      </c>
      <c r="L637" t="n">
        <v>0</v>
      </c>
      <c r="M637" t="n">
        <v>0</v>
      </c>
      <c r="N637" t="n">
        <v>0</v>
      </c>
      <c r="O637" t="n">
        <v>0</v>
      </c>
      <c r="P637" t="n">
        <v>0</v>
      </c>
      <c r="Q637" t="n">
        <v>0</v>
      </c>
      <c r="R637" s="2" t="inlineStr"/>
    </row>
    <row r="638" ht="15" customHeight="1">
      <c r="A638" t="inlineStr">
        <is>
          <t>A 56432-2023</t>
        </is>
      </c>
      <c r="B638" s="1" t="n">
        <v>45237</v>
      </c>
      <c r="C638" s="1" t="n">
        <v>45821</v>
      </c>
      <c r="D638" t="inlineStr">
        <is>
          <t>NORRBOTTENS LÄN</t>
        </is>
      </c>
      <c r="E638" t="inlineStr">
        <is>
          <t>LULEÅ</t>
        </is>
      </c>
      <c r="G638" t="n">
        <v>3.5</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45821</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45821</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45821</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45821</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45821</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45821</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45821</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45821</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45821</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45821</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45821</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45821</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45821</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45821</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45821</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45821</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45821</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45821</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45821</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45821</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45821</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45821</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45821</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45821</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45821</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45821</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45821</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45821</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45821</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45821</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45821</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45821</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45821</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45821</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45821</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45821</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45821</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45821</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45821</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45821</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45821</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45821</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45821</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45821</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45821</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45821</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45821</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45821</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45821</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45821</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45821</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45821</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45821</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45821</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45821</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45821</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45821</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45821</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45821</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45821</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45821</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45821</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45821</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45821</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45821</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45821</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45821</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45821</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45821</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45821</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45821</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45821</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45821</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45821</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45821</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45821</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45821</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45821</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45821</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45821</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45821</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45821</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45821</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45821</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45821</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45821</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45821</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45821</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45821</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45821</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45821</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45821</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45821</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45821</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45821</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45821</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45821</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45821</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45821</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45821</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45821</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45821</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45821</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45821</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45821</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45821</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45821</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45821</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45821</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45821</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45821</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45821</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45821</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45821</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45821</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45821</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45821</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45821</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45821</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45821</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45821</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45821</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45821</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45821</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45821</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45821</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45821</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45821</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45821</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45821</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45821</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45821</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45821</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45821</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45821</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45821</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45821</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45821</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45821</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45821</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45821</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45821</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45821</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45821</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45821</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45821</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45821</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45821</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45821</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45821</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45821</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45821</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45821</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45821</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45821</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45821</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45821</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45821</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45821</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45821</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45821</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45821</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45821</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45821</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45821</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45821</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45821</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45821</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45821</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45821</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45821</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45821</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45821</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45821</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45821</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45821</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45821</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45821</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45821</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45821</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45821</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45821</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45821</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45821</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45821</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45821</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45821</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45821</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45821</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45821</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45821</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45821</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45821</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45821</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45821</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45821</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45821</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45821</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45821</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45821</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45821</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45821</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45821</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45821</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45821</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45821</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45821</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45821</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45821</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45821</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45821</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45821</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45821</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45821</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45821</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45821</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45821</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45821</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45821</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45821</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45821</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45821</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45821</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45821</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45821</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45821</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45821</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45821</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45821</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45821</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45821</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45821</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45821</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45821</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45821</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45821</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45821</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45821</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45821</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45821</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45821</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45821</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45821</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45821</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45821</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45821</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45821</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45821</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45821</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45821</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45821</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45821</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45821</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45821</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45821</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45821</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45821</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45821</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45821</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45821</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45821</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45821</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45821</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45821</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45821</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45821</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45821</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45821</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45821</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45821</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45821</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45821</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45821</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45821</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45821</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45821</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45821</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45821</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45821</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45821</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45821</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45821</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45821</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45821</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45821</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45821</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45821</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45821</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45821</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45821</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45821</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45821</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45821</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45821</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45821</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45821</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45821</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45821</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45821</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45821</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45821</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45821</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45821</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45821</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45821</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45821</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45821</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45821</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45821</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45821</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45821</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45821</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45821</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45821</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45821</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45821</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45821</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45821</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45821</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45821</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45821</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45821</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45821</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45821</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45821</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45821</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45821</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45821</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45821</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45821</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45821</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45821</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45821</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45821</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45821</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45821</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45821</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45821</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45821</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45821</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45821</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45821</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45821</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45821</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45821</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45821</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45821</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45821</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45821</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45821</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45821</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45821</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45821</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45821</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45821</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45821</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45821</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45821</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45821</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45821</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45821</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45821</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45821</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45821</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45821</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45821</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45821</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45821</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45821</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45821</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45821</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45821</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45821</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45821</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45821</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45821</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45821</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45821</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45821</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45821</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45821</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45821</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45821</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45821</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45821</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45821</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45821</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45821</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45821</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45821</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45821</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45821</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45821</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45821</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45821</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45821</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45821</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45821</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45821</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45821</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45821</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45821</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45821</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45821</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45821</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45821</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45821</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45821</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45821</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45821</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45821</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45821</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45821</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45821</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45821</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45821</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45821</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45821</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45821</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45821</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45821</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45821</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45821</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45821</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45821</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45821</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45821</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45821</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45821</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45821</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45821</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45821</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45821</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45821</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45821</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45821</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45821</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45821</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45821</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45821</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45821</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45821</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45821</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45821</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45821</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45821</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45821</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45821</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45821</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45821</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45821</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45821</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45821</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45821</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45821</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45821</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45821</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45821</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45821</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45821</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45821</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45821</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45821</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45821</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23531-2025</t>
        </is>
      </c>
      <c r="B1103" s="1" t="n">
        <v>45792</v>
      </c>
      <c r="C1103" s="1" t="n">
        <v>45821</v>
      </c>
      <c r="D1103" t="inlineStr">
        <is>
          <t>NORRBOTTENS LÄN</t>
        </is>
      </c>
      <c r="E1103" t="inlineStr">
        <is>
          <t>LULEÅ</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23534-2025</t>
        </is>
      </c>
      <c r="B1104" s="1" t="n">
        <v>45792</v>
      </c>
      <c r="C1104" s="1" t="n">
        <v>45821</v>
      </c>
      <c r="D1104" t="inlineStr">
        <is>
          <t>NORRBOTTENS LÄN</t>
        </is>
      </c>
      <c r="E1104" t="inlineStr">
        <is>
          <t>LULEÅ</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23449-2025</t>
        </is>
      </c>
      <c r="B1105" s="1" t="n">
        <v>45792</v>
      </c>
      <c r="C1105" s="1" t="n">
        <v>45821</v>
      </c>
      <c r="D1105" t="inlineStr">
        <is>
          <t>NORRBOTTENS LÄN</t>
        </is>
      </c>
      <c r="E1105" t="inlineStr">
        <is>
          <t>LULEÅ</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23505-2025</t>
        </is>
      </c>
      <c r="B1106" s="1" t="n">
        <v>45792</v>
      </c>
      <c r="C1106" s="1" t="n">
        <v>45821</v>
      </c>
      <c r="D1106" t="inlineStr">
        <is>
          <t>NORRBOTTENS LÄN</t>
        </is>
      </c>
      <c r="E1106" t="inlineStr">
        <is>
          <t>LULEÅ</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23520-2025</t>
        </is>
      </c>
      <c r="B1107" s="1" t="n">
        <v>45792</v>
      </c>
      <c r="C1107" s="1" t="n">
        <v>45821</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23524-2025</t>
        </is>
      </c>
      <c r="B1108" s="1" t="n">
        <v>45792</v>
      </c>
      <c r="C1108" s="1" t="n">
        <v>45821</v>
      </c>
      <c r="D1108" t="inlineStr">
        <is>
          <t>NORRBOTTENS LÄN</t>
        </is>
      </c>
      <c r="E1108" t="inlineStr">
        <is>
          <t>LULEÅ</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23516-2025</t>
        </is>
      </c>
      <c r="B1109" s="1" t="n">
        <v>45792</v>
      </c>
      <c r="C1109" s="1" t="n">
        <v>45821</v>
      </c>
      <c r="D1109" t="inlineStr">
        <is>
          <t>NORRBOTTENS LÄN</t>
        </is>
      </c>
      <c r="E1109" t="inlineStr">
        <is>
          <t>LULEÅ</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23519-2025</t>
        </is>
      </c>
      <c r="B1110" s="1" t="n">
        <v>45792</v>
      </c>
      <c r="C1110" s="1" t="n">
        <v>45821</v>
      </c>
      <c r="D1110" t="inlineStr">
        <is>
          <t>NORRBOTTENS LÄN</t>
        </is>
      </c>
      <c r="E1110" t="inlineStr">
        <is>
          <t>LULEÅ</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23722-2025</t>
        </is>
      </c>
      <c r="B1111" s="1" t="n">
        <v>45793</v>
      </c>
      <c r="C1111" s="1" t="n">
        <v>45821</v>
      </c>
      <c r="D1111" t="inlineStr">
        <is>
          <t>NORRBOTTENS LÄN</t>
        </is>
      </c>
      <c r="E1111" t="inlineStr">
        <is>
          <t>LULEÅ</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23719-2025</t>
        </is>
      </c>
      <c r="B1112" s="1" t="n">
        <v>45793</v>
      </c>
      <c r="C1112" s="1" t="n">
        <v>45821</v>
      </c>
      <c r="D1112" t="inlineStr">
        <is>
          <t>NORRBOTTENS LÄN</t>
        </is>
      </c>
      <c r="E1112" t="inlineStr">
        <is>
          <t>LULEÅ</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23726-2025</t>
        </is>
      </c>
      <c r="B1113" s="1" t="n">
        <v>45793</v>
      </c>
      <c r="C1113" s="1" t="n">
        <v>45821</v>
      </c>
      <c r="D1113" t="inlineStr">
        <is>
          <t>NORRBOTTENS LÄN</t>
        </is>
      </c>
      <c r="E1113" t="inlineStr">
        <is>
          <t>LULEÅ</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24752-2025</t>
        </is>
      </c>
      <c r="B1114" s="1" t="n">
        <v>45799</v>
      </c>
      <c r="C1114" s="1" t="n">
        <v>45821</v>
      </c>
      <c r="D1114" t="inlineStr">
        <is>
          <t>NORRBOTTENS LÄN</t>
        </is>
      </c>
      <c r="E1114" t="inlineStr">
        <is>
          <t>LULEÅ</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26191-2025</t>
        </is>
      </c>
      <c r="B1115" s="1" t="n">
        <v>45805</v>
      </c>
      <c r="C1115" s="1" t="n">
        <v>45821</v>
      </c>
      <c r="D1115" t="inlineStr">
        <is>
          <t>NORRBOTTENS LÄN</t>
        </is>
      </c>
      <c r="E1115" t="inlineStr">
        <is>
          <t>LULEÅ</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26513-2025</t>
        </is>
      </c>
      <c r="B1116" s="1" t="n">
        <v>45807</v>
      </c>
      <c r="C1116" s="1" t="n">
        <v>45821</v>
      </c>
      <c r="D1116" t="inlineStr">
        <is>
          <t>NORRBOTTENS LÄN</t>
        </is>
      </c>
      <c r="E1116" t="inlineStr">
        <is>
          <t>LULEÅ</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27107-2025</t>
        </is>
      </c>
      <c r="B1117" s="1" t="n">
        <v>45811</v>
      </c>
      <c r="C1117" s="1" t="n">
        <v>45821</v>
      </c>
      <c r="D1117" t="inlineStr">
        <is>
          <t>NORRBOTTENS LÄN</t>
        </is>
      </c>
      <c r="E1117" t="inlineStr">
        <is>
          <t>LULEÅ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27526-2025</t>
        </is>
      </c>
      <c r="B1118" s="1" t="n">
        <v>45813</v>
      </c>
      <c r="C1118" s="1" t="n">
        <v>45821</v>
      </c>
      <c r="D1118" t="inlineStr">
        <is>
          <t>NORRBOTTENS LÄN</t>
        </is>
      </c>
      <c r="E1118" t="inlineStr">
        <is>
          <t>LULEÅ</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27463-2025</t>
        </is>
      </c>
      <c r="B1119" s="1" t="n">
        <v>45813</v>
      </c>
      <c r="C1119" s="1" t="n">
        <v>45821</v>
      </c>
      <c r="D1119" t="inlineStr">
        <is>
          <t>NORRBOTTENS LÄN</t>
        </is>
      </c>
      <c r="E1119" t="inlineStr">
        <is>
          <t>LULEÅ</t>
        </is>
      </c>
      <c r="F1119" t="inlineStr">
        <is>
          <t>Naturvårdsverket</t>
        </is>
      </c>
      <c r="G1119" t="n">
        <v>8.6</v>
      </c>
      <c r="H1119" t="n">
        <v>0</v>
      </c>
      <c r="I1119" t="n">
        <v>0</v>
      </c>
      <c r="J1119" t="n">
        <v>0</v>
      </c>
      <c r="K1119" t="n">
        <v>0</v>
      </c>
      <c r="L1119" t="n">
        <v>0</v>
      </c>
      <c r="M1119" t="n">
        <v>0</v>
      </c>
      <c r="N1119" t="n">
        <v>0</v>
      </c>
      <c r="O1119" t="n">
        <v>0</v>
      </c>
      <c r="P1119" t="n">
        <v>0</v>
      </c>
      <c r="Q1119" t="n">
        <v>0</v>
      </c>
      <c r="R1119" s="2" t="inlineStr"/>
    </row>
    <row r="1120">
      <c r="A1120" t="inlineStr">
        <is>
          <t>A 28344-2025</t>
        </is>
      </c>
      <c r="B1120" s="1" t="n">
        <v>45817</v>
      </c>
      <c r="C1120" s="1" t="n">
        <v>45821</v>
      </c>
      <c r="D1120" t="inlineStr">
        <is>
          <t>NORRBOTTENS LÄN</t>
        </is>
      </c>
      <c r="E1120" t="inlineStr">
        <is>
          <t>LULEÅ</t>
        </is>
      </c>
      <c r="G1120" t="n">
        <v>2.2</v>
      </c>
      <c r="H1120" t="n">
        <v>0</v>
      </c>
      <c r="I1120" t="n">
        <v>0</v>
      </c>
      <c r="J1120" t="n">
        <v>0</v>
      </c>
      <c r="K1120" t="n">
        <v>0</v>
      </c>
      <c r="L1120" t="n">
        <v>0</v>
      </c>
      <c r="M1120" t="n">
        <v>0</v>
      </c>
      <c r="N1120" t="n">
        <v>0</v>
      </c>
      <c r="O1120" t="n">
        <v>0</v>
      </c>
      <c r="P1120" t="n">
        <v>0</v>
      </c>
      <c r="Q1120" t="n">
        <v>0</v>
      </c>
      <c r="R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2025-06-13T18:36:01Z</dcterms:created>
  <dcterms:modified xmlns:dcterms="http://purl.org/dc/terms/" xmlns:xsi="http://www.w3.org/2001/XMLSchema-instance" xsi:type="dcterms:W3CDTF">2025-06-13T18:36:01Z</dcterms:modified>
</cp:coreProperties>
</file>