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45910</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45910</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45910</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45910</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881-2025</t>
        </is>
      </c>
      <c r="B12" s="1" t="n">
        <v>45664</v>
      </c>
      <c r="C12" s="1" t="n">
        <v>45910</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45910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45910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45910</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45910</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45910</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45910</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45910</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45910</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45910</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50085-2021</t>
        </is>
      </c>
      <c r="B22" s="1" t="n">
        <v>44456</v>
      </c>
      <c r="C22" s="1" t="n">
        <v>45910</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45910</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45910</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45910</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51641-2022</t>
        </is>
      </c>
      <c r="B26" s="1" t="n">
        <v>44867</v>
      </c>
      <c r="C26" s="1" t="n">
        <v>45910</v>
      </c>
      <c r="D26" t="inlineStr">
        <is>
          <t>NORRBOTTENS LÄN</t>
        </is>
      </c>
      <c r="E26" t="inlineStr">
        <is>
          <t>LULEÅ</t>
        </is>
      </c>
      <c r="G26" t="n">
        <v>5.7</v>
      </c>
      <c r="H26" t="n">
        <v>0</v>
      </c>
      <c r="I26" t="n">
        <v>0</v>
      </c>
      <c r="J26" t="n">
        <v>1</v>
      </c>
      <c r="K26" t="n">
        <v>0</v>
      </c>
      <c r="L26" t="n">
        <v>0</v>
      </c>
      <c r="M26" t="n">
        <v>0</v>
      </c>
      <c r="N26" t="n">
        <v>0</v>
      </c>
      <c r="O26" t="n">
        <v>1</v>
      </c>
      <c r="P26" t="n">
        <v>0</v>
      </c>
      <c r="Q26" t="n">
        <v>1</v>
      </c>
      <c r="R26" s="2" t="inlineStr">
        <is>
          <t>Granticka</t>
        </is>
      </c>
      <c r="S26">
        <f>HYPERLINK("https://klasma.github.io/Logging_2580/artfynd/A 51641-2022 artfynd.xlsx", "A 51641-2022")</f>
        <v/>
      </c>
      <c r="T26">
        <f>HYPERLINK("https://klasma.github.io/Logging_2580/kartor/A 51641-2022 karta.png", "A 51641-2022")</f>
        <v/>
      </c>
      <c r="V26">
        <f>HYPERLINK("https://klasma.github.io/Logging_2580/klagomål/A 51641-2022 FSC-klagomål.docx", "A 51641-2022")</f>
        <v/>
      </c>
      <c r="W26">
        <f>HYPERLINK("https://klasma.github.io/Logging_2580/klagomålsmail/A 51641-2022 FSC-klagomål mail.docx", "A 51641-2022")</f>
        <v/>
      </c>
      <c r="X26">
        <f>HYPERLINK("https://klasma.github.io/Logging_2580/tillsyn/A 51641-2022 tillsynsbegäran.docx", "A 51641-2022")</f>
        <v/>
      </c>
      <c r="Y26">
        <f>HYPERLINK("https://klasma.github.io/Logging_2580/tillsynsmail/A 51641-2022 tillsynsbegäran mail.docx", "A 51641-2022")</f>
        <v/>
      </c>
    </row>
    <row r="27" ht="15" customHeight="1">
      <c r="A27" t="inlineStr">
        <is>
          <t>A 4561-2023</t>
        </is>
      </c>
      <c r="B27" s="1" t="n">
        <v>44951</v>
      </c>
      <c r="C27" s="1" t="n">
        <v>45910</v>
      </c>
      <c r="D27" t="inlineStr">
        <is>
          <t>NORRBOTTENS LÄN</t>
        </is>
      </c>
      <c r="E27" t="inlineStr">
        <is>
          <t>LULEÅ</t>
        </is>
      </c>
      <c r="G27" t="n">
        <v>4.1</v>
      </c>
      <c r="H27" t="n">
        <v>1</v>
      </c>
      <c r="I27" t="n">
        <v>0</v>
      </c>
      <c r="J27" t="n">
        <v>0</v>
      </c>
      <c r="K27" t="n">
        <v>1</v>
      </c>
      <c r="L27" t="n">
        <v>0</v>
      </c>
      <c r="M27" t="n">
        <v>0</v>
      </c>
      <c r="N27" t="n">
        <v>0</v>
      </c>
      <c r="O27" t="n">
        <v>1</v>
      </c>
      <c r="P27" t="n">
        <v>1</v>
      </c>
      <c r="Q27" t="n">
        <v>1</v>
      </c>
      <c r="R27" s="2" t="inlineStr">
        <is>
          <t>Topplåsbräken</t>
        </is>
      </c>
      <c r="S27">
        <f>HYPERLINK("https://klasma.github.io/Logging_2580/artfynd/A 4561-2023 artfynd.xlsx", "A 4561-2023")</f>
        <v/>
      </c>
      <c r="T27">
        <f>HYPERLINK("https://klasma.github.io/Logging_2580/kartor/A 4561-2023 karta.png", "A 4561-2023")</f>
        <v/>
      </c>
      <c r="V27">
        <f>HYPERLINK("https://klasma.github.io/Logging_2580/klagomål/A 4561-2023 FSC-klagomål.docx", "A 4561-2023")</f>
        <v/>
      </c>
      <c r="W27">
        <f>HYPERLINK("https://klasma.github.io/Logging_2580/klagomålsmail/A 4561-2023 FSC-klagomål mail.docx", "A 4561-2023")</f>
        <v/>
      </c>
      <c r="X27">
        <f>HYPERLINK("https://klasma.github.io/Logging_2580/tillsyn/A 4561-2023 tillsynsbegäran.docx", "A 4561-2023")</f>
        <v/>
      </c>
      <c r="Y27">
        <f>HYPERLINK("https://klasma.github.io/Logging_2580/tillsynsmail/A 4561-2023 tillsynsbegäran mail.docx", "A 4561-2023")</f>
        <v/>
      </c>
    </row>
    <row r="28" ht="15" customHeight="1">
      <c r="A28" t="inlineStr">
        <is>
          <t>A 29381-2025</t>
        </is>
      </c>
      <c r="B28" s="1" t="n">
        <v>45824.59027777778</v>
      </c>
      <c r="C28" s="1" t="n">
        <v>45910</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38333-2024</t>
        </is>
      </c>
      <c r="B29" s="1" t="n">
        <v>45545</v>
      </c>
      <c r="C29" s="1" t="n">
        <v>45910</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32148-2025</t>
        </is>
      </c>
      <c r="B30" s="1" t="n">
        <v>45835.52969907408</v>
      </c>
      <c r="C30" s="1" t="n">
        <v>45910</v>
      </c>
      <c r="D30" t="inlineStr">
        <is>
          <t>NORRBOTTENS LÄN</t>
        </is>
      </c>
      <c r="E30" t="inlineStr">
        <is>
          <t>LULEÅ</t>
        </is>
      </c>
      <c r="F30" t="inlineStr">
        <is>
          <t>Sveaskog</t>
        </is>
      </c>
      <c r="G30" t="n">
        <v>2.2</v>
      </c>
      <c r="H30" t="n">
        <v>0</v>
      </c>
      <c r="I30" t="n">
        <v>0</v>
      </c>
      <c r="J30" t="n">
        <v>1</v>
      </c>
      <c r="K30" t="n">
        <v>0</v>
      </c>
      <c r="L30" t="n">
        <v>0</v>
      </c>
      <c r="M30" t="n">
        <v>0</v>
      </c>
      <c r="N30" t="n">
        <v>0</v>
      </c>
      <c r="O30" t="n">
        <v>1</v>
      </c>
      <c r="P30" t="n">
        <v>0</v>
      </c>
      <c r="Q30" t="n">
        <v>1</v>
      </c>
      <c r="R30" s="2" t="inlineStr">
        <is>
          <t>Tallticka</t>
        </is>
      </c>
      <c r="S30">
        <f>HYPERLINK("https://klasma.github.io/Logging_2580/artfynd/A 32148-2025 artfynd.xlsx", "A 32148-2025")</f>
        <v/>
      </c>
      <c r="T30">
        <f>HYPERLINK("https://klasma.github.io/Logging_2580/kartor/A 32148-2025 karta.png", "A 32148-2025")</f>
        <v/>
      </c>
      <c r="V30">
        <f>HYPERLINK("https://klasma.github.io/Logging_2580/klagomål/A 32148-2025 FSC-klagomål.docx", "A 32148-2025")</f>
        <v/>
      </c>
      <c r="W30">
        <f>HYPERLINK("https://klasma.github.io/Logging_2580/klagomålsmail/A 32148-2025 FSC-klagomål mail.docx", "A 32148-2025")</f>
        <v/>
      </c>
      <c r="X30">
        <f>HYPERLINK("https://klasma.github.io/Logging_2580/tillsyn/A 32148-2025 tillsynsbegäran.docx", "A 32148-2025")</f>
        <v/>
      </c>
      <c r="Y30">
        <f>HYPERLINK("https://klasma.github.io/Logging_2580/tillsynsmail/A 32148-2025 tillsynsbegäran mail.docx", "A 32148-2025")</f>
        <v/>
      </c>
    </row>
    <row r="31" ht="15" customHeight="1">
      <c r="A31" t="inlineStr">
        <is>
          <t>A 31900-2025</t>
        </is>
      </c>
      <c r="B31" s="1" t="n">
        <v>45834</v>
      </c>
      <c r="C31" s="1" t="n">
        <v>45910</v>
      </c>
      <c r="D31" t="inlineStr">
        <is>
          <t>NORRBOTTENS LÄN</t>
        </is>
      </c>
      <c r="E31" t="inlineStr">
        <is>
          <t>LULEÅ</t>
        </is>
      </c>
      <c r="G31" t="n">
        <v>1.9</v>
      </c>
      <c r="H31" t="n">
        <v>0</v>
      </c>
      <c r="I31" t="n">
        <v>1</v>
      </c>
      <c r="J31" t="n">
        <v>0</v>
      </c>
      <c r="K31" t="n">
        <v>0</v>
      </c>
      <c r="L31" t="n">
        <v>0</v>
      </c>
      <c r="M31" t="n">
        <v>0</v>
      </c>
      <c r="N31" t="n">
        <v>0</v>
      </c>
      <c r="O31" t="n">
        <v>0</v>
      </c>
      <c r="P31" t="n">
        <v>0</v>
      </c>
      <c r="Q31" t="n">
        <v>1</v>
      </c>
      <c r="R31" s="2" t="inlineStr">
        <is>
          <t>Strutbräken</t>
        </is>
      </c>
      <c r="S31">
        <f>HYPERLINK("https://klasma.github.io/Logging_2580/artfynd/A 31900-2025 artfynd.xlsx", "A 31900-2025")</f>
        <v/>
      </c>
      <c r="T31">
        <f>HYPERLINK("https://klasma.github.io/Logging_2580/kartor/A 31900-2025 karta.png", "A 31900-2025")</f>
        <v/>
      </c>
      <c r="V31">
        <f>HYPERLINK("https://klasma.github.io/Logging_2580/klagomål/A 31900-2025 FSC-klagomål.docx", "A 31900-2025")</f>
        <v/>
      </c>
      <c r="W31">
        <f>HYPERLINK("https://klasma.github.io/Logging_2580/klagomålsmail/A 31900-2025 FSC-klagomål mail.docx", "A 31900-2025")</f>
        <v/>
      </c>
      <c r="X31">
        <f>HYPERLINK("https://klasma.github.io/Logging_2580/tillsyn/A 31900-2025 tillsynsbegäran.docx", "A 31900-2025")</f>
        <v/>
      </c>
      <c r="Y31">
        <f>HYPERLINK("https://klasma.github.io/Logging_2580/tillsynsmail/A 31900-2025 tillsynsbegäran mail.docx", "A 31900-2025")</f>
        <v/>
      </c>
    </row>
    <row r="32" ht="15" customHeight="1">
      <c r="A32" t="inlineStr">
        <is>
          <t>A 33514-2025</t>
        </is>
      </c>
      <c r="B32" s="1" t="n">
        <v>45841.52672453703</v>
      </c>
      <c r="C32" s="1" t="n">
        <v>45910</v>
      </c>
      <c r="D32" t="inlineStr">
        <is>
          <t>NORRBOTTENS LÄN</t>
        </is>
      </c>
      <c r="E32" t="inlineStr">
        <is>
          <t>LULEÅ</t>
        </is>
      </c>
      <c r="G32" t="n">
        <v>10</v>
      </c>
      <c r="H32" t="n">
        <v>1</v>
      </c>
      <c r="I32" t="n">
        <v>0</v>
      </c>
      <c r="J32" t="n">
        <v>0</v>
      </c>
      <c r="K32" t="n">
        <v>0</v>
      </c>
      <c r="L32" t="n">
        <v>0</v>
      </c>
      <c r="M32" t="n">
        <v>0</v>
      </c>
      <c r="N32" t="n">
        <v>0</v>
      </c>
      <c r="O32" t="n">
        <v>0</v>
      </c>
      <c r="P32" t="n">
        <v>0</v>
      </c>
      <c r="Q32" t="n">
        <v>1</v>
      </c>
      <c r="R32" s="2" t="inlineStr">
        <is>
          <t>Huggorm</t>
        </is>
      </c>
      <c r="S32">
        <f>HYPERLINK("https://klasma.github.io/Logging_2580/artfynd/A 33514-2025 artfynd.xlsx", "A 33514-2025")</f>
        <v/>
      </c>
      <c r="T32">
        <f>HYPERLINK("https://klasma.github.io/Logging_2580/kartor/A 33514-2025 karta.png", "A 33514-2025")</f>
        <v/>
      </c>
      <c r="V32">
        <f>HYPERLINK("https://klasma.github.io/Logging_2580/klagomål/A 33514-2025 FSC-klagomål.docx", "A 33514-2025")</f>
        <v/>
      </c>
      <c r="W32">
        <f>HYPERLINK("https://klasma.github.io/Logging_2580/klagomålsmail/A 33514-2025 FSC-klagomål mail.docx", "A 33514-2025")</f>
        <v/>
      </c>
      <c r="X32">
        <f>HYPERLINK("https://klasma.github.io/Logging_2580/tillsyn/A 33514-2025 tillsynsbegäran.docx", "A 33514-2025")</f>
        <v/>
      </c>
      <c r="Y32">
        <f>HYPERLINK("https://klasma.github.io/Logging_2580/tillsynsmail/A 33514-2025 tillsynsbegäran mail.docx", "A 33514-2025")</f>
        <v/>
      </c>
    </row>
    <row r="33" ht="15" customHeight="1">
      <c r="A33" t="inlineStr">
        <is>
          <t>A 59466-2023</t>
        </is>
      </c>
      <c r="B33" s="1" t="n">
        <v>45254.4122337963</v>
      </c>
      <c r="C33" s="1" t="n">
        <v>45910</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38889-2025</t>
        </is>
      </c>
      <c r="B34" s="1" t="n">
        <v>45887.58668981482</v>
      </c>
      <c r="C34" s="1" t="n">
        <v>45910</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59395-2024</t>
        </is>
      </c>
      <c r="B35" s="1" t="n">
        <v>45638</v>
      </c>
      <c r="C35" s="1" t="n">
        <v>45910</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3578-2025</t>
        </is>
      </c>
      <c r="B36" s="1" t="n">
        <v>45680</v>
      </c>
      <c r="C36" s="1" t="n">
        <v>45910</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60002-2024</t>
        </is>
      </c>
      <c r="B37" s="1" t="n">
        <v>45642.41423611111</v>
      </c>
      <c r="C37" s="1" t="n">
        <v>45910</v>
      </c>
      <c r="D37" t="inlineStr">
        <is>
          <t>NORRBOTTENS LÄN</t>
        </is>
      </c>
      <c r="E37" t="inlineStr">
        <is>
          <t>LULEÅ</t>
        </is>
      </c>
      <c r="G37" t="n">
        <v>5</v>
      </c>
      <c r="H37" t="n">
        <v>1</v>
      </c>
      <c r="I37" t="n">
        <v>0</v>
      </c>
      <c r="J37" t="n">
        <v>0</v>
      </c>
      <c r="K37" t="n">
        <v>0</v>
      </c>
      <c r="L37" t="n">
        <v>0</v>
      </c>
      <c r="M37" t="n">
        <v>0</v>
      </c>
      <c r="N37" t="n">
        <v>0</v>
      </c>
      <c r="O37" t="n">
        <v>0</v>
      </c>
      <c r="P37" t="n">
        <v>0</v>
      </c>
      <c r="Q37" t="n">
        <v>1</v>
      </c>
      <c r="R37" s="2" t="inlineStr">
        <is>
          <t>Fläcknycklar</t>
        </is>
      </c>
      <c r="S37">
        <f>HYPERLINK("https://klasma.github.io/Logging_2580/artfynd/A 60002-2024 artfynd.xlsx", "A 60002-2024")</f>
        <v/>
      </c>
      <c r="T37">
        <f>HYPERLINK("https://klasma.github.io/Logging_2580/kartor/A 60002-2024 karta.png", "A 60002-2024")</f>
        <v/>
      </c>
      <c r="V37">
        <f>HYPERLINK("https://klasma.github.io/Logging_2580/klagomål/A 60002-2024 FSC-klagomål.docx", "A 60002-2024")</f>
        <v/>
      </c>
      <c r="W37">
        <f>HYPERLINK("https://klasma.github.io/Logging_2580/klagomålsmail/A 60002-2024 FSC-klagomål mail.docx", "A 60002-2024")</f>
        <v/>
      </c>
      <c r="X37">
        <f>HYPERLINK("https://klasma.github.io/Logging_2580/tillsyn/A 60002-2024 tillsynsbegäran.docx", "A 60002-2024")</f>
        <v/>
      </c>
      <c r="Y37">
        <f>HYPERLINK("https://klasma.github.io/Logging_2580/tillsynsmail/A 60002-2024 tillsynsbegäran mail.docx", "A 60002-2024")</f>
        <v/>
      </c>
    </row>
    <row r="38" ht="15" customHeight="1">
      <c r="A38" t="inlineStr">
        <is>
          <t>A 17428-2023</t>
        </is>
      </c>
      <c r="B38" s="1" t="n">
        <v>45035.9266087963</v>
      </c>
      <c r="C38" s="1" t="n">
        <v>45910</v>
      </c>
      <c r="D38" t="inlineStr">
        <is>
          <t>NORRBOTTENS LÄN</t>
        </is>
      </c>
      <c r="E38" t="inlineStr">
        <is>
          <t>LULEÅ</t>
        </is>
      </c>
      <c r="G38" t="n">
        <v>2</v>
      </c>
      <c r="H38" t="n">
        <v>0</v>
      </c>
      <c r="I38" t="n">
        <v>1</v>
      </c>
      <c r="J38" t="n">
        <v>0</v>
      </c>
      <c r="K38" t="n">
        <v>0</v>
      </c>
      <c r="L38" t="n">
        <v>0</v>
      </c>
      <c r="M38" t="n">
        <v>0</v>
      </c>
      <c r="N38" t="n">
        <v>0</v>
      </c>
      <c r="O38" t="n">
        <v>0</v>
      </c>
      <c r="P38" t="n">
        <v>0</v>
      </c>
      <c r="Q38" t="n">
        <v>1</v>
      </c>
      <c r="R38" s="2" t="inlineStr">
        <is>
          <t>Mindre märgborre</t>
        </is>
      </c>
      <c r="S38">
        <f>HYPERLINK("https://klasma.github.io/Logging_2580/artfynd/A 17428-2023 artfynd.xlsx", "A 17428-2023")</f>
        <v/>
      </c>
      <c r="T38">
        <f>HYPERLINK("https://klasma.github.io/Logging_2580/kartor/A 17428-2023 karta.png", "A 17428-2023")</f>
        <v/>
      </c>
      <c r="V38">
        <f>HYPERLINK("https://klasma.github.io/Logging_2580/klagomål/A 17428-2023 FSC-klagomål.docx", "A 17428-2023")</f>
        <v/>
      </c>
      <c r="W38">
        <f>HYPERLINK("https://klasma.github.io/Logging_2580/klagomålsmail/A 17428-2023 FSC-klagomål mail.docx", "A 17428-2023")</f>
        <v/>
      </c>
      <c r="X38">
        <f>HYPERLINK("https://klasma.github.io/Logging_2580/tillsyn/A 17428-2023 tillsynsbegäran.docx", "A 17428-2023")</f>
        <v/>
      </c>
      <c r="Y38">
        <f>HYPERLINK("https://klasma.github.io/Logging_2580/tillsynsmail/A 17428-2023 tillsynsbegäran mail.docx", "A 17428-2023")</f>
        <v/>
      </c>
    </row>
    <row r="39" ht="15" customHeight="1">
      <c r="A39" t="inlineStr">
        <is>
          <t>A 739-2025</t>
        </is>
      </c>
      <c r="B39" s="1" t="n">
        <v>45664</v>
      </c>
      <c r="C39" s="1" t="n">
        <v>45910</v>
      </c>
      <c r="D39" t="inlineStr">
        <is>
          <t>NORRBOTTENS LÄN</t>
        </is>
      </c>
      <c r="E39" t="inlineStr">
        <is>
          <t>LULEÅ</t>
        </is>
      </c>
      <c r="G39" t="n">
        <v>1.8</v>
      </c>
      <c r="H39" t="n">
        <v>0</v>
      </c>
      <c r="I39" t="n">
        <v>0</v>
      </c>
      <c r="J39" t="n">
        <v>1</v>
      </c>
      <c r="K39" t="n">
        <v>0</v>
      </c>
      <c r="L39" t="n">
        <v>0</v>
      </c>
      <c r="M39" t="n">
        <v>0</v>
      </c>
      <c r="N39" t="n">
        <v>0</v>
      </c>
      <c r="O39" t="n">
        <v>1</v>
      </c>
      <c r="P39" t="n">
        <v>0</v>
      </c>
      <c r="Q39" t="n">
        <v>1</v>
      </c>
      <c r="R39" s="2" t="inlineStr">
        <is>
          <t>Garnlav</t>
        </is>
      </c>
      <c r="S39">
        <f>HYPERLINK("https://klasma.github.io/Logging_2580/artfynd/A 739-2025 artfynd.xlsx", "A 739-2025")</f>
        <v/>
      </c>
      <c r="T39">
        <f>HYPERLINK("https://klasma.github.io/Logging_2580/kartor/A 739-2025 karta.png", "A 739-2025")</f>
        <v/>
      </c>
      <c r="U39">
        <f>HYPERLINK("https://klasma.github.io/Logging_2580/knärot/A 739-2025 karta knärot.png", "A 739-2025")</f>
        <v/>
      </c>
      <c r="V39">
        <f>HYPERLINK("https://klasma.github.io/Logging_2580/klagomål/A 739-2025 FSC-klagomål.docx", "A 739-2025")</f>
        <v/>
      </c>
      <c r="W39">
        <f>HYPERLINK("https://klasma.github.io/Logging_2580/klagomålsmail/A 739-2025 FSC-klagomål mail.docx", "A 739-2025")</f>
        <v/>
      </c>
      <c r="X39">
        <f>HYPERLINK("https://klasma.github.io/Logging_2580/tillsyn/A 739-2025 tillsynsbegäran.docx", "A 739-2025")</f>
        <v/>
      </c>
      <c r="Y39">
        <f>HYPERLINK("https://klasma.github.io/Logging_2580/tillsynsmail/A 739-2025 tillsynsbegäran mail.docx", "A 739-2025")</f>
        <v/>
      </c>
    </row>
    <row r="40" ht="15" customHeight="1">
      <c r="A40" t="inlineStr">
        <is>
          <t>A 25528-2024</t>
        </is>
      </c>
      <c r="B40" s="1" t="n">
        <v>45463</v>
      </c>
      <c r="C40" s="1" t="n">
        <v>45910</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733-2025</t>
        </is>
      </c>
      <c r="B41" s="1" t="n">
        <v>45664</v>
      </c>
      <c r="C41" s="1" t="n">
        <v>45910</v>
      </c>
      <c r="D41" t="inlineStr">
        <is>
          <t>NORRBOTTENS LÄN</t>
        </is>
      </c>
      <c r="E41" t="inlineStr">
        <is>
          <t>LULEÅ</t>
        </is>
      </c>
      <c r="G41" t="n">
        <v>0.8</v>
      </c>
      <c r="H41" t="n">
        <v>0</v>
      </c>
      <c r="I41" t="n">
        <v>0</v>
      </c>
      <c r="J41" t="n">
        <v>1</v>
      </c>
      <c r="K41" t="n">
        <v>0</v>
      </c>
      <c r="L41" t="n">
        <v>0</v>
      </c>
      <c r="M41" t="n">
        <v>0</v>
      </c>
      <c r="N41" t="n">
        <v>0</v>
      </c>
      <c r="O41" t="n">
        <v>1</v>
      </c>
      <c r="P41" t="n">
        <v>0</v>
      </c>
      <c r="Q41" t="n">
        <v>1</v>
      </c>
      <c r="R41" s="2" t="inlineStr">
        <is>
          <t>Gränsticka</t>
        </is>
      </c>
      <c r="S41">
        <f>HYPERLINK("https://klasma.github.io/Logging_2580/artfynd/A 733-2025 artfynd.xlsx", "A 733-2025")</f>
        <v/>
      </c>
      <c r="T41">
        <f>HYPERLINK("https://klasma.github.io/Logging_2580/kartor/A 733-2025 karta.png", "A 733-2025")</f>
        <v/>
      </c>
      <c r="V41">
        <f>HYPERLINK("https://klasma.github.io/Logging_2580/klagomål/A 733-2025 FSC-klagomål.docx", "A 733-2025")</f>
        <v/>
      </c>
      <c r="W41">
        <f>HYPERLINK("https://klasma.github.io/Logging_2580/klagomålsmail/A 733-2025 FSC-klagomål mail.docx", "A 733-2025")</f>
        <v/>
      </c>
      <c r="X41">
        <f>HYPERLINK("https://klasma.github.io/Logging_2580/tillsyn/A 733-2025 tillsynsbegäran.docx", "A 733-2025")</f>
        <v/>
      </c>
      <c r="Y41">
        <f>HYPERLINK("https://klasma.github.io/Logging_2580/tillsynsmail/A 733-2025 tillsynsbegäran mail.docx", "A 733-2025")</f>
        <v/>
      </c>
    </row>
    <row r="42" ht="15" customHeight="1">
      <c r="A42" t="inlineStr">
        <is>
          <t>A 6527-2021</t>
        </is>
      </c>
      <c r="B42" s="1" t="n">
        <v>44236</v>
      </c>
      <c r="C42" s="1" t="n">
        <v>45910</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48323-2022</t>
        </is>
      </c>
      <c r="B43" s="1" t="n">
        <v>44854</v>
      </c>
      <c r="C43" s="1" t="n">
        <v>45910</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45910</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61490-2020</t>
        </is>
      </c>
      <c r="B45" s="1" t="n">
        <v>44158</v>
      </c>
      <c r="C45" s="1" t="n">
        <v>45910</v>
      </c>
      <c r="D45" t="inlineStr">
        <is>
          <t>NORRBOTTENS LÄN</t>
        </is>
      </c>
      <c r="E45" t="inlineStr">
        <is>
          <t>LULEÅ</t>
        </is>
      </c>
      <c r="G45" t="n">
        <v>0.7</v>
      </c>
      <c r="H45" t="n">
        <v>0</v>
      </c>
      <c r="I45" t="n">
        <v>0</v>
      </c>
      <c r="J45" t="n">
        <v>0</v>
      </c>
      <c r="K45" t="n">
        <v>0</v>
      </c>
      <c r="L45" t="n">
        <v>0</v>
      </c>
      <c r="M45" t="n">
        <v>0</v>
      </c>
      <c r="N45" t="n">
        <v>0</v>
      </c>
      <c r="O45" t="n">
        <v>0</v>
      </c>
      <c r="P45" t="n">
        <v>0</v>
      </c>
      <c r="Q45" t="n">
        <v>0</v>
      </c>
      <c r="R45" s="2" t="inlineStr"/>
    </row>
    <row r="46" ht="15" customHeight="1">
      <c r="A46" t="inlineStr">
        <is>
          <t>A 56781-2021</t>
        </is>
      </c>
      <c r="B46" s="1" t="n">
        <v>44481</v>
      </c>
      <c r="C46" s="1" t="n">
        <v>45910</v>
      </c>
      <c r="D46" t="inlineStr">
        <is>
          <t>NORRBOTTENS LÄN</t>
        </is>
      </c>
      <c r="E46" t="inlineStr">
        <is>
          <t>LULEÅ</t>
        </is>
      </c>
      <c r="G46" t="n">
        <v>2.2</v>
      </c>
      <c r="H46" t="n">
        <v>0</v>
      </c>
      <c r="I46" t="n">
        <v>0</v>
      </c>
      <c r="J46" t="n">
        <v>0</v>
      </c>
      <c r="K46" t="n">
        <v>0</v>
      </c>
      <c r="L46" t="n">
        <v>0</v>
      </c>
      <c r="M46" t="n">
        <v>0</v>
      </c>
      <c r="N46" t="n">
        <v>0</v>
      </c>
      <c r="O46" t="n">
        <v>0</v>
      </c>
      <c r="P46" t="n">
        <v>0</v>
      </c>
      <c r="Q46" t="n">
        <v>0</v>
      </c>
      <c r="R46" s="2" t="inlineStr"/>
    </row>
    <row r="47" ht="15" customHeight="1">
      <c r="A47" t="inlineStr">
        <is>
          <t>A 3951-2022</t>
        </is>
      </c>
      <c r="B47" s="1" t="n">
        <v>44587</v>
      </c>
      <c r="C47" s="1" t="n">
        <v>45910</v>
      </c>
      <c r="D47" t="inlineStr">
        <is>
          <t>NORRBOTTENS LÄN</t>
        </is>
      </c>
      <c r="E47" t="inlineStr">
        <is>
          <t>LULEÅ</t>
        </is>
      </c>
      <c r="G47" t="n">
        <v>2.7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45910</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45910</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45910</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51128-2020</t>
        </is>
      </c>
      <c r="B51" s="1" t="n">
        <v>44112</v>
      </c>
      <c r="C51" s="1" t="n">
        <v>45910</v>
      </c>
      <c r="D51" t="inlineStr">
        <is>
          <t>NORRBOTTENS LÄN</t>
        </is>
      </c>
      <c r="E51" t="inlineStr">
        <is>
          <t>LULEÅ</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45910</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45910</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7726-2021</t>
        </is>
      </c>
      <c r="B54" s="1" t="n">
        <v>44239</v>
      </c>
      <c r="C54" s="1" t="n">
        <v>45910</v>
      </c>
      <c r="D54" t="inlineStr">
        <is>
          <t>NORRBOTTENS LÄN</t>
        </is>
      </c>
      <c r="E54" t="inlineStr">
        <is>
          <t>LULEÅ</t>
        </is>
      </c>
      <c r="G54" t="n">
        <v>0.7</v>
      </c>
      <c r="H54" t="n">
        <v>0</v>
      </c>
      <c r="I54" t="n">
        <v>0</v>
      </c>
      <c r="J54" t="n">
        <v>0</v>
      </c>
      <c r="K54" t="n">
        <v>0</v>
      </c>
      <c r="L54" t="n">
        <v>0</v>
      </c>
      <c r="M54" t="n">
        <v>0</v>
      </c>
      <c r="N54" t="n">
        <v>0</v>
      </c>
      <c r="O54" t="n">
        <v>0</v>
      </c>
      <c r="P54" t="n">
        <v>0</v>
      </c>
      <c r="Q54" t="n">
        <v>0</v>
      </c>
      <c r="R54" s="2" t="inlineStr"/>
    </row>
    <row r="55" ht="15" customHeight="1">
      <c r="A55" t="inlineStr">
        <is>
          <t>A 47170-2022</t>
        </is>
      </c>
      <c r="B55" s="1" t="n">
        <v>44852.61033564815</v>
      </c>
      <c r="C55" s="1" t="n">
        <v>45910</v>
      </c>
      <c r="D55" t="inlineStr">
        <is>
          <t>NORRBOTTENS LÄN</t>
        </is>
      </c>
      <c r="E55" t="inlineStr">
        <is>
          <t>LULEÅ</t>
        </is>
      </c>
      <c r="G55" t="n">
        <v>7.7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45910</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45910</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61600-2020</t>
        </is>
      </c>
      <c r="B58" s="1" t="n">
        <v>44154</v>
      </c>
      <c r="C58" s="1" t="n">
        <v>45910</v>
      </c>
      <c r="D58" t="inlineStr">
        <is>
          <t>NORRBOTTENS LÄN</t>
        </is>
      </c>
      <c r="E58" t="inlineStr">
        <is>
          <t>LULEÅ</t>
        </is>
      </c>
      <c r="G58" t="n">
        <v>1</v>
      </c>
      <c r="H58" t="n">
        <v>0</v>
      </c>
      <c r="I58" t="n">
        <v>0</v>
      </c>
      <c r="J58" t="n">
        <v>0</v>
      </c>
      <c r="K58" t="n">
        <v>0</v>
      </c>
      <c r="L58" t="n">
        <v>0</v>
      </c>
      <c r="M58" t="n">
        <v>0</v>
      </c>
      <c r="N58" t="n">
        <v>0</v>
      </c>
      <c r="O58" t="n">
        <v>0</v>
      </c>
      <c r="P58" t="n">
        <v>0</v>
      </c>
      <c r="Q58" t="n">
        <v>0</v>
      </c>
      <c r="R58" s="2" t="inlineStr"/>
    </row>
    <row r="59" ht="15" customHeight="1">
      <c r="A59" t="inlineStr">
        <is>
          <t>A 48341-2022</t>
        </is>
      </c>
      <c r="B59" s="1" t="n">
        <v>44854</v>
      </c>
      <c r="C59" s="1" t="n">
        <v>45910</v>
      </c>
      <c r="D59" t="inlineStr">
        <is>
          <t>NORRBOTTENS LÄN</t>
        </is>
      </c>
      <c r="E59" t="inlineStr">
        <is>
          <t>LULEÅ</t>
        </is>
      </c>
      <c r="G59" t="n">
        <v>2.9</v>
      </c>
      <c r="H59" t="n">
        <v>0</v>
      </c>
      <c r="I59" t="n">
        <v>0</v>
      </c>
      <c r="J59" t="n">
        <v>0</v>
      </c>
      <c r="K59" t="n">
        <v>0</v>
      </c>
      <c r="L59" t="n">
        <v>0</v>
      </c>
      <c r="M59" t="n">
        <v>0</v>
      </c>
      <c r="N59" t="n">
        <v>0</v>
      </c>
      <c r="O59" t="n">
        <v>0</v>
      </c>
      <c r="P59" t="n">
        <v>0</v>
      </c>
      <c r="Q59" t="n">
        <v>0</v>
      </c>
      <c r="R59" s="2" t="inlineStr"/>
    </row>
    <row r="60" ht="15" customHeight="1">
      <c r="A60" t="inlineStr">
        <is>
          <t>A 14886-2021</t>
        </is>
      </c>
      <c r="B60" s="1" t="n">
        <v>44280</v>
      </c>
      <c r="C60" s="1" t="n">
        <v>45910</v>
      </c>
      <c r="D60" t="inlineStr">
        <is>
          <t>NORRBOTTENS LÄN</t>
        </is>
      </c>
      <c r="E60" t="inlineStr">
        <is>
          <t>LULEÅ</t>
        </is>
      </c>
      <c r="G60" t="n">
        <v>0.6</v>
      </c>
      <c r="H60" t="n">
        <v>0</v>
      </c>
      <c r="I60" t="n">
        <v>0</v>
      </c>
      <c r="J60" t="n">
        <v>0</v>
      </c>
      <c r="K60" t="n">
        <v>0</v>
      </c>
      <c r="L60" t="n">
        <v>0</v>
      </c>
      <c r="M60" t="n">
        <v>0</v>
      </c>
      <c r="N60" t="n">
        <v>0</v>
      </c>
      <c r="O60" t="n">
        <v>0</v>
      </c>
      <c r="P60" t="n">
        <v>0</v>
      </c>
      <c r="Q60" t="n">
        <v>0</v>
      </c>
      <c r="R60" s="2" t="inlineStr"/>
    </row>
    <row r="61" ht="15" customHeight="1">
      <c r="A61" t="inlineStr">
        <is>
          <t>A 73645-2021</t>
        </is>
      </c>
      <c r="B61" s="1" t="n">
        <v>44550</v>
      </c>
      <c r="C61" s="1" t="n">
        <v>45910</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45910</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45910</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45910</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45910</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45910</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45910</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30027-2021</t>
        </is>
      </c>
      <c r="B68" s="1" t="n">
        <v>44363</v>
      </c>
      <c r="C68" s="1" t="n">
        <v>45910</v>
      </c>
      <c r="D68" t="inlineStr">
        <is>
          <t>NORRBOTTENS LÄN</t>
        </is>
      </c>
      <c r="E68" t="inlineStr">
        <is>
          <t>LULEÅ</t>
        </is>
      </c>
      <c r="G68" t="n">
        <v>5.8</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45910</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45910</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45910</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45910</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2369-2021</t>
        </is>
      </c>
      <c r="B73" s="1" t="n">
        <v>44211</v>
      </c>
      <c r="C73" s="1" t="n">
        <v>45910</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74437-2021</t>
        </is>
      </c>
      <c r="B74" s="1" t="n">
        <v>44558</v>
      </c>
      <c r="C74" s="1" t="n">
        <v>45910</v>
      </c>
      <c r="D74" t="inlineStr">
        <is>
          <t>NORRBOTTENS LÄN</t>
        </is>
      </c>
      <c r="E74" t="inlineStr">
        <is>
          <t>LULEÅ</t>
        </is>
      </c>
      <c r="G74" t="n">
        <v>2.7</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45910</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45910</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64527-2020</t>
        </is>
      </c>
      <c r="B77" s="1" t="n">
        <v>44166</v>
      </c>
      <c r="C77" s="1" t="n">
        <v>45910</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45910</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45910</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45910</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45910</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45910</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45910</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45910</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45910</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45910</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45910</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45910</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45910</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45910</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45910</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45910</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45910</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45910</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45910</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45910</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45910</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45910</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45910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8834-2021</t>
        </is>
      </c>
      <c r="B100" s="1" t="n">
        <v>44245</v>
      </c>
      <c r="C100" s="1" t="n">
        <v>45910</v>
      </c>
      <c r="D100" t="inlineStr">
        <is>
          <t>NORRBOTTENS LÄN</t>
        </is>
      </c>
      <c r="E100" t="inlineStr">
        <is>
          <t>LULEÅ</t>
        </is>
      </c>
      <c r="G100" t="n">
        <v>7.7</v>
      </c>
      <c r="H100" t="n">
        <v>0</v>
      </c>
      <c r="I100" t="n">
        <v>0</v>
      </c>
      <c r="J100" t="n">
        <v>0</v>
      </c>
      <c r="K100" t="n">
        <v>0</v>
      </c>
      <c r="L100" t="n">
        <v>0</v>
      </c>
      <c r="M100" t="n">
        <v>0</v>
      </c>
      <c r="N100" t="n">
        <v>0</v>
      </c>
      <c r="O100" t="n">
        <v>0</v>
      </c>
      <c r="P100" t="n">
        <v>0</v>
      </c>
      <c r="Q100" t="n">
        <v>0</v>
      </c>
      <c r="R100" s="2" t="inlineStr"/>
    </row>
    <row r="101" ht="15" customHeight="1">
      <c r="A101" t="inlineStr">
        <is>
          <t>A 35766-2022</t>
        </is>
      </c>
      <c r="B101" s="1" t="n">
        <v>44800</v>
      </c>
      <c r="C101" s="1" t="n">
        <v>45910</v>
      </c>
      <c r="D101" t="inlineStr">
        <is>
          <t>NORRBOTTENS LÄN</t>
        </is>
      </c>
      <c r="E101" t="inlineStr">
        <is>
          <t>LULEÅ</t>
        </is>
      </c>
      <c r="G101" t="n">
        <v>0.7</v>
      </c>
      <c r="H101" t="n">
        <v>0</v>
      </c>
      <c r="I101" t="n">
        <v>0</v>
      </c>
      <c r="J101" t="n">
        <v>0</v>
      </c>
      <c r="K101" t="n">
        <v>0</v>
      </c>
      <c r="L101" t="n">
        <v>0</v>
      </c>
      <c r="M101" t="n">
        <v>0</v>
      </c>
      <c r="N101" t="n">
        <v>0</v>
      </c>
      <c r="O101" t="n">
        <v>0</v>
      </c>
      <c r="P101" t="n">
        <v>0</v>
      </c>
      <c r="Q101" t="n">
        <v>0</v>
      </c>
      <c r="R101" s="2" t="inlineStr"/>
    </row>
    <row r="102" ht="15" customHeight="1">
      <c r="A102" t="inlineStr">
        <is>
          <t>A 44688-2022</t>
        </is>
      </c>
      <c r="B102" s="1" t="n">
        <v>44839</v>
      </c>
      <c r="C102" s="1" t="n">
        <v>45910</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45910</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68808-2021</t>
        </is>
      </c>
      <c r="B104" s="1" t="n">
        <v>44529</v>
      </c>
      <c r="C104" s="1" t="n">
        <v>45910</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45910</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1144-2021</t>
        </is>
      </c>
      <c r="B106" s="1" t="n">
        <v>44207</v>
      </c>
      <c r="C106" s="1" t="n">
        <v>45910</v>
      </c>
      <c r="D106" t="inlineStr">
        <is>
          <t>NORRBOTTENS LÄN</t>
        </is>
      </c>
      <c r="E106" t="inlineStr">
        <is>
          <t>LULEÅ</t>
        </is>
      </c>
      <c r="G106" t="n">
        <v>3.2</v>
      </c>
      <c r="H106" t="n">
        <v>0</v>
      </c>
      <c r="I106" t="n">
        <v>0</v>
      </c>
      <c r="J106" t="n">
        <v>0</v>
      </c>
      <c r="K106" t="n">
        <v>0</v>
      </c>
      <c r="L106" t="n">
        <v>0</v>
      </c>
      <c r="M106" t="n">
        <v>0</v>
      </c>
      <c r="N106" t="n">
        <v>0</v>
      </c>
      <c r="O106" t="n">
        <v>0</v>
      </c>
      <c r="P106" t="n">
        <v>0</v>
      </c>
      <c r="Q106" t="n">
        <v>0</v>
      </c>
      <c r="R106" s="2" t="inlineStr"/>
    </row>
    <row r="107" ht="15" customHeight="1">
      <c r="A107" t="inlineStr">
        <is>
          <t>A 1147-2021</t>
        </is>
      </c>
      <c r="B107" s="1" t="n">
        <v>44207</v>
      </c>
      <c r="C107" s="1" t="n">
        <v>45910</v>
      </c>
      <c r="D107" t="inlineStr">
        <is>
          <t>NORRBOTTENS LÄN</t>
        </is>
      </c>
      <c r="E107" t="inlineStr">
        <is>
          <t>LULEÅ</t>
        </is>
      </c>
      <c r="G107" t="n">
        <v>6.5</v>
      </c>
      <c r="H107" t="n">
        <v>0</v>
      </c>
      <c r="I107" t="n">
        <v>0</v>
      </c>
      <c r="J107" t="n">
        <v>0</v>
      </c>
      <c r="K107" t="n">
        <v>0</v>
      </c>
      <c r="L107" t="n">
        <v>0</v>
      </c>
      <c r="M107" t="n">
        <v>0</v>
      </c>
      <c r="N107" t="n">
        <v>0</v>
      </c>
      <c r="O107" t="n">
        <v>0</v>
      </c>
      <c r="P107" t="n">
        <v>0</v>
      </c>
      <c r="Q107" t="n">
        <v>0</v>
      </c>
      <c r="R107" s="2" t="inlineStr"/>
    </row>
    <row r="108" ht="15" customHeight="1">
      <c r="A108" t="inlineStr">
        <is>
          <t>A 5559-2021</t>
        </is>
      </c>
      <c r="B108" s="1" t="n">
        <v>44229</v>
      </c>
      <c r="C108" s="1" t="n">
        <v>45910</v>
      </c>
      <c r="D108" t="inlineStr">
        <is>
          <t>NORRBOTTENS LÄN</t>
        </is>
      </c>
      <c r="E108" t="inlineStr">
        <is>
          <t>LULEÅ</t>
        </is>
      </c>
      <c r="G108" t="n">
        <v>1.3</v>
      </c>
      <c r="H108" t="n">
        <v>0</v>
      </c>
      <c r="I108" t="n">
        <v>0</v>
      </c>
      <c r="J108" t="n">
        <v>0</v>
      </c>
      <c r="K108" t="n">
        <v>0</v>
      </c>
      <c r="L108" t="n">
        <v>0</v>
      </c>
      <c r="M108" t="n">
        <v>0</v>
      </c>
      <c r="N108" t="n">
        <v>0</v>
      </c>
      <c r="O108" t="n">
        <v>0</v>
      </c>
      <c r="P108" t="n">
        <v>0</v>
      </c>
      <c r="Q108" t="n">
        <v>0</v>
      </c>
      <c r="R108" s="2" t="inlineStr"/>
    </row>
    <row r="109" ht="15" customHeight="1">
      <c r="A109" t="inlineStr">
        <is>
          <t>A 68307-2021</t>
        </is>
      </c>
      <c r="B109" s="1" t="n">
        <v>44526</v>
      </c>
      <c r="C109" s="1" t="n">
        <v>45910</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45910</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45910</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45910</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45910</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45910</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45910</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59858-2020</t>
        </is>
      </c>
      <c r="B116" s="1" t="n">
        <v>44148</v>
      </c>
      <c r="C116" s="1" t="n">
        <v>45910</v>
      </c>
      <c r="D116" t="inlineStr">
        <is>
          <t>NORRBOTTENS LÄN</t>
        </is>
      </c>
      <c r="E116" t="inlineStr">
        <is>
          <t>LULEÅ</t>
        </is>
      </c>
      <c r="G116" t="n">
        <v>0.8</v>
      </c>
      <c r="H116" t="n">
        <v>0</v>
      </c>
      <c r="I116" t="n">
        <v>0</v>
      </c>
      <c r="J116" t="n">
        <v>0</v>
      </c>
      <c r="K116" t="n">
        <v>0</v>
      </c>
      <c r="L116" t="n">
        <v>0</v>
      </c>
      <c r="M116" t="n">
        <v>0</v>
      </c>
      <c r="N116" t="n">
        <v>0</v>
      </c>
      <c r="O116" t="n">
        <v>0</v>
      </c>
      <c r="P116" t="n">
        <v>0</v>
      </c>
      <c r="Q116" t="n">
        <v>0</v>
      </c>
      <c r="R116" s="2" t="inlineStr"/>
    </row>
    <row r="117" ht="15" customHeight="1">
      <c r="A117" t="inlineStr">
        <is>
          <t>A 46826-2021</t>
        </is>
      </c>
      <c r="B117" s="1" t="n">
        <v>44446</v>
      </c>
      <c r="C117" s="1" t="n">
        <v>45910</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13248-2021</t>
        </is>
      </c>
      <c r="B118" s="1" t="n">
        <v>44272</v>
      </c>
      <c r="C118" s="1" t="n">
        <v>45910</v>
      </c>
      <c r="D118" t="inlineStr">
        <is>
          <t>NORRBOTTENS LÄN</t>
        </is>
      </c>
      <c r="E118" t="inlineStr">
        <is>
          <t>LULEÅ</t>
        </is>
      </c>
      <c r="G118" t="n">
        <v>9.9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45910</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45910</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66925-2020</t>
        </is>
      </c>
      <c r="B121" s="1" t="n">
        <v>44176</v>
      </c>
      <c r="C121" s="1" t="n">
        <v>45910</v>
      </c>
      <c r="D121" t="inlineStr">
        <is>
          <t>NORRBOTTENS LÄN</t>
        </is>
      </c>
      <c r="E121" t="inlineStr">
        <is>
          <t>LULEÅ</t>
        </is>
      </c>
      <c r="G121" t="n">
        <v>1.8</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45910</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60642-2020</t>
        </is>
      </c>
      <c r="B123" s="1" t="n">
        <v>44152</v>
      </c>
      <c r="C123" s="1" t="n">
        <v>45910</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59552-2021</t>
        </is>
      </c>
      <c r="B124" s="1" t="n">
        <v>44491</v>
      </c>
      <c r="C124" s="1" t="n">
        <v>45910</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45910</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73907-2021</t>
        </is>
      </c>
      <c r="B126" s="1" t="n">
        <v>44552</v>
      </c>
      <c r="C126" s="1" t="n">
        <v>45910</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9929-2022</t>
        </is>
      </c>
      <c r="B127" s="1" t="n">
        <v>44620.92225694445</v>
      </c>
      <c r="C127" s="1" t="n">
        <v>45910</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9930-2022</t>
        </is>
      </c>
      <c r="B128" s="1" t="n">
        <v>44620.92230324074</v>
      </c>
      <c r="C128" s="1" t="n">
        <v>45910</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32378-2021</t>
        </is>
      </c>
      <c r="B129" s="1" t="n">
        <v>44371.61725694445</v>
      </c>
      <c r="C129" s="1" t="n">
        <v>45910</v>
      </c>
      <c r="D129" t="inlineStr">
        <is>
          <t>NORRBOTTENS LÄN</t>
        </is>
      </c>
      <c r="E129" t="inlineStr">
        <is>
          <t>LULEÅ</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44987-2022</t>
        </is>
      </c>
      <c r="B130" s="1" t="n">
        <v>44841.59989583334</v>
      </c>
      <c r="C130" s="1" t="n">
        <v>45910</v>
      </c>
      <c r="D130" t="inlineStr">
        <is>
          <t>NORRBOTTENS LÄN</t>
        </is>
      </c>
      <c r="E130" t="inlineStr">
        <is>
          <t>LULEÅ</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45910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45910</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45910</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53118-2020</t>
        </is>
      </c>
      <c r="B134" s="1" t="n">
        <v>44120</v>
      </c>
      <c r="C134" s="1" t="n">
        <v>45910</v>
      </c>
      <c r="D134" t="inlineStr">
        <is>
          <t>NORRBOTTENS LÄN</t>
        </is>
      </c>
      <c r="E134" t="inlineStr">
        <is>
          <t>LULEÅ</t>
        </is>
      </c>
      <c r="G134" t="n">
        <v>0.6</v>
      </c>
      <c r="H134" t="n">
        <v>0</v>
      </c>
      <c r="I134" t="n">
        <v>0</v>
      </c>
      <c r="J134" t="n">
        <v>0</v>
      </c>
      <c r="K134" t="n">
        <v>0</v>
      </c>
      <c r="L134" t="n">
        <v>0</v>
      </c>
      <c r="M134" t="n">
        <v>0</v>
      </c>
      <c r="N134" t="n">
        <v>0</v>
      </c>
      <c r="O134" t="n">
        <v>0</v>
      </c>
      <c r="P134" t="n">
        <v>0</v>
      </c>
      <c r="Q134" t="n">
        <v>0</v>
      </c>
      <c r="R134" s="2" t="inlineStr"/>
    </row>
    <row r="135" ht="15" customHeight="1">
      <c r="A135" t="inlineStr">
        <is>
          <t>A 434-2022</t>
        </is>
      </c>
      <c r="B135" s="1" t="n">
        <v>44565.92913194445</v>
      </c>
      <c r="C135" s="1" t="n">
        <v>45910</v>
      </c>
      <c r="D135" t="inlineStr">
        <is>
          <t>NORRBOTTENS LÄN</t>
        </is>
      </c>
      <c r="E135" t="inlineStr">
        <is>
          <t>LULEÅ</t>
        </is>
      </c>
      <c r="G135" t="n">
        <v>0.4</v>
      </c>
      <c r="H135" t="n">
        <v>0</v>
      </c>
      <c r="I135" t="n">
        <v>0</v>
      </c>
      <c r="J135" t="n">
        <v>0</v>
      </c>
      <c r="K135" t="n">
        <v>0</v>
      </c>
      <c r="L135" t="n">
        <v>0</v>
      </c>
      <c r="M135" t="n">
        <v>0</v>
      </c>
      <c r="N135" t="n">
        <v>0</v>
      </c>
      <c r="O135" t="n">
        <v>0</v>
      </c>
      <c r="P135" t="n">
        <v>0</v>
      </c>
      <c r="Q135" t="n">
        <v>0</v>
      </c>
      <c r="R135" s="2" t="inlineStr"/>
    </row>
    <row r="136" ht="15" customHeight="1">
      <c r="A136" t="inlineStr">
        <is>
          <t>A 11848-2021</t>
        </is>
      </c>
      <c r="B136" s="1" t="n">
        <v>44264</v>
      </c>
      <c r="C136" s="1" t="n">
        <v>45910</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44705-2022</t>
        </is>
      </c>
      <c r="B137" s="1" t="n">
        <v>44839</v>
      </c>
      <c r="C137" s="1" t="n">
        <v>45910</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6718-2024</t>
        </is>
      </c>
      <c r="B138" s="1" t="n">
        <v>45342</v>
      </c>
      <c r="C138" s="1" t="n">
        <v>45910</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9282-2023</t>
        </is>
      </c>
      <c r="B139" s="1" t="n">
        <v>44977</v>
      </c>
      <c r="C139" s="1" t="n">
        <v>45910</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71909-2021</t>
        </is>
      </c>
      <c r="B140" s="1" t="n">
        <v>44543.92140046296</v>
      </c>
      <c r="C140" s="1" t="n">
        <v>45910</v>
      </c>
      <c r="D140" t="inlineStr">
        <is>
          <t>NORRBOTTENS LÄN</t>
        </is>
      </c>
      <c r="E140" t="inlineStr">
        <is>
          <t>LULEÅ</t>
        </is>
      </c>
      <c r="G140" t="n">
        <v>2</v>
      </c>
      <c r="H140" t="n">
        <v>0</v>
      </c>
      <c r="I140" t="n">
        <v>0</v>
      </c>
      <c r="J140" t="n">
        <v>0</v>
      </c>
      <c r="K140" t="n">
        <v>0</v>
      </c>
      <c r="L140" t="n">
        <v>0</v>
      </c>
      <c r="M140" t="n">
        <v>0</v>
      </c>
      <c r="N140" t="n">
        <v>0</v>
      </c>
      <c r="O140" t="n">
        <v>0</v>
      </c>
      <c r="P140" t="n">
        <v>0</v>
      </c>
      <c r="Q140" t="n">
        <v>0</v>
      </c>
      <c r="R140" s="2" t="inlineStr"/>
    </row>
    <row r="141" ht="15" customHeight="1">
      <c r="A141" t="inlineStr">
        <is>
          <t>A 10815-2024</t>
        </is>
      </c>
      <c r="B141" s="1" t="n">
        <v>45369</v>
      </c>
      <c r="C141" s="1" t="n">
        <v>45910</v>
      </c>
      <c r="D141" t="inlineStr">
        <is>
          <t>NORRBOTTENS LÄN</t>
        </is>
      </c>
      <c r="E141" t="inlineStr">
        <is>
          <t>LULEÅ</t>
        </is>
      </c>
      <c r="G141" t="n">
        <v>2.5</v>
      </c>
      <c r="H141" t="n">
        <v>0</v>
      </c>
      <c r="I141" t="n">
        <v>0</v>
      </c>
      <c r="J141" t="n">
        <v>0</v>
      </c>
      <c r="K141" t="n">
        <v>0</v>
      </c>
      <c r="L141" t="n">
        <v>0</v>
      </c>
      <c r="M141" t="n">
        <v>0</v>
      </c>
      <c r="N141" t="n">
        <v>0</v>
      </c>
      <c r="O141" t="n">
        <v>0</v>
      </c>
      <c r="P141" t="n">
        <v>0</v>
      </c>
      <c r="Q141" t="n">
        <v>0</v>
      </c>
      <c r="R141" s="2" t="inlineStr"/>
    </row>
    <row r="142" ht="15" customHeight="1">
      <c r="A142" t="inlineStr">
        <is>
          <t>A 22007-2024</t>
        </is>
      </c>
      <c r="B142" s="1" t="n">
        <v>45443</v>
      </c>
      <c r="C142" s="1" t="n">
        <v>45910</v>
      </c>
      <c r="D142" t="inlineStr">
        <is>
          <t>NORRBOTTENS LÄN</t>
        </is>
      </c>
      <c r="E142" t="inlineStr">
        <is>
          <t>LULEÅ</t>
        </is>
      </c>
      <c r="G142" t="n">
        <v>1.4</v>
      </c>
      <c r="H142" t="n">
        <v>0</v>
      </c>
      <c r="I142" t="n">
        <v>0</v>
      </c>
      <c r="J142" t="n">
        <v>0</v>
      </c>
      <c r="K142" t="n">
        <v>0</v>
      </c>
      <c r="L142" t="n">
        <v>0</v>
      </c>
      <c r="M142" t="n">
        <v>0</v>
      </c>
      <c r="N142" t="n">
        <v>0</v>
      </c>
      <c r="O142" t="n">
        <v>0</v>
      </c>
      <c r="P142" t="n">
        <v>0</v>
      </c>
      <c r="Q142" t="n">
        <v>0</v>
      </c>
      <c r="R142" s="2" t="inlineStr"/>
    </row>
    <row r="143" ht="15" customHeight="1">
      <c r="A143" t="inlineStr">
        <is>
          <t>A 9932-2022</t>
        </is>
      </c>
      <c r="B143" s="1" t="n">
        <v>44620</v>
      </c>
      <c r="C143" s="1" t="n">
        <v>45910</v>
      </c>
      <c r="D143" t="inlineStr">
        <is>
          <t>NORRBOTTENS LÄN</t>
        </is>
      </c>
      <c r="E143" t="inlineStr">
        <is>
          <t>LULEÅ</t>
        </is>
      </c>
      <c r="G143" t="n">
        <v>3.8</v>
      </c>
      <c r="H143" t="n">
        <v>0</v>
      </c>
      <c r="I143" t="n">
        <v>0</v>
      </c>
      <c r="J143" t="n">
        <v>0</v>
      </c>
      <c r="K143" t="n">
        <v>0</v>
      </c>
      <c r="L143" t="n">
        <v>0</v>
      </c>
      <c r="M143" t="n">
        <v>0</v>
      </c>
      <c r="N143" t="n">
        <v>0</v>
      </c>
      <c r="O143" t="n">
        <v>0</v>
      </c>
      <c r="P143" t="n">
        <v>0</v>
      </c>
      <c r="Q143" t="n">
        <v>0</v>
      </c>
      <c r="R143" s="2" t="inlineStr"/>
    </row>
    <row r="144" ht="15" customHeight="1">
      <c r="A144" t="inlineStr">
        <is>
          <t>A 3128-2023</t>
        </is>
      </c>
      <c r="B144" s="1" t="n">
        <v>44946</v>
      </c>
      <c r="C144" s="1" t="n">
        <v>45910</v>
      </c>
      <c r="D144" t="inlineStr">
        <is>
          <t>NORRBOTTENS LÄN</t>
        </is>
      </c>
      <c r="E144" t="inlineStr">
        <is>
          <t>LULEÅ</t>
        </is>
      </c>
      <c r="G144" t="n">
        <v>5</v>
      </c>
      <c r="H144" t="n">
        <v>0</v>
      </c>
      <c r="I144" t="n">
        <v>0</v>
      </c>
      <c r="J144" t="n">
        <v>0</v>
      </c>
      <c r="K144" t="n">
        <v>0</v>
      </c>
      <c r="L144" t="n">
        <v>0</v>
      </c>
      <c r="M144" t="n">
        <v>0</v>
      </c>
      <c r="N144" t="n">
        <v>0</v>
      </c>
      <c r="O144" t="n">
        <v>0</v>
      </c>
      <c r="P144" t="n">
        <v>0</v>
      </c>
      <c r="Q144" t="n">
        <v>0</v>
      </c>
      <c r="R144" s="2" t="inlineStr"/>
    </row>
    <row r="145" ht="15" customHeight="1">
      <c r="A145" t="inlineStr">
        <is>
          <t>A 61072-2020</t>
        </is>
      </c>
      <c r="B145" s="1" t="n">
        <v>44154.66923611111</v>
      </c>
      <c r="C145" s="1" t="n">
        <v>45910</v>
      </c>
      <c r="D145" t="inlineStr">
        <is>
          <t>NORRBOTTENS LÄN</t>
        </is>
      </c>
      <c r="E145" t="inlineStr">
        <is>
          <t>LULEÅ</t>
        </is>
      </c>
      <c r="G145" t="n">
        <v>4.1</v>
      </c>
      <c r="H145" t="n">
        <v>0</v>
      </c>
      <c r="I145" t="n">
        <v>0</v>
      </c>
      <c r="J145" t="n">
        <v>0</v>
      </c>
      <c r="K145" t="n">
        <v>0</v>
      </c>
      <c r="L145" t="n">
        <v>0</v>
      </c>
      <c r="M145" t="n">
        <v>0</v>
      </c>
      <c r="N145" t="n">
        <v>0</v>
      </c>
      <c r="O145" t="n">
        <v>0</v>
      </c>
      <c r="P145" t="n">
        <v>0</v>
      </c>
      <c r="Q145" t="n">
        <v>0</v>
      </c>
      <c r="R145" s="2" t="inlineStr"/>
    </row>
    <row r="146" ht="15" customHeight="1">
      <c r="A146" t="inlineStr">
        <is>
          <t>A 26582-2024</t>
        </is>
      </c>
      <c r="B146" s="1" t="n">
        <v>45469.66545138889</v>
      </c>
      <c r="C146" s="1" t="n">
        <v>45910</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44205-2022</t>
        </is>
      </c>
      <c r="B147" s="1" t="n">
        <v>44837</v>
      </c>
      <c r="C147" s="1" t="n">
        <v>45910</v>
      </c>
      <c r="D147" t="inlineStr">
        <is>
          <t>NORRBOTTENS LÄN</t>
        </is>
      </c>
      <c r="E147" t="inlineStr">
        <is>
          <t>LULEÅ</t>
        </is>
      </c>
      <c r="G147" t="n">
        <v>4.9</v>
      </c>
      <c r="H147" t="n">
        <v>0</v>
      </c>
      <c r="I147" t="n">
        <v>0</v>
      </c>
      <c r="J147" t="n">
        <v>0</v>
      </c>
      <c r="K147" t="n">
        <v>0</v>
      </c>
      <c r="L147" t="n">
        <v>0</v>
      </c>
      <c r="M147" t="n">
        <v>0</v>
      </c>
      <c r="N147" t="n">
        <v>0</v>
      </c>
      <c r="O147" t="n">
        <v>0</v>
      </c>
      <c r="P147" t="n">
        <v>0</v>
      </c>
      <c r="Q147" t="n">
        <v>0</v>
      </c>
      <c r="R147" s="2" t="inlineStr"/>
    </row>
    <row r="148" ht="15" customHeight="1">
      <c r="A148" t="inlineStr">
        <is>
          <t>A 57821-2022</t>
        </is>
      </c>
      <c r="B148" s="1" t="n">
        <v>44897</v>
      </c>
      <c r="C148" s="1" t="n">
        <v>45910</v>
      </c>
      <c r="D148" t="inlineStr">
        <is>
          <t>NORRBOTTENS LÄN</t>
        </is>
      </c>
      <c r="E148" t="inlineStr">
        <is>
          <t>LULEÅ</t>
        </is>
      </c>
      <c r="G148" t="n">
        <v>8.6</v>
      </c>
      <c r="H148" t="n">
        <v>0</v>
      </c>
      <c r="I148" t="n">
        <v>0</v>
      </c>
      <c r="J148" t="n">
        <v>0</v>
      </c>
      <c r="K148" t="n">
        <v>0</v>
      </c>
      <c r="L148" t="n">
        <v>0</v>
      </c>
      <c r="M148" t="n">
        <v>0</v>
      </c>
      <c r="N148" t="n">
        <v>0</v>
      </c>
      <c r="O148" t="n">
        <v>0</v>
      </c>
      <c r="P148" t="n">
        <v>0</v>
      </c>
      <c r="Q148" t="n">
        <v>0</v>
      </c>
      <c r="R148" s="2" t="inlineStr"/>
    </row>
    <row r="149" ht="15" customHeight="1">
      <c r="A149" t="inlineStr">
        <is>
          <t>A 60106-2024</t>
        </is>
      </c>
      <c r="B149" s="1" t="n">
        <v>45642.56950231481</v>
      </c>
      <c r="C149" s="1" t="n">
        <v>45910</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20340-2023</t>
        </is>
      </c>
      <c r="B150" s="1" t="n">
        <v>45054</v>
      </c>
      <c r="C150" s="1" t="n">
        <v>45910</v>
      </c>
      <c r="D150" t="inlineStr">
        <is>
          <t>NORRBOTTENS LÄN</t>
        </is>
      </c>
      <c r="E150" t="inlineStr">
        <is>
          <t>LULEÅ</t>
        </is>
      </c>
      <c r="G150" t="n">
        <v>65</v>
      </c>
      <c r="H150" t="n">
        <v>0</v>
      </c>
      <c r="I150" t="n">
        <v>0</v>
      </c>
      <c r="J150" t="n">
        <v>0</v>
      </c>
      <c r="K150" t="n">
        <v>0</v>
      </c>
      <c r="L150" t="n">
        <v>0</v>
      </c>
      <c r="M150" t="n">
        <v>0</v>
      </c>
      <c r="N150" t="n">
        <v>0</v>
      </c>
      <c r="O150" t="n">
        <v>0</v>
      </c>
      <c r="P150" t="n">
        <v>0</v>
      </c>
      <c r="Q150" t="n">
        <v>0</v>
      </c>
      <c r="R150" s="2" t="inlineStr"/>
    </row>
    <row r="151" ht="15" customHeight="1">
      <c r="A151" t="inlineStr">
        <is>
          <t>A 4768-2024</t>
        </is>
      </c>
      <c r="B151" s="1" t="n">
        <v>45328</v>
      </c>
      <c r="C151" s="1" t="n">
        <v>45910</v>
      </c>
      <c r="D151" t="inlineStr">
        <is>
          <t>NORRBOTTENS LÄN</t>
        </is>
      </c>
      <c r="E151" t="inlineStr">
        <is>
          <t>LULEÅ</t>
        </is>
      </c>
      <c r="G151" t="n">
        <v>4</v>
      </c>
      <c r="H151" t="n">
        <v>0</v>
      </c>
      <c r="I151" t="n">
        <v>0</v>
      </c>
      <c r="J151" t="n">
        <v>0</v>
      </c>
      <c r="K151" t="n">
        <v>0</v>
      </c>
      <c r="L151" t="n">
        <v>0</v>
      </c>
      <c r="M151" t="n">
        <v>0</v>
      </c>
      <c r="N151" t="n">
        <v>0</v>
      </c>
      <c r="O151" t="n">
        <v>0</v>
      </c>
      <c r="P151" t="n">
        <v>0</v>
      </c>
      <c r="Q151" t="n">
        <v>0</v>
      </c>
      <c r="R151" s="2" t="inlineStr"/>
    </row>
    <row r="152" ht="15" customHeight="1">
      <c r="A152" t="inlineStr">
        <is>
          <t>A 12116-2025</t>
        </is>
      </c>
      <c r="B152" s="1" t="n">
        <v>45729.36509259259</v>
      </c>
      <c r="C152" s="1" t="n">
        <v>45910</v>
      </c>
      <c r="D152" t="inlineStr">
        <is>
          <t>NORRBOTTENS LÄN</t>
        </is>
      </c>
      <c r="E152" t="inlineStr">
        <is>
          <t>LULEÅ</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45940-2021</t>
        </is>
      </c>
      <c r="B153" s="1" t="n">
        <v>44441</v>
      </c>
      <c r="C153" s="1" t="n">
        <v>45910</v>
      </c>
      <c r="D153" t="inlineStr">
        <is>
          <t>NORRBOTTENS LÄN</t>
        </is>
      </c>
      <c r="E153" t="inlineStr">
        <is>
          <t>LULEÅ</t>
        </is>
      </c>
      <c r="G153" t="n">
        <v>15.2</v>
      </c>
      <c r="H153" t="n">
        <v>0</v>
      </c>
      <c r="I153" t="n">
        <v>0</v>
      </c>
      <c r="J153" t="n">
        <v>0</v>
      </c>
      <c r="K153" t="n">
        <v>0</v>
      </c>
      <c r="L153" t="n">
        <v>0</v>
      </c>
      <c r="M153" t="n">
        <v>0</v>
      </c>
      <c r="N153" t="n">
        <v>0</v>
      </c>
      <c r="O153" t="n">
        <v>0</v>
      </c>
      <c r="P153" t="n">
        <v>0</v>
      </c>
      <c r="Q153" t="n">
        <v>0</v>
      </c>
      <c r="R153" s="2" t="inlineStr"/>
    </row>
    <row r="154" ht="15" customHeight="1">
      <c r="A154" t="inlineStr">
        <is>
          <t>A 1312-2024</t>
        </is>
      </c>
      <c r="B154" s="1" t="n">
        <v>45303</v>
      </c>
      <c r="C154" s="1" t="n">
        <v>45910</v>
      </c>
      <c r="D154" t="inlineStr">
        <is>
          <t>NORRBOTTENS LÄN</t>
        </is>
      </c>
      <c r="E154" t="inlineStr">
        <is>
          <t>LULEÅ</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57115-2024</t>
        </is>
      </c>
      <c r="B155" s="1" t="n">
        <v>45629.36509259259</v>
      </c>
      <c r="C155" s="1" t="n">
        <v>45910</v>
      </c>
      <c r="D155" t="inlineStr">
        <is>
          <t>NORRBOTTENS LÄN</t>
        </is>
      </c>
      <c r="E155" t="inlineStr">
        <is>
          <t>LULEÅ</t>
        </is>
      </c>
      <c r="G155" t="n">
        <v>10.4</v>
      </c>
      <c r="H155" t="n">
        <v>0</v>
      </c>
      <c r="I155" t="n">
        <v>0</v>
      </c>
      <c r="J155" t="n">
        <v>0</v>
      </c>
      <c r="K155" t="n">
        <v>0</v>
      </c>
      <c r="L155" t="n">
        <v>0</v>
      </c>
      <c r="M155" t="n">
        <v>0</v>
      </c>
      <c r="N155" t="n">
        <v>0</v>
      </c>
      <c r="O155" t="n">
        <v>0</v>
      </c>
      <c r="P155" t="n">
        <v>0</v>
      </c>
      <c r="Q155" t="n">
        <v>0</v>
      </c>
      <c r="R155" s="2" t="inlineStr"/>
    </row>
    <row r="156" ht="15" customHeight="1">
      <c r="A156" t="inlineStr">
        <is>
          <t>A 11853-2025</t>
        </is>
      </c>
      <c r="B156" s="1" t="n">
        <v>45727</v>
      </c>
      <c r="C156" s="1" t="n">
        <v>45910</v>
      </c>
      <c r="D156" t="inlineStr">
        <is>
          <t>NORRBOTTENS LÄN</t>
        </is>
      </c>
      <c r="E156" t="inlineStr">
        <is>
          <t>LULEÅ</t>
        </is>
      </c>
      <c r="G156" t="n">
        <v>6</v>
      </c>
      <c r="H156" t="n">
        <v>0</v>
      </c>
      <c r="I156" t="n">
        <v>0</v>
      </c>
      <c r="J156" t="n">
        <v>0</v>
      </c>
      <c r="K156" t="n">
        <v>0</v>
      </c>
      <c r="L156" t="n">
        <v>0</v>
      </c>
      <c r="M156" t="n">
        <v>0</v>
      </c>
      <c r="N156" t="n">
        <v>0</v>
      </c>
      <c r="O156" t="n">
        <v>0</v>
      </c>
      <c r="P156" t="n">
        <v>0</v>
      </c>
      <c r="Q156" t="n">
        <v>0</v>
      </c>
      <c r="R156" s="2" t="inlineStr"/>
    </row>
    <row r="157" ht="15" customHeight="1">
      <c r="A157" t="inlineStr">
        <is>
          <t>A 12323-2023</t>
        </is>
      </c>
      <c r="B157" s="1" t="n">
        <v>44995</v>
      </c>
      <c r="C157" s="1" t="n">
        <v>45910</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46158-2021</t>
        </is>
      </c>
      <c r="B158" s="1" t="n">
        <v>44442.43422453704</v>
      </c>
      <c r="C158" s="1" t="n">
        <v>45910</v>
      </c>
      <c r="D158" t="inlineStr">
        <is>
          <t>NORRBOTTENS LÄN</t>
        </is>
      </c>
      <c r="E158" t="inlineStr">
        <is>
          <t>LULEÅ</t>
        </is>
      </c>
      <c r="G158" t="n">
        <v>4.8</v>
      </c>
      <c r="H158" t="n">
        <v>0</v>
      </c>
      <c r="I158" t="n">
        <v>0</v>
      </c>
      <c r="J158" t="n">
        <v>0</v>
      </c>
      <c r="K158" t="n">
        <v>0</v>
      </c>
      <c r="L158" t="n">
        <v>0</v>
      </c>
      <c r="M158" t="n">
        <v>0</v>
      </c>
      <c r="N158" t="n">
        <v>0</v>
      </c>
      <c r="O158" t="n">
        <v>0</v>
      </c>
      <c r="P158" t="n">
        <v>0</v>
      </c>
      <c r="Q158" t="n">
        <v>0</v>
      </c>
      <c r="R158" s="2" t="inlineStr"/>
    </row>
    <row r="159" ht="15" customHeight="1">
      <c r="A159" t="inlineStr">
        <is>
          <t>A 57327-2024</t>
        </is>
      </c>
      <c r="B159" s="1" t="n">
        <v>45629.62572916667</v>
      </c>
      <c r="C159" s="1" t="n">
        <v>45910</v>
      </c>
      <c r="D159" t="inlineStr">
        <is>
          <t>NORRBOTTENS LÄN</t>
        </is>
      </c>
      <c r="E159" t="inlineStr">
        <is>
          <t>LULEÅ</t>
        </is>
      </c>
      <c r="F159" t="inlineStr">
        <is>
          <t>Övriga Aktiebolag</t>
        </is>
      </c>
      <c r="G159" t="n">
        <v>6.5</v>
      </c>
      <c r="H159" t="n">
        <v>0</v>
      </c>
      <c r="I159" t="n">
        <v>0</v>
      </c>
      <c r="J159" t="n">
        <v>0</v>
      </c>
      <c r="K159" t="n">
        <v>0</v>
      </c>
      <c r="L159" t="n">
        <v>0</v>
      </c>
      <c r="M159" t="n">
        <v>0</v>
      </c>
      <c r="N159" t="n">
        <v>0</v>
      </c>
      <c r="O159" t="n">
        <v>0</v>
      </c>
      <c r="P159" t="n">
        <v>0</v>
      </c>
      <c r="Q159" t="n">
        <v>0</v>
      </c>
      <c r="R159" s="2" t="inlineStr"/>
    </row>
    <row r="160" ht="15" customHeight="1">
      <c r="A160" t="inlineStr">
        <is>
          <t>A 5342-2025</t>
        </is>
      </c>
      <c r="B160" s="1" t="n">
        <v>45692.55262731481</v>
      </c>
      <c r="C160" s="1" t="n">
        <v>45910</v>
      </c>
      <c r="D160" t="inlineStr">
        <is>
          <t>NORRBOTTENS LÄN</t>
        </is>
      </c>
      <c r="E160" t="inlineStr">
        <is>
          <t>LULEÅ</t>
        </is>
      </c>
      <c r="G160" t="n">
        <v>2.3</v>
      </c>
      <c r="H160" t="n">
        <v>0</v>
      </c>
      <c r="I160" t="n">
        <v>0</v>
      </c>
      <c r="J160" t="n">
        <v>0</v>
      </c>
      <c r="K160" t="n">
        <v>0</v>
      </c>
      <c r="L160" t="n">
        <v>0</v>
      </c>
      <c r="M160" t="n">
        <v>0</v>
      </c>
      <c r="N160" t="n">
        <v>0</v>
      </c>
      <c r="O160" t="n">
        <v>0</v>
      </c>
      <c r="P160" t="n">
        <v>0</v>
      </c>
      <c r="Q160" t="n">
        <v>0</v>
      </c>
      <c r="R160" s="2" t="inlineStr"/>
    </row>
    <row r="161" ht="15" customHeight="1">
      <c r="A161" t="inlineStr">
        <is>
          <t>A 115-2025</t>
        </is>
      </c>
      <c r="B161" s="1" t="n">
        <v>45659.51613425926</v>
      </c>
      <c r="C161" s="1" t="n">
        <v>45910</v>
      </c>
      <c r="D161" t="inlineStr">
        <is>
          <t>NORRBOTTENS LÄN</t>
        </is>
      </c>
      <c r="E161" t="inlineStr">
        <is>
          <t>LULEÅ</t>
        </is>
      </c>
      <c r="G161" t="n">
        <v>4.3</v>
      </c>
      <c r="H161" t="n">
        <v>0</v>
      </c>
      <c r="I161" t="n">
        <v>0</v>
      </c>
      <c r="J161" t="n">
        <v>0</v>
      </c>
      <c r="K161" t="n">
        <v>0</v>
      </c>
      <c r="L161" t="n">
        <v>0</v>
      </c>
      <c r="M161" t="n">
        <v>0</v>
      </c>
      <c r="N161" t="n">
        <v>0</v>
      </c>
      <c r="O161" t="n">
        <v>0</v>
      </c>
      <c r="P161" t="n">
        <v>0</v>
      </c>
      <c r="Q161" t="n">
        <v>0</v>
      </c>
      <c r="R161" s="2" t="inlineStr"/>
    </row>
    <row r="162" ht="15" customHeight="1">
      <c r="A162" t="inlineStr">
        <is>
          <t>A 35090-2023</t>
        </is>
      </c>
      <c r="B162" s="1" t="n">
        <v>45145</v>
      </c>
      <c r="C162" s="1" t="n">
        <v>45910</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16296-2025</t>
        </is>
      </c>
      <c r="B163" s="1" t="n">
        <v>45751.34513888889</v>
      </c>
      <c r="C163" s="1" t="n">
        <v>45910</v>
      </c>
      <c r="D163" t="inlineStr">
        <is>
          <t>NORRBOTTENS LÄN</t>
        </is>
      </c>
      <c r="E163" t="inlineStr">
        <is>
          <t>LULEÅ</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14160-2024</t>
        </is>
      </c>
      <c r="B164" s="1" t="n">
        <v>45392</v>
      </c>
      <c r="C164" s="1" t="n">
        <v>45910</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38885-2023</t>
        </is>
      </c>
      <c r="B165" s="1" t="n">
        <v>45161</v>
      </c>
      <c r="C165" s="1" t="n">
        <v>45910</v>
      </c>
      <c r="D165" t="inlineStr">
        <is>
          <t>NORRBOTTENS LÄN</t>
        </is>
      </c>
      <c r="E165" t="inlineStr">
        <is>
          <t>LULEÅ</t>
        </is>
      </c>
      <c r="G165" t="n">
        <v>0.4</v>
      </c>
      <c r="H165" t="n">
        <v>0</v>
      </c>
      <c r="I165" t="n">
        <v>0</v>
      </c>
      <c r="J165" t="n">
        <v>0</v>
      </c>
      <c r="K165" t="n">
        <v>0</v>
      </c>
      <c r="L165" t="n">
        <v>0</v>
      </c>
      <c r="M165" t="n">
        <v>0</v>
      </c>
      <c r="N165" t="n">
        <v>0</v>
      </c>
      <c r="O165" t="n">
        <v>0</v>
      </c>
      <c r="P165" t="n">
        <v>0</v>
      </c>
      <c r="Q165" t="n">
        <v>0</v>
      </c>
      <c r="R165" s="2" t="inlineStr"/>
    </row>
    <row r="166" ht="15" customHeight="1">
      <c r="A166" t="inlineStr">
        <is>
          <t>A 42422-2024</t>
        </is>
      </c>
      <c r="B166" s="1" t="n">
        <v>45565.38912037037</v>
      </c>
      <c r="C166" s="1" t="n">
        <v>45910</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42426-2024</t>
        </is>
      </c>
      <c r="B167" s="1" t="n">
        <v>45565.39958333333</v>
      </c>
      <c r="C167" s="1" t="n">
        <v>45910</v>
      </c>
      <c r="D167" t="inlineStr">
        <is>
          <t>NORRBOTTENS LÄN</t>
        </is>
      </c>
      <c r="E167" t="inlineStr">
        <is>
          <t>LULEÅ</t>
        </is>
      </c>
      <c r="G167" t="n">
        <v>0.5</v>
      </c>
      <c r="H167" t="n">
        <v>0</v>
      </c>
      <c r="I167" t="n">
        <v>0</v>
      </c>
      <c r="J167" t="n">
        <v>0</v>
      </c>
      <c r="K167" t="n">
        <v>0</v>
      </c>
      <c r="L167" t="n">
        <v>0</v>
      </c>
      <c r="M167" t="n">
        <v>0</v>
      </c>
      <c r="N167" t="n">
        <v>0</v>
      </c>
      <c r="O167" t="n">
        <v>0</v>
      </c>
      <c r="P167" t="n">
        <v>0</v>
      </c>
      <c r="Q167" t="n">
        <v>0</v>
      </c>
      <c r="R167" s="2" t="inlineStr"/>
    </row>
    <row r="168" ht="15" customHeight="1">
      <c r="A168" t="inlineStr">
        <is>
          <t>A 10608-2025</t>
        </is>
      </c>
      <c r="B168" s="1" t="n">
        <v>45721</v>
      </c>
      <c r="C168" s="1" t="n">
        <v>45910</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114-2025</t>
        </is>
      </c>
      <c r="B169" s="1" t="n">
        <v>45659.51113425926</v>
      </c>
      <c r="C169" s="1" t="n">
        <v>45910</v>
      </c>
      <c r="D169" t="inlineStr">
        <is>
          <t>NORRBOTTENS LÄN</t>
        </is>
      </c>
      <c r="E169" t="inlineStr">
        <is>
          <t>LULEÅ</t>
        </is>
      </c>
      <c r="G169" t="n">
        <v>3.5</v>
      </c>
      <c r="H169" t="n">
        <v>0</v>
      </c>
      <c r="I169" t="n">
        <v>0</v>
      </c>
      <c r="J169" t="n">
        <v>0</v>
      </c>
      <c r="K169" t="n">
        <v>0</v>
      </c>
      <c r="L169" t="n">
        <v>0</v>
      </c>
      <c r="M169" t="n">
        <v>0</v>
      </c>
      <c r="N169" t="n">
        <v>0</v>
      </c>
      <c r="O169" t="n">
        <v>0</v>
      </c>
      <c r="P169" t="n">
        <v>0</v>
      </c>
      <c r="Q169" t="n">
        <v>0</v>
      </c>
      <c r="R169" s="2" t="inlineStr"/>
    </row>
    <row r="170" ht="15" customHeight="1">
      <c r="A170" t="inlineStr">
        <is>
          <t>A 19533-2025</t>
        </is>
      </c>
      <c r="B170" s="1" t="n">
        <v>45770.47331018518</v>
      </c>
      <c r="C170" s="1" t="n">
        <v>45910</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17290-2025</t>
        </is>
      </c>
      <c r="B171" s="1" t="n">
        <v>45756.58515046296</v>
      </c>
      <c r="C171" s="1" t="n">
        <v>45910</v>
      </c>
      <c r="D171" t="inlineStr">
        <is>
          <t>NORRBOTTENS LÄN</t>
        </is>
      </c>
      <c r="E171" t="inlineStr">
        <is>
          <t>LULEÅ</t>
        </is>
      </c>
      <c r="G171" t="n">
        <v>5.6</v>
      </c>
      <c r="H171" t="n">
        <v>0</v>
      </c>
      <c r="I171" t="n">
        <v>0</v>
      </c>
      <c r="J171" t="n">
        <v>0</v>
      </c>
      <c r="K171" t="n">
        <v>0</v>
      </c>
      <c r="L171" t="n">
        <v>0</v>
      </c>
      <c r="M171" t="n">
        <v>0</v>
      </c>
      <c r="N171" t="n">
        <v>0</v>
      </c>
      <c r="O171" t="n">
        <v>0</v>
      </c>
      <c r="P171" t="n">
        <v>0</v>
      </c>
      <c r="Q171" t="n">
        <v>0</v>
      </c>
      <c r="R171" s="2" t="inlineStr"/>
    </row>
    <row r="172" ht="15" customHeight="1">
      <c r="A172" t="inlineStr">
        <is>
          <t>A 24979-2024</t>
        </is>
      </c>
      <c r="B172" s="1" t="n">
        <v>45461</v>
      </c>
      <c r="C172" s="1" t="n">
        <v>45910</v>
      </c>
      <c r="D172" t="inlineStr">
        <is>
          <t>NORRBOTTENS LÄN</t>
        </is>
      </c>
      <c r="E172" t="inlineStr">
        <is>
          <t>LULEÅ</t>
        </is>
      </c>
      <c r="G172" t="n">
        <v>16.3</v>
      </c>
      <c r="H172" t="n">
        <v>0</v>
      </c>
      <c r="I172" t="n">
        <v>0</v>
      </c>
      <c r="J172" t="n">
        <v>0</v>
      </c>
      <c r="K172" t="n">
        <v>0</v>
      </c>
      <c r="L172" t="n">
        <v>0</v>
      </c>
      <c r="M172" t="n">
        <v>0</v>
      </c>
      <c r="N172" t="n">
        <v>0</v>
      </c>
      <c r="O172" t="n">
        <v>0</v>
      </c>
      <c r="P172" t="n">
        <v>0</v>
      </c>
      <c r="Q172" t="n">
        <v>0</v>
      </c>
      <c r="R172" s="2" t="inlineStr"/>
    </row>
    <row r="173" ht="15" customHeight="1">
      <c r="A173" t="inlineStr">
        <is>
          <t>A 11716-2023</t>
        </is>
      </c>
      <c r="B173" s="1" t="n">
        <v>44992</v>
      </c>
      <c r="C173" s="1" t="n">
        <v>45910</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17438-2023</t>
        </is>
      </c>
      <c r="B174" s="1" t="n">
        <v>45035.92709490741</v>
      </c>
      <c r="C174" s="1" t="n">
        <v>45910</v>
      </c>
      <c r="D174" t="inlineStr">
        <is>
          <t>NORRBOTTENS LÄN</t>
        </is>
      </c>
      <c r="E174" t="inlineStr">
        <is>
          <t>LULEÅ</t>
        </is>
      </c>
      <c r="G174" t="n">
        <v>0.8</v>
      </c>
      <c r="H174" t="n">
        <v>0</v>
      </c>
      <c r="I174" t="n">
        <v>0</v>
      </c>
      <c r="J174" t="n">
        <v>0</v>
      </c>
      <c r="K174" t="n">
        <v>0</v>
      </c>
      <c r="L174" t="n">
        <v>0</v>
      </c>
      <c r="M174" t="n">
        <v>0</v>
      </c>
      <c r="N174" t="n">
        <v>0</v>
      </c>
      <c r="O174" t="n">
        <v>0</v>
      </c>
      <c r="P174" t="n">
        <v>0</v>
      </c>
      <c r="Q174" t="n">
        <v>0</v>
      </c>
      <c r="R174" s="2" t="inlineStr"/>
    </row>
    <row r="175" ht="15" customHeight="1">
      <c r="A175" t="inlineStr">
        <is>
          <t>A 28150-2024</t>
        </is>
      </c>
      <c r="B175" s="1" t="n">
        <v>45476.76228009259</v>
      </c>
      <c r="C175" s="1" t="n">
        <v>45910</v>
      </c>
      <c r="D175" t="inlineStr">
        <is>
          <t>NORRBOTTENS LÄN</t>
        </is>
      </c>
      <c r="E175" t="inlineStr">
        <is>
          <t>LULEÅ</t>
        </is>
      </c>
      <c r="G175" t="n">
        <v>4</v>
      </c>
      <c r="H175" t="n">
        <v>0</v>
      </c>
      <c r="I175" t="n">
        <v>0</v>
      </c>
      <c r="J175" t="n">
        <v>0</v>
      </c>
      <c r="K175" t="n">
        <v>0</v>
      </c>
      <c r="L175" t="n">
        <v>0</v>
      </c>
      <c r="M175" t="n">
        <v>0</v>
      </c>
      <c r="N175" t="n">
        <v>0</v>
      </c>
      <c r="O175" t="n">
        <v>0</v>
      </c>
      <c r="P175" t="n">
        <v>0</v>
      </c>
      <c r="Q175" t="n">
        <v>0</v>
      </c>
      <c r="R175" s="2" t="inlineStr"/>
    </row>
    <row r="176" ht="15" customHeight="1">
      <c r="A176" t="inlineStr">
        <is>
          <t>A 52444-2021</t>
        </is>
      </c>
      <c r="B176" s="1" t="n">
        <v>44463</v>
      </c>
      <c r="C176" s="1" t="n">
        <v>45910</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1513-2025</t>
        </is>
      </c>
      <c r="B177" s="1" t="n">
        <v>45670.45391203704</v>
      </c>
      <c r="C177" s="1" t="n">
        <v>45910</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61504-2024</t>
        </is>
      </c>
      <c r="B178" s="1" t="n">
        <v>45646.56238425926</v>
      </c>
      <c r="C178" s="1" t="n">
        <v>45910</v>
      </c>
      <c r="D178" t="inlineStr">
        <is>
          <t>NORRBOTTENS LÄN</t>
        </is>
      </c>
      <c r="E178" t="inlineStr">
        <is>
          <t>LULEÅ</t>
        </is>
      </c>
      <c r="G178" t="n">
        <v>3.1</v>
      </c>
      <c r="H178" t="n">
        <v>0</v>
      </c>
      <c r="I178" t="n">
        <v>0</v>
      </c>
      <c r="J178" t="n">
        <v>0</v>
      </c>
      <c r="K178" t="n">
        <v>0</v>
      </c>
      <c r="L178" t="n">
        <v>0</v>
      </c>
      <c r="M178" t="n">
        <v>0</v>
      </c>
      <c r="N178" t="n">
        <v>0</v>
      </c>
      <c r="O178" t="n">
        <v>0</v>
      </c>
      <c r="P178" t="n">
        <v>0</v>
      </c>
      <c r="Q178" t="n">
        <v>0</v>
      </c>
      <c r="R178" s="2" t="inlineStr"/>
    </row>
    <row r="179" ht="15" customHeight="1">
      <c r="A179" t="inlineStr">
        <is>
          <t>A 61510-2024</t>
        </is>
      </c>
      <c r="B179" s="1" t="n">
        <v>45646.56674768519</v>
      </c>
      <c r="C179" s="1" t="n">
        <v>45910</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34910-2023</t>
        </is>
      </c>
      <c r="B180" s="1" t="n">
        <v>45142.4560300926</v>
      </c>
      <c r="C180" s="1" t="n">
        <v>45910</v>
      </c>
      <c r="D180" t="inlineStr">
        <is>
          <t>NORRBOTTENS LÄN</t>
        </is>
      </c>
      <c r="E180" t="inlineStr">
        <is>
          <t>LULEÅ</t>
        </is>
      </c>
      <c r="G180" t="n">
        <v>18.9</v>
      </c>
      <c r="H180" t="n">
        <v>0</v>
      </c>
      <c r="I180" t="n">
        <v>0</v>
      </c>
      <c r="J180" t="n">
        <v>0</v>
      </c>
      <c r="K180" t="n">
        <v>0</v>
      </c>
      <c r="L180" t="n">
        <v>0</v>
      </c>
      <c r="M180" t="n">
        <v>0</v>
      </c>
      <c r="N180" t="n">
        <v>0</v>
      </c>
      <c r="O180" t="n">
        <v>0</v>
      </c>
      <c r="P180" t="n">
        <v>0</v>
      </c>
      <c r="Q180" t="n">
        <v>0</v>
      </c>
      <c r="R180" s="2" t="inlineStr"/>
    </row>
    <row r="181" ht="15" customHeight="1">
      <c r="A181" t="inlineStr">
        <is>
          <t>A 63801-2023</t>
        </is>
      </c>
      <c r="B181" s="1" t="n">
        <v>45278.42126157408</v>
      </c>
      <c r="C181" s="1" t="n">
        <v>45910</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11178-2023</t>
        </is>
      </c>
      <c r="B182" s="1" t="n">
        <v>44987</v>
      </c>
      <c r="C182" s="1" t="n">
        <v>45910</v>
      </c>
      <c r="D182" t="inlineStr">
        <is>
          <t>NORRBOTTENS LÄN</t>
        </is>
      </c>
      <c r="E182" t="inlineStr">
        <is>
          <t>LULEÅ</t>
        </is>
      </c>
      <c r="G182" t="n">
        <v>4.7</v>
      </c>
      <c r="H182" t="n">
        <v>0</v>
      </c>
      <c r="I182" t="n">
        <v>0</v>
      </c>
      <c r="J182" t="n">
        <v>0</v>
      </c>
      <c r="K182" t="n">
        <v>0</v>
      </c>
      <c r="L182" t="n">
        <v>0</v>
      </c>
      <c r="M182" t="n">
        <v>0</v>
      </c>
      <c r="N182" t="n">
        <v>0</v>
      </c>
      <c r="O182" t="n">
        <v>0</v>
      </c>
      <c r="P182" t="n">
        <v>0</v>
      </c>
      <c r="Q182" t="n">
        <v>0</v>
      </c>
      <c r="R182" s="2" t="inlineStr"/>
    </row>
    <row r="183" ht="15" customHeight="1">
      <c r="A183" t="inlineStr">
        <is>
          <t>A 52667-2024</t>
        </is>
      </c>
      <c r="B183" s="1" t="n">
        <v>45610</v>
      </c>
      <c r="C183" s="1" t="n">
        <v>45910</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54824-2022</t>
        </is>
      </c>
      <c r="B184" s="1" t="n">
        <v>44883.92393518519</v>
      </c>
      <c r="C184" s="1" t="n">
        <v>45910</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46374-2024</t>
        </is>
      </c>
      <c r="B185" s="1" t="n">
        <v>45582</v>
      </c>
      <c r="C185" s="1" t="n">
        <v>45910</v>
      </c>
      <c r="D185" t="inlineStr">
        <is>
          <t>NORRBOTTENS LÄN</t>
        </is>
      </c>
      <c r="E185" t="inlineStr">
        <is>
          <t>LULEÅ</t>
        </is>
      </c>
      <c r="G185" t="n">
        <v>0.6</v>
      </c>
      <c r="H185" t="n">
        <v>0</v>
      </c>
      <c r="I185" t="n">
        <v>0</v>
      </c>
      <c r="J185" t="n">
        <v>0</v>
      </c>
      <c r="K185" t="n">
        <v>0</v>
      </c>
      <c r="L185" t="n">
        <v>0</v>
      </c>
      <c r="M185" t="n">
        <v>0</v>
      </c>
      <c r="N185" t="n">
        <v>0</v>
      </c>
      <c r="O185" t="n">
        <v>0</v>
      </c>
      <c r="P185" t="n">
        <v>0</v>
      </c>
      <c r="Q185" t="n">
        <v>0</v>
      </c>
      <c r="R185" s="2" t="inlineStr"/>
    </row>
    <row r="186" ht="15" customHeight="1">
      <c r="A186" t="inlineStr">
        <is>
          <t>A 29237-2024</t>
        </is>
      </c>
      <c r="B186" s="1" t="n">
        <v>45482.92732638889</v>
      </c>
      <c r="C186" s="1" t="n">
        <v>45910</v>
      </c>
      <c r="D186" t="inlineStr">
        <is>
          <t>NORRBOTTENS LÄN</t>
        </is>
      </c>
      <c r="E186" t="inlineStr">
        <is>
          <t>LULEÅ</t>
        </is>
      </c>
      <c r="G186" t="n">
        <v>10.3</v>
      </c>
      <c r="H186" t="n">
        <v>0</v>
      </c>
      <c r="I186" t="n">
        <v>0</v>
      </c>
      <c r="J186" t="n">
        <v>0</v>
      </c>
      <c r="K186" t="n">
        <v>0</v>
      </c>
      <c r="L186" t="n">
        <v>0</v>
      </c>
      <c r="M186" t="n">
        <v>0</v>
      </c>
      <c r="N186" t="n">
        <v>0</v>
      </c>
      <c r="O186" t="n">
        <v>0</v>
      </c>
      <c r="P186" t="n">
        <v>0</v>
      </c>
      <c r="Q186" t="n">
        <v>0</v>
      </c>
      <c r="R186" s="2" t="inlineStr"/>
    </row>
    <row r="187" ht="15" customHeight="1">
      <c r="A187" t="inlineStr">
        <is>
          <t>A 34992-2024</t>
        </is>
      </c>
      <c r="B187" s="1" t="n">
        <v>45527</v>
      </c>
      <c r="C187" s="1" t="n">
        <v>45910</v>
      </c>
      <c r="D187" t="inlineStr">
        <is>
          <t>NORRBOTTENS LÄN</t>
        </is>
      </c>
      <c r="E187" t="inlineStr">
        <is>
          <t>LULEÅ</t>
        </is>
      </c>
      <c r="G187" t="n">
        <v>2.6</v>
      </c>
      <c r="H187" t="n">
        <v>0</v>
      </c>
      <c r="I187" t="n">
        <v>0</v>
      </c>
      <c r="J187" t="n">
        <v>0</v>
      </c>
      <c r="K187" t="n">
        <v>0</v>
      </c>
      <c r="L187" t="n">
        <v>0</v>
      </c>
      <c r="M187" t="n">
        <v>0</v>
      </c>
      <c r="N187" t="n">
        <v>0</v>
      </c>
      <c r="O187" t="n">
        <v>0</v>
      </c>
      <c r="P187" t="n">
        <v>0</v>
      </c>
      <c r="Q187" t="n">
        <v>0</v>
      </c>
      <c r="R187" s="2" t="inlineStr"/>
    </row>
    <row r="188" ht="15" customHeight="1">
      <c r="A188" t="inlineStr">
        <is>
          <t>A 54739-2024</t>
        </is>
      </c>
      <c r="B188" s="1" t="n">
        <v>45618.44335648148</v>
      </c>
      <c r="C188" s="1" t="n">
        <v>45910</v>
      </c>
      <c r="D188" t="inlineStr">
        <is>
          <t>NORRBOTTENS LÄN</t>
        </is>
      </c>
      <c r="E188" t="inlineStr">
        <is>
          <t>LULEÅ</t>
        </is>
      </c>
      <c r="G188" t="n">
        <v>4.8</v>
      </c>
      <c r="H188" t="n">
        <v>0</v>
      </c>
      <c r="I188" t="n">
        <v>0</v>
      </c>
      <c r="J188" t="n">
        <v>0</v>
      </c>
      <c r="K188" t="n">
        <v>0</v>
      </c>
      <c r="L188" t="n">
        <v>0</v>
      </c>
      <c r="M188" t="n">
        <v>0</v>
      </c>
      <c r="N188" t="n">
        <v>0</v>
      </c>
      <c r="O188" t="n">
        <v>0</v>
      </c>
      <c r="P188" t="n">
        <v>0</v>
      </c>
      <c r="Q188" t="n">
        <v>0</v>
      </c>
      <c r="R188" s="2" t="inlineStr"/>
    </row>
    <row r="189" ht="15" customHeight="1">
      <c r="A189" t="inlineStr">
        <is>
          <t>A 62061-2022</t>
        </is>
      </c>
      <c r="B189" s="1" t="n">
        <v>44914</v>
      </c>
      <c r="C189" s="1" t="n">
        <v>45910</v>
      </c>
      <c r="D189" t="inlineStr">
        <is>
          <t>NORRBOTTENS LÄN</t>
        </is>
      </c>
      <c r="E189" t="inlineStr">
        <is>
          <t>LULEÅ</t>
        </is>
      </c>
      <c r="G189" t="n">
        <v>2.4</v>
      </c>
      <c r="H189" t="n">
        <v>0</v>
      </c>
      <c r="I189" t="n">
        <v>0</v>
      </c>
      <c r="J189" t="n">
        <v>0</v>
      </c>
      <c r="K189" t="n">
        <v>0</v>
      </c>
      <c r="L189" t="n">
        <v>0</v>
      </c>
      <c r="M189" t="n">
        <v>0</v>
      </c>
      <c r="N189" t="n">
        <v>0</v>
      </c>
      <c r="O189" t="n">
        <v>0</v>
      </c>
      <c r="P189" t="n">
        <v>0</v>
      </c>
      <c r="Q189" t="n">
        <v>0</v>
      </c>
      <c r="R189" s="2" t="inlineStr"/>
    </row>
    <row r="190" ht="15" customHeight="1">
      <c r="A190" t="inlineStr">
        <is>
          <t>A 3895-2025</t>
        </is>
      </c>
      <c r="B190" s="1" t="n">
        <v>45683</v>
      </c>
      <c r="C190" s="1" t="n">
        <v>45910</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60585-2024</t>
        </is>
      </c>
      <c r="B191" s="1" t="n">
        <v>45644</v>
      </c>
      <c r="C191" s="1" t="n">
        <v>45910</v>
      </c>
      <c r="D191" t="inlineStr">
        <is>
          <t>NORRBOTTENS LÄN</t>
        </is>
      </c>
      <c r="E191" t="inlineStr">
        <is>
          <t>LULEÅ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13846-2024</t>
        </is>
      </c>
      <c r="B192" s="1" t="n">
        <v>45390</v>
      </c>
      <c r="C192" s="1" t="n">
        <v>45910</v>
      </c>
      <c r="D192" t="inlineStr">
        <is>
          <t>NORRBOTTENS LÄN</t>
        </is>
      </c>
      <c r="E192" t="inlineStr">
        <is>
          <t>LULEÅ</t>
        </is>
      </c>
      <c r="G192" t="n">
        <v>16.4</v>
      </c>
      <c r="H192" t="n">
        <v>0</v>
      </c>
      <c r="I192" t="n">
        <v>0</v>
      </c>
      <c r="J192" t="n">
        <v>0</v>
      </c>
      <c r="K192" t="n">
        <v>0</v>
      </c>
      <c r="L192" t="n">
        <v>0</v>
      </c>
      <c r="M192" t="n">
        <v>0</v>
      </c>
      <c r="N192" t="n">
        <v>0</v>
      </c>
      <c r="O192" t="n">
        <v>0</v>
      </c>
      <c r="P192" t="n">
        <v>0</v>
      </c>
      <c r="Q192" t="n">
        <v>0</v>
      </c>
      <c r="R192" s="2" t="inlineStr"/>
    </row>
    <row r="193" ht="15" customHeight="1">
      <c r="A193" t="inlineStr">
        <is>
          <t>A 6957-2025</t>
        </is>
      </c>
      <c r="B193" s="1" t="n">
        <v>45701.49048611111</v>
      </c>
      <c r="C193" s="1" t="n">
        <v>45910</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44324-2024</t>
        </is>
      </c>
      <c r="B194" s="1" t="n">
        <v>45573.59376157408</v>
      </c>
      <c r="C194" s="1" t="n">
        <v>45910</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25340-2024</t>
        </is>
      </c>
      <c r="B195" s="1" t="n">
        <v>45462</v>
      </c>
      <c r="C195" s="1" t="n">
        <v>45910</v>
      </c>
      <c r="D195" t="inlineStr">
        <is>
          <t>NORRBOTTENS LÄN</t>
        </is>
      </c>
      <c r="E195" t="inlineStr">
        <is>
          <t>LULEÅ</t>
        </is>
      </c>
      <c r="G195" t="n">
        <v>3.6</v>
      </c>
      <c r="H195" t="n">
        <v>0</v>
      </c>
      <c r="I195" t="n">
        <v>0</v>
      </c>
      <c r="J195" t="n">
        <v>0</v>
      </c>
      <c r="K195" t="n">
        <v>0</v>
      </c>
      <c r="L195" t="n">
        <v>0</v>
      </c>
      <c r="M195" t="n">
        <v>0</v>
      </c>
      <c r="N195" t="n">
        <v>0</v>
      </c>
      <c r="O195" t="n">
        <v>0</v>
      </c>
      <c r="P195" t="n">
        <v>0</v>
      </c>
      <c r="Q195" t="n">
        <v>0</v>
      </c>
      <c r="R195" s="2" t="inlineStr"/>
    </row>
    <row r="196" ht="15" customHeight="1">
      <c r="A196" t="inlineStr">
        <is>
          <t>A 57264-2022</t>
        </is>
      </c>
      <c r="B196" s="1" t="n">
        <v>44895</v>
      </c>
      <c r="C196" s="1" t="n">
        <v>45910</v>
      </c>
      <c r="D196" t="inlineStr">
        <is>
          <t>NORRBOTTENS LÄN</t>
        </is>
      </c>
      <c r="E196" t="inlineStr">
        <is>
          <t>LULEÅ</t>
        </is>
      </c>
      <c r="G196" t="n">
        <v>8</v>
      </c>
      <c r="H196" t="n">
        <v>0</v>
      </c>
      <c r="I196" t="n">
        <v>0</v>
      </c>
      <c r="J196" t="n">
        <v>0</v>
      </c>
      <c r="K196" t="n">
        <v>0</v>
      </c>
      <c r="L196" t="n">
        <v>0</v>
      </c>
      <c r="M196" t="n">
        <v>0</v>
      </c>
      <c r="N196" t="n">
        <v>0</v>
      </c>
      <c r="O196" t="n">
        <v>0</v>
      </c>
      <c r="P196" t="n">
        <v>0</v>
      </c>
      <c r="Q196" t="n">
        <v>0</v>
      </c>
      <c r="R196" s="2" t="inlineStr"/>
    </row>
    <row r="197" ht="15" customHeight="1">
      <c r="A197" t="inlineStr">
        <is>
          <t>A 30787-2024</t>
        </is>
      </c>
      <c r="B197" s="1" t="n">
        <v>45496.95108796296</v>
      </c>
      <c r="C197" s="1" t="n">
        <v>45910</v>
      </c>
      <c r="D197" t="inlineStr">
        <is>
          <t>NORRBOTTENS LÄN</t>
        </is>
      </c>
      <c r="E197" t="inlineStr">
        <is>
          <t>LULEÅ</t>
        </is>
      </c>
      <c r="F197" t="inlineStr">
        <is>
          <t>Naturvårdsverket</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14187-2025</t>
        </is>
      </c>
      <c r="B198" s="1" t="n">
        <v>45740.54577546296</v>
      </c>
      <c r="C198" s="1" t="n">
        <v>45910</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55083-2024</t>
        </is>
      </c>
      <c r="B199" s="1" t="n">
        <v>45621.42998842592</v>
      </c>
      <c r="C199" s="1" t="n">
        <v>45910</v>
      </c>
      <c r="D199" t="inlineStr">
        <is>
          <t>NORRBOTTENS LÄN</t>
        </is>
      </c>
      <c r="E199" t="inlineStr">
        <is>
          <t>LULEÅ</t>
        </is>
      </c>
      <c r="G199" t="n">
        <v>7</v>
      </c>
      <c r="H199" t="n">
        <v>0</v>
      </c>
      <c r="I199" t="n">
        <v>0</v>
      </c>
      <c r="J199" t="n">
        <v>0</v>
      </c>
      <c r="K199" t="n">
        <v>0</v>
      </c>
      <c r="L199" t="n">
        <v>0</v>
      </c>
      <c r="M199" t="n">
        <v>0</v>
      </c>
      <c r="N199" t="n">
        <v>0</v>
      </c>
      <c r="O199" t="n">
        <v>0</v>
      </c>
      <c r="P199" t="n">
        <v>0</v>
      </c>
      <c r="Q199" t="n">
        <v>0</v>
      </c>
      <c r="R199" s="2" t="inlineStr"/>
    </row>
    <row r="200" ht="15" customHeight="1">
      <c r="A200" t="inlineStr">
        <is>
          <t>A 17427-2023</t>
        </is>
      </c>
      <c r="B200" s="1" t="n">
        <v>45035</v>
      </c>
      <c r="C200" s="1" t="n">
        <v>45910</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1685-2025</t>
        </is>
      </c>
      <c r="B201" s="1" t="n">
        <v>45670.69877314815</v>
      </c>
      <c r="C201" s="1" t="n">
        <v>45910</v>
      </c>
      <c r="D201" t="inlineStr">
        <is>
          <t>NORRBOTTENS LÄN</t>
        </is>
      </c>
      <c r="E201" t="inlineStr">
        <is>
          <t>LULEÅ</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3184-2025</t>
        </is>
      </c>
      <c r="B202" s="1" t="n">
        <v>45679</v>
      </c>
      <c r="C202" s="1" t="n">
        <v>45910</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48409-2023</t>
        </is>
      </c>
      <c r="B203" s="1" t="n">
        <v>45205</v>
      </c>
      <c r="C203" s="1" t="n">
        <v>45910</v>
      </c>
      <c r="D203" t="inlineStr">
        <is>
          <t>NORRBOTTENS LÄN</t>
        </is>
      </c>
      <c r="E203" t="inlineStr">
        <is>
          <t>LULEÅ</t>
        </is>
      </c>
      <c r="G203" t="n">
        <v>7.9</v>
      </c>
      <c r="H203" t="n">
        <v>0</v>
      </c>
      <c r="I203" t="n">
        <v>0</v>
      </c>
      <c r="J203" t="n">
        <v>0</v>
      </c>
      <c r="K203" t="n">
        <v>0</v>
      </c>
      <c r="L203" t="n">
        <v>0</v>
      </c>
      <c r="M203" t="n">
        <v>0</v>
      </c>
      <c r="N203" t="n">
        <v>0</v>
      </c>
      <c r="O203" t="n">
        <v>0</v>
      </c>
      <c r="P203" t="n">
        <v>0</v>
      </c>
      <c r="Q203" t="n">
        <v>0</v>
      </c>
      <c r="R203" s="2" t="inlineStr"/>
    </row>
    <row r="204" ht="15" customHeight="1">
      <c r="A204" t="inlineStr">
        <is>
          <t>A 48410-2023</t>
        </is>
      </c>
      <c r="B204" s="1" t="n">
        <v>45205</v>
      </c>
      <c r="C204" s="1" t="n">
        <v>45910</v>
      </c>
      <c r="D204" t="inlineStr">
        <is>
          <t>NORRBOTTENS LÄN</t>
        </is>
      </c>
      <c r="E204" t="inlineStr">
        <is>
          <t>LULEÅ</t>
        </is>
      </c>
      <c r="G204" t="n">
        <v>6.7</v>
      </c>
      <c r="H204" t="n">
        <v>0</v>
      </c>
      <c r="I204" t="n">
        <v>0</v>
      </c>
      <c r="J204" t="n">
        <v>0</v>
      </c>
      <c r="K204" t="n">
        <v>0</v>
      </c>
      <c r="L204" t="n">
        <v>0</v>
      </c>
      <c r="M204" t="n">
        <v>0</v>
      </c>
      <c r="N204" t="n">
        <v>0</v>
      </c>
      <c r="O204" t="n">
        <v>0</v>
      </c>
      <c r="P204" t="n">
        <v>0</v>
      </c>
      <c r="Q204" t="n">
        <v>0</v>
      </c>
      <c r="R204" s="2" t="inlineStr"/>
    </row>
    <row r="205" ht="15" customHeight="1">
      <c r="A205" t="inlineStr">
        <is>
          <t>A 49720-2024</t>
        </is>
      </c>
      <c r="B205" s="1" t="n">
        <v>45596.72625</v>
      </c>
      <c r="C205" s="1" t="n">
        <v>45910</v>
      </c>
      <c r="D205" t="inlineStr">
        <is>
          <t>NORRBOTTENS LÄN</t>
        </is>
      </c>
      <c r="E205" t="inlineStr">
        <is>
          <t>LULEÅ</t>
        </is>
      </c>
      <c r="G205" t="n">
        <v>3.3</v>
      </c>
      <c r="H205" t="n">
        <v>0</v>
      </c>
      <c r="I205" t="n">
        <v>0</v>
      </c>
      <c r="J205" t="n">
        <v>0</v>
      </c>
      <c r="K205" t="n">
        <v>0</v>
      </c>
      <c r="L205" t="n">
        <v>0</v>
      </c>
      <c r="M205" t="n">
        <v>0</v>
      </c>
      <c r="N205" t="n">
        <v>0</v>
      </c>
      <c r="O205" t="n">
        <v>0</v>
      </c>
      <c r="P205" t="n">
        <v>0</v>
      </c>
      <c r="Q205" t="n">
        <v>0</v>
      </c>
      <c r="R205" s="2" t="inlineStr"/>
    </row>
    <row r="206" ht="15" customHeight="1">
      <c r="A206" t="inlineStr">
        <is>
          <t>A 5131-2025</t>
        </is>
      </c>
      <c r="B206" s="1" t="n">
        <v>45691.57331018519</v>
      </c>
      <c r="C206" s="1" t="n">
        <v>45910</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60651-2023</t>
        </is>
      </c>
      <c r="B207" s="1" t="n">
        <v>45260</v>
      </c>
      <c r="C207" s="1" t="n">
        <v>45910</v>
      </c>
      <c r="D207" t="inlineStr">
        <is>
          <t>NORRBOTTENS LÄN</t>
        </is>
      </c>
      <c r="E207" t="inlineStr">
        <is>
          <t>LULEÅ</t>
        </is>
      </c>
      <c r="G207" t="n">
        <v>1.7</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45910</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47063-2020</t>
        </is>
      </c>
      <c r="B209" s="1" t="n">
        <v>44096</v>
      </c>
      <c r="C209" s="1" t="n">
        <v>45910</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45910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12865-2023</t>
        </is>
      </c>
      <c r="B211" s="1" t="n">
        <v>45001</v>
      </c>
      <c r="C211" s="1" t="n">
        <v>45910</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49742-2022</t>
        </is>
      </c>
      <c r="B212" s="1" t="n">
        <v>44859</v>
      </c>
      <c r="C212" s="1" t="n">
        <v>45910</v>
      </c>
      <c r="D212" t="inlineStr">
        <is>
          <t>NORRBOTTENS LÄN</t>
        </is>
      </c>
      <c r="E212" t="inlineStr">
        <is>
          <t>LULEÅ</t>
        </is>
      </c>
      <c r="G212" t="n">
        <v>2.3</v>
      </c>
      <c r="H212" t="n">
        <v>0</v>
      </c>
      <c r="I212" t="n">
        <v>0</v>
      </c>
      <c r="J212" t="n">
        <v>0</v>
      </c>
      <c r="K212" t="n">
        <v>0</v>
      </c>
      <c r="L212" t="n">
        <v>0</v>
      </c>
      <c r="M212" t="n">
        <v>0</v>
      </c>
      <c r="N212" t="n">
        <v>0</v>
      </c>
      <c r="O212" t="n">
        <v>0</v>
      </c>
      <c r="P212" t="n">
        <v>0</v>
      </c>
      <c r="Q212" t="n">
        <v>0</v>
      </c>
      <c r="R212" s="2" t="inlineStr"/>
    </row>
    <row r="213" ht="15" customHeight="1">
      <c r="A213" t="inlineStr">
        <is>
          <t>A 10611-2025</t>
        </is>
      </c>
      <c r="B213" s="1" t="n">
        <v>45721</v>
      </c>
      <c r="C213" s="1" t="n">
        <v>45910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736-2025</t>
        </is>
      </c>
      <c r="B214" s="1" t="n">
        <v>45664</v>
      </c>
      <c r="C214" s="1" t="n">
        <v>45910</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44531-2023</t>
        </is>
      </c>
      <c r="B215" s="1" t="n">
        <v>45183</v>
      </c>
      <c r="C215" s="1" t="n">
        <v>45910</v>
      </c>
      <c r="D215" t="inlineStr">
        <is>
          <t>NORRBOTTENS LÄN</t>
        </is>
      </c>
      <c r="E215" t="inlineStr">
        <is>
          <t>LULEÅ</t>
        </is>
      </c>
      <c r="G215" t="n">
        <v>2</v>
      </c>
      <c r="H215" t="n">
        <v>0</v>
      </c>
      <c r="I215" t="n">
        <v>0</v>
      </c>
      <c r="J215" t="n">
        <v>0</v>
      </c>
      <c r="K215" t="n">
        <v>0</v>
      </c>
      <c r="L215" t="n">
        <v>0</v>
      </c>
      <c r="M215" t="n">
        <v>0</v>
      </c>
      <c r="N215" t="n">
        <v>0</v>
      </c>
      <c r="O215" t="n">
        <v>0</v>
      </c>
      <c r="P215" t="n">
        <v>0</v>
      </c>
      <c r="Q215" t="n">
        <v>0</v>
      </c>
      <c r="R215" s="2" t="inlineStr"/>
    </row>
    <row r="216" ht="15" customHeight="1">
      <c r="A216" t="inlineStr">
        <is>
          <t>A 7037-2025</t>
        </is>
      </c>
      <c r="B216" s="1" t="n">
        <v>45701.63607638889</v>
      </c>
      <c r="C216" s="1" t="n">
        <v>45910</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52697-2023</t>
        </is>
      </c>
      <c r="B217" s="1" t="n">
        <v>45219</v>
      </c>
      <c r="C217" s="1" t="n">
        <v>45910</v>
      </c>
      <c r="D217" t="inlineStr">
        <is>
          <t>NORRBOTTENS LÄN</t>
        </is>
      </c>
      <c r="E217" t="inlineStr">
        <is>
          <t>LULEÅ</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47931-2024</t>
        </is>
      </c>
      <c r="B218" s="1" t="n">
        <v>45589</v>
      </c>
      <c r="C218" s="1" t="n">
        <v>45910</v>
      </c>
      <c r="D218" t="inlineStr">
        <is>
          <t>NORRBOTTENS LÄN</t>
        </is>
      </c>
      <c r="E218" t="inlineStr">
        <is>
          <t>LULEÅ</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48379-2022</t>
        </is>
      </c>
      <c r="B219" s="1" t="n">
        <v>44854</v>
      </c>
      <c r="C219" s="1" t="n">
        <v>45910</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23516-2025</t>
        </is>
      </c>
      <c r="B220" s="1" t="n">
        <v>45792</v>
      </c>
      <c r="C220" s="1" t="n">
        <v>45910</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23519-2025</t>
        </is>
      </c>
      <c r="B221" s="1" t="n">
        <v>45792.51074074074</v>
      </c>
      <c r="C221" s="1" t="n">
        <v>45910</v>
      </c>
      <c r="D221" t="inlineStr">
        <is>
          <t>NORRBOTTENS LÄN</t>
        </is>
      </c>
      <c r="E221" t="inlineStr">
        <is>
          <t>LULEÅ</t>
        </is>
      </c>
      <c r="G221" t="n">
        <v>2.6</v>
      </c>
      <c r="H221" t="n">
        <v>0</v>
      </c>
      <c r="I221" t="n">
        <v>0</v>
      </c>
      <c r="J221" t="n">
        <v>0</v>
      </c>
      <c r="K221" t="n">
        <v>0</v>
      </c>
      <c r="L221" t="n">
        <v>0</v>
      </c>
      <c r="M221" t="n">
        <v>0</v>
      </c>
      <c r="N221" t="n">
        <v>0</v>
      </c>
      <c r="O221" t="n">
        <v>0</v>
      </c>
      <c r="P221" t="n">
        <v>0</v>
      </c>
      <c r="Q221" t="n">
        <v>0</v>
      </c>
      <c r="R221" s="2" t="inlineStr"/>
    </row>
    <row r="222" ht="15" customHeight="1">
      <c r="A222" t="inlineStr">
        <is>
          <t>A 23726-2025</t>
        </is>
      </c>
      <c r="B222" s="1" t="n">
        <v>45793.40854166666</v>
      </c>
      <c r="C222" s="1" t="n">
        <v>45910</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19238-2025</t>
        </is>
      </c>
      <c r="B223" s="1" t="n">
        <v>45769.47217592593</v>
      </c>
      <c r="C223" s="1" t="n">
        <v>45910</v>
      </c>
      <c r="D223" t="inlineStr">
        <is>
          <t>NORRBOTTENS LÄN</t>
        </is>
      </c>
      <c r="E223" t="inlineStr">
        <is>
          <t>LULEÅ</t>
        </is>
      </c>
      <c r="G223" t="n">
        <v>4.9</v>
      </c>
      <c r="H223" t="n">
        <v>0</v>
      </c>
      <c r="I223" t="n">
        <v>0</v>
      </c>
      <c r="J223" t="n">
        <v>0</v>
      </c>
      <c r="K223" t="n">
        <v>0</v>
      </c>
      <c r="L223" t="n">
        <v>0</v>
      </c>
      <c r="M223" t="n">
        <v>0</v>
      </c>
      <c r="N223" t="n">
        <v>0</v>
      </c>
      <c r="O223" t="n">
        <v>0</v>
      </c>
      <c r="P223" t="n">
        <v>0</v>
      </c>
      <c r="Q223" t="n">
        <v>0</v>
      </c>
      <c r="R223" s="2" t="inlineStr"/>
    </row>
    <row r="224" ht="15" customHeight="1">
      <c r="A224" t="inlineStr">
        <is>
          <t>A 23722-2025</t>
        </is>
      </c>
      <c r="B224" s="1" t="n">
        <v>45793.40636574074</v>
      </c>
      <c r="C224" s="1" t="n">
        <v>45910</v>
      </c>
      <c r="D224" t="inlineStr">
        <is>
          <t>NORRBOTTENS LÄN</t>
        </is>
      </c>
      <c r="E224" t="inlineStr">
        <is>
          <t>LULEÅ</t>
        </is>
      </c>
      <c r="G224" t="n">
        <v>2.7</v>
      </c>
      <c r="H224" t="n">
        <v>0</v>
      </c>
      <c r="I224" t="n">
        <v>0</v>
      </c>
      <c r="J224" t="n">
        <v>0</v>
      </c>
      <c r="K224" t="n">
        <v>0</v>
      </c>
      <c r="L224" t="n">
        <v>0</v>
      </c>
      <c r="M224" t="n">
        <v>0</v>
      </c>
      <c r="N224" t="n">
        <v>0</v>
      </c>
      <c r="O224" t="n">
        <v>0</v>
      </c>
      <c r="P224" t="n">
        <v>0</v>
      </c>
      <c r="Q224" t="n">
        <v>0</v>
      </c>
      <c r="R224" s="2" t="inlineStr"/>
    </row>
    <row r="225" ht="15" customHeight="1">
      <c r="A225" t="inlineStr">
        <is>
          <t>A 57764-2022</t>
        </is>
      </c>
      <c r="B225" s="1" t="n">
        <v>44890</v>
      </c>
      <c r="C225" s="1" t="n">
        <v>45910</v>
      </c>
      <c r="D225" t="inlineStr">
        <is>
          <t>NORRBOTTENS LÄN</t>
        </is>
      </c>
      <c r="E225" t="inlineStr">
        <is>
          <t>LULEÅ</t>
        </is>
      </c>
      <c r="G225" t="n">
        <v>4.3</v>
      </c>
      <c r="H225" t="n">
        <v>0</v>
      </c>
      <c r="I225" t="n">
        <v>0</v>
      </c>
      <c r="J225" t="n">
        <v>0</v>
      </c>
      <c r="K225" t="n">
        <v>0</v>
      </c>
      <c r="L225" t="n">
        <v>0</v>
      </c>
      <c r="M225" t="n">
        <v>0</v>
      </c>
      <c r="N225" t="n">
        <v>0</v>
      </c>
      <c r="O225" t="n">
        <v>0</v>
      </c>
      <c r="P225" t="n">
        <v>0</v>
      </c>
      <c r="Q225" t="n">
        <v>0</v>
      </c>
      <c r="R225" s="2" t="inlineStr"/>
    </row>
    <row r="226" ht="15" customHeight="1">
      <c r="A226" t="inlineStr">
        <is>
          <t>A 5050-2025</t>
        </is>
      </c>
      <c r="B226" s="1" t="n">
        <v>45691.44899305556</v>
      </c>
      <c r="C226" s="1" t="n">
        <v>45910</v>
      </c>
      <c r="D226" t="inlineStr">
        <is>
          <t>NORRBOTTENS LÄN</t>
        </is>
      </c>
      <c r="E226" t="inlineStr">
        <is>
          <t>LULEÅ</t>
        </is>
      </c>
      <c r="G226" t="n">
        <v>3.1</v>
      </c>
      <c r="H226" t="n">
        <v>0</v>
      </c>
      <c r="I226" t="n">
        <v>0</v>
      </c>
      <c r="J226" t="n">
        <v>0</v>
      </c>
      <c r="K226" t="n">
        <v>0</v>
      </c>
      <c r="L226" t="n">
        <v>0</v>
      </c>
      <c r="M226" t="n">
        <v>0</v>
      </c>
      <c r="N226" t="n">
        <v>0</v>
      </c>
      <c r="O226" t="n">
        <v>0</v>
      </c>
      <c r="P226" t="n">
        <v>0</v>
      </c>
      <c r="Q226" t="n">
        <v>0</v>
      </c>
      <c r="R226" s="2" t="inlineStr"/>
    </row>
    <row r="227" ht="15" customHeight="1">
      <c r="A227" t="inlineStr">
        <is>
          <t>A 23719-2025</t>
        </is>
      </c>
      <c r="B227" s="1" t="n">
        <v>45793.40042824074</v>
      </c>
      <c r="C227" s="1" t="n">
        <v>45910</v>
      </c>
      <c r="D227" t="inlineStr">
        <is>
          <t>NORRBOTTENS LÄN</t>
        </is>
      </c>
      <c r="E227" t="inlineStr">
        <is>
          <t>LULEÅ</t>
        </is>
      </c>
      <c r="G227" t="n">
        <v>2.9</v>
      </c>
      <c r="H227" t="n">
        <v>0</v>
      </c>
      <c r="I227" t="n">
        <v>0</v>
      </c>
      <c r="J227" t="n">
        <v>0</v>
      </c>
      <c r="K227" t="n">
        <v>0</v>
      </c>
      <c r="L227" t="n">
        <v>0</v>
      </c>
      <c r="M227" t="n">
        <v>0</v>
      </c>
      <c r="N227" t="n">
        <v>0</v>
      </c>
      <c r="O227" t="n">
        <v>0</v>
      </c>
      <c r="P227" t="n">
        <v>0</v>
      </c>
      <c r="Q227" t="n">
        <v>0</v>
      </c>
      <c r="R227" s="2" t="inlineStr"/>
    </row>
    <row r="228" ht="15" customHeight="1">
      <c r="A228" t="inlineStr">
        <is>
          <t>A 25798-2024</t>
        </is>
      </c>
      <c r="B228" s="1" t="n">
        <v>45463</v>
      </c>
      <c r="C228" s="1" t="n">
        <v>45910</v>
      </c>
      <c r="D228" t="inlineStr">
        <is>
          <t>NORRBOTTENS LÄN</t>
        </is>
      </c>
      <c r="E228" t="inlineStr">
        <is>
          <t>LULEÅ</t>
        </is>
      </c>
      <c r="G228" t="n">
        <v>4.9</v>
      </c>
      <c r="H228" t="n">
        <v>0</v>
      </c>
      <c r="I228" t="n">
        <v>0</v>
      </c>
      <c r="J228" t="n">
        <v>0</v>
      </c>
      <c r="K228" t="n">
        <v>0</v>
      </c>
      <c r="L228" t="n">
        <v>0</v>
      </c>
      <c r="M228" t="n">
        <v>0</v>
      </c>
      <c r="N228" t="n">
        <v>0</v>
      </c>
      <c r="O228" t="n">
        <v>0</v>
      </c>
      <c r="P228" t="n">
        <v>0</v>
      </c>
      <c r="Q228" t="n">
        <v>0</v>
      </c>
      <c r="R228" s="2" t="inlineStr"/>
    </row>
    <row r="229" ht="15" customHeight="1">
      <c r="A229" t="inlineStr">
        <is>
          <t>A 53836-2024</t>
        </is>
      </c>
      <c r="B229" s="1" t="n">
        <v>45615.62185185185</v>
      </c>
      <c r="C229" s="1" t="n">
        <v>45910</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17176-2024</t>
        </is>
      </c>
      <c r="B230" s="1" t="n">
        <v>45412</v>
      </c>
      <c r="C230" s="1" t="n">
        <v>45910</v>
      </c>
      <c r="D230" t="inlineStr">
        <is>
          <t>NORRBOTTENS LÄN</t>
        </is>
      </c>
      <c r="E230" t="inlineStr">
        <is>
          <t>LULEÅ</t>
        </is>
      </c>
      <c r="F230" t="inlineStr">
        <is>
          <t>SCA</t>
        </is>
      </c>
      <c r="G230" t="n">
        <v>8.5</v>
      </c>
      <c r="H230" t="n">
        <v>0</v>
      </c>
      <c r="I230" t="n">
        <v>0</v>
      </c>
      <c r="J230" t="n">
        <v>0</v>
      </c>
      <c r="K230" t="n">
        <v>0</v>
      </c>
      <c r="L230" t="n">
        <v>0</v>
      </c>
      <c r="M230" t="n">
        <v>0</v>
      </c>
      <c r="N230" t="n">
        <v>0</v>
      </c>
      <c r="O230" t="n">
        <v>0</v>
      </c>
      <c r="P230" t="n">
        <v>0</v>
      </c>
      <c r="Q230" t="n">
        <v>0</v>
      </c>
      <c r="R230" s="2" t="inlineStr"/>
    </row>
    <row r="231" ht="15" customHeight="1">
      <c r="A231" t="inlineStr">
        <is>
          <t>A 14216-2025</t>
        </is>
      </c>
      <c r="B231" s="1" t="n">
        <v>45740.58505787037</v>
      </c>
      <c r="C231" s="1" t="n">
        <v>45910</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23520-2025</t>
        </is>
      </c>
      <c r="B232" s="1" t="n">
        <v>45792.51074074074</v>
      </c>
      <c r="C232" s="1" t="n">
        <v>45910</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23524-2025</t>
        </is>
      </c>
      <c r="B233" s="1" t="n">
        <v>45792</v>
      </c>
      <c r="C233" s="1" t="n">
        <v>45910</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804-2025</t>
        </is>
      </c>
      <c r="B234" s="1" t="n">
        <v>45664</v>
      </c>
      <c r="C234" s="1" t="n">
        <v>45910</v>
      </c>
      <c r="D234" t="inlineStr">
        <is>
          <t>NORRBOTTENS LÄN</t>
        </is>
      </c>
      <c r="E234" t="inlineStr">
        <is>
          <t>LULEÅ</t>
        </is>
      </c>
      <c r="G234" t="n">
        <v>2.1</v>
      </c>
      <c r="H234" t="n">
        <v>0</v>
      </c>
      <c r="I234" t="n">
        <v>0</v>
      </c>
      <c r="J234" t="n">
        <v>0</v>
      </c>
      <c r="K234" t="n">
        <v>0</v>
      </c>
      <c r="L234" t="n">
        <v>0</v>
      </c>
      <c r="M234" t="n">
        <v>0</v>
      </c>
      <c r="N234" t="n">
        <v>0</v>
      </c>
      <c r="O234" t="n">
        <v>0</v>
      </c>
      <c r="P234" t="n">
        <v>0</v>
      </c>
      <c r="Q234" t="n">
        <v>0</v>
      </c>
      <c r="R234" s="2" t="inlineStr"/>
    </row>
    <row r="235" ht="15" customHeight="1">
      <c r="A235" t="inlineStr">
        <is>
          <t>A 814-2025</t>
        </is>
      </c>
      <c r="B235" s="1" t="n">
        <v>45664</v>
      </c>
      <c r="C235" s="1" t="n">
        <v>45910</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23505-2025</t>
        </is>
      </c>
      <c r="B236" s="1" t="n">
        <v>45792</v>
      </c>
      <c r="C236" s="1" t="n">
        <v>45910</v>
      </c>
      <c r="D236" t="inlineStr">
        <is>
          <t>NORRBOTTENS LÄN</t>
        </is>
      </c>
      <c r="E236" t="inlineStr">
        <is>
          <t>LULEÅ</t>
        </is>
      </c>
      <c r="G236" t="n">
        <v>4.6</v>
      </c>
      <c r="H236" t="n">
        <v>0</v>
      </c>
      <c r="I236" t="n">
        <v>0</v>
      </c>
      <c r="J236" t="n">
        <v>0</v>
      </c>
      <c r="K236" t="n">
        <v>0</v>
      </c>
      <c r="L236" t="n">
        <v>0</v>
      </c>
      <c r="M236" t="n">
        <v>0</v>
      </c>
      <c r="N236" t="n">
        <v>0</v>
      </c>
      <c r="O236" t="n">
        <v>0</v>
      </c>
      <c r="P236" t="n">
        <v>0</v>
      </c>
      <c r="Q236" t="n">
        <v>0</v>
      </c>
      <c r="R236" s="2" t="inlineStr"/>
    </row>
    <row r="237" ht="15" customHeight="1">
      <c r="A237" t="inlineStr">
        <is>
          <t>A 23531-2025</t>
        </is>
      </c>
      <c r="B237" s="1" t="n">
        <v>45792</v>
      </c>
      <c r="C237" s="1" t="n">
        <v>45910</v>
      </c>
      <c r="D237" t="inlineStr">
        <is>
          <t>NORRBOTTENS LÄN</t>
        </is>
      </c>
      <c r="E237" t="inlineStr">
        <is>
          <t>LULEÅ</t>
        </is>
      </c>
      <c r="G237" t="n">
        <v>5.1</v>
      </c>
      <c r="H237" t="n">
        <v>0</v>
      </c>
      <c r="I237" t="n">
        <v>0</v>
      </c>
      <c r="J237" t="n">
        <v>0</v>
      </c>
      <c r="K237" t="n">
        <v>0</v>
      </c>
      <c r="L237" t="n">
        <v>0</v>
      </c>
      <c r="M237" t="n">
        <v>0</v>
      </c>
      <c r="N237" t="n">
        <v>0</v>
      </c>
      <c r="O237" t="n">
        <v>0</v>
      </c>
      <c r="P237" t="n">
        <v>0</v>
      </c>
      <c r="Q237" t="n">
        <v>0</v>
      </c>
      <c r="R237" s="2" t="inlineStr"/>
    </row>
    <row r="238" ht="15" customHeight="1">
      <c r="A238" t="inlineStr">
        <is>
          <t>A 23534-2025</t>
        </is>
      </c>
      <c r="B238" s="1" t="n">
        <v>45792</v>
      </c>
      <c r="C238" s="1" t="n">
        <v>45910</v>
      </c>
      <c r="D238" t="inlineStr">
        <is>
          <t>NORRBOTTENS LÄN</t>
        </is>
      </c>
      <c r="E238" t="inlineStr">
        <is>
          <t>LULEÅ</t>
        </is>
      </c>
      <c r="G238" t="n">
        <v>3.2</v>
      </c>
      <c r="H238" t="n">
        <v>0</v>
      </c>
      <c r="I238" t="n">
        <v>0</v>
      </c>
      <c r="J238" t="n">
        <v>0</v>
      </c>
      <c r="K238" t="n">
        <v>0</v>
      </c>
      <c r="L238" t="n">
        <v>0</v>
      </c>
      <c r="M238" t="n">
        <v>0</v>
      </c>
      <c r="N238" t="n">
        <v>0</v>
      </c>
      <c r="O238" t="n">
        <v>0</v>
      </c>
      <c r="P238" t="n">
        <v>0</v>
      </c>
      <c r="Q238" t="n">
        <v>0</v>
      </c>
      <c r="R238" s="2" t="inlineStr"/>
    </row>
    <row r="239" ht="15" customHeight="1">
      <c r="A239" t="inlineStr">
        <is>
          <t>A 44680-2021</t>
        </is>
      </c>
      <c r="B239" s="1" t="n">
        <v>44435</v>
      </c>
      <c r="C239" s="1" t="n">
        <v>45910</v>
      </c>
      <c r="D239" t="inlineStr">
        <is>
          <t>NORRBOTTENS LÄN</t>
        </is>
      </c>
      <c r="E239" t="inlineStr">
        <is>
          <t>LULEÅ</t>
        </is>
      </c>
      <c r="G239" t="n">
        <v>6.1</v>
      </c>
      <c r="H239" t="n">
        <v>0</v>
      </c>
      <c r="I239" t="n">
        <v>0</v>
      </c>
      <c r="J239" t="n">
        <v>0</v>
      </c>
      <c r="K239" t="n">
        <v>0</v>
      </c>
      <c r="L239" t="n">
        <v>0</v>
      </c>
      <c r="M239" t="n">
        <v>0</v>
      </c>
      <c r="N239" t="n">
        <v>0</v>
      </c>
      <c r="O239" t="n">
        <v>0</v>
      </c>
      <c r="P239" t="n">
        <v>0</v>
      </c>
      <c r="Q239" t="n">
        <v>0</v>
      </c>
      <c r="R239" s="2" t="inlineStr"/>
    </row>
    <row r="240" ht="15" customHeight="1">
      <c r="A240" t="inlineStr">
        <is>
          <t>A 30950-2024</t>
        </is>
      </c>
      <c r="B240" s="1" t="n">
        <v>45499</v>
      </c>
      <c r="C240" s="1" t="n">
        <v>45910</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42854-2024</t>
        </is>
      </c>
      <c r="B241" s="1" t="n">
        <v>45566.64958333333</v>
      </c>
      <c r="C241" s="1" t="n">
        <v>45910</v>
      </c>
      <c r="D241" t="inlineStr">
        <is>
          <t>NORRBOTTENS LÄN</t>
        </is>
      </c>
      <c r="E241" t="inlineStr">
        <is>
          <t>LULEÅ</t>
        </is>
      </c>
      <c r="G241" t="n">
        <v>1.6</v>
      </c>
      <c r="H241" t="n">
        <v>0</v>
      </c>
      <c r="I241" t="n">
        <v>0</v>
      </c>
      <c r="J241" t="n">
        <v>0</v>
      </c>
      <c r="K241" t="n">
        <v>0</v>
      </c>
      <c r="L241" t="n">
        <v>0</v>
      </c>
      <c r="M241" t="n">
        <v>0</v>
      </c>
      <c r="N241" t="n">
        <v>0</v>
      </c>
      <c r="O241" t="n">
        <v>0</v>
      </c>
      <c r="P241" t="n">
        <v>0</v>
      </c>
      <c r="Q241" t="n">
        <v>0</v>
      </c>
      <c r="R241" s="2" t="inlineStr"/>
    </row>
    <row r="242" ht="15" customHeight="1">
      <c r="A242" t="inlineStr">
        <is>
          <t>A 40697-2024</t>
        </is>
      </c>
      <c r="B242" s="1" t="n">
        <v>45558.41288194444</v>
      </c>
      <c r="C242" s="1" t="n">
        <v>45910</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40974-2024</t>
        </is>
      </c>
      <c r="B243" s="1" t="n">
        <v>45558.6815162037</v>
      </c>
      <c r="C243" s="1" t="n">
        <v>45910</v>
      </c>
      <c r="D243" t="inlineStr">
        <is>
          <t>NORRBOTTENS LÄN</t>
        </is>
      </c>
      <c r="E243" t="inlineStr">
        <is>
          <t>LULEÅ</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49401-2022</t>
        </is>
      </c>
      <c r="B244" s="1" t="n">
        <v>44861</v>
      </c>
      <c r="C244" s="1" t="n">
        <v>45910</v>
      </c>
      <c r="D244" t="inlineStr">
        <is>
          <t>NORRBOTTENS LÄN</t>
        </is>
      </c>
      <c r="E244" t="inlineStr">
        <is>
          <t>LULEÅ</t>
        </is>
      </c>
      <c r="G244" t="n">
        <v>8.4</v>
      </c>
      <c r="H244" t="n">
        <v>0</v>
      </c>
      <c r="I244" t="n">
        <v>0</v>
      </c>
      <c r="J244" t="n">
        <v>0</v>
      </c>
      <c r="K244" t="n">
        <v>0</v>
      </c>
      <c r="L244" t="n">
        <v>0</v>
      </c>
      <c r="M244" t="n">
        <v>0</v>
      </c>
      <c r="N244" t="n">
        <v>0</v>
      </c>
      <c r="O244" t="n">
        <v>0</v>
      </c>
      <c r="P244" t="n">
        <v>0</v>
      </c>
      <c r="Q244" t="n">
        <v>0</v>
      </c>
      <c r="R244" s="2" t="inlineStr"/>
    </row>
    <row r="245" ht="15" customHeight="1">
      <c r="A245" t="inlineStr">
        <is>
          <t>A 49727-2022</t>
        </is>
      </c>
      <c r="B245" s="1" t="n">
        <v>44859</v>
      </c>
      <c r="C245" s="1" t="n">
        <v>45910</v>
      </c>
      <c r="D245" t="inlineStr">
        <is>
          <t>NORRBOTTENS LÄN</t>
        </is>
      </c>
      <c r="E245" t="inlineStr">
        <is>
          <t>LULEÅ</t>
        </is>
      </c>
      <c r="G245" t="n">
        <v>3.5</v>
      </c>
      <c r="H245" t="n">
        <v>0</v>
      </c>
      <c r="I245" t="n">
        <v>0</v>
      </c>
      <c r="J245" t="n">
        <v>0</v>
      </c>
      <c r="K245" t="n">
        <v>0</v>
      </c>
      <c r="L245" t="n">
        <v>0</v>
      </c>
      <c r="M245" t="n">
        <v>0</v>
      </c>
      <c r="N245" t="n">
        <v>0</v>
      </c>
      <c r="O245" t="n">
        <v>0</v>
      </c>
      <c r="P245" t="n">
        <v>0</v>
      </c>
      <c r="Q245" t="n">
        <v>0</v>
      </c>
      <c r="R245" s="2" t="inlineStr"/>
    </row>
    <row r="246" ht="15" customHeight="1">
      <c r="A246" t="inlineStr">
        <is>
          <t>A 72756-2021</t>
        </is>
      </c>
      <c r="B246" s="1" t="n">
        <v>44546.92277777778</v>
      </c>
      <c r="C246" s="1" t="n">
        <v>45910</v>
      </c>
      <c r="D246" t="inlineStr">
        <is>
          <t>NORRBOTTENS LÄN</t>
        </is>
      </c>
      <c r="E246" t="inlineStr">
        <is>
          <t>LULEÅ</t>
        </is>
      </c>
      <c r="G246" t="n">
        <v>1.9</v>
      </c>
      <c r="H246" t="n">
        <v>0</v>
      </c>
      <c r="I246" t="n">
        <v>0</v>
      </c>
      <c r="J246" t="n">
        <v>0</v>
      </c>
      <c r="K246" t="n">
        <v>0</v>
      </c>
      <c r="L246" t="n">
        <v>0</v>
      </c>
      <c r="M246" t="n">
        <v>0</v>
      </c>
      <c r="N246" t="n">
        <v>0</v>
      </c>
      <c r="O246" t="n">
        <v>0</v>
      </c>
      <c r="P246" t="n">
        <v>0</v>
      </c>
      <c r="Q246" t="n">
        <v>0</v>
      </c>
      <c r="R246" s="2" t="inlineStr"/>
    </row>
    <row r="247" ht="15" customHeight="1">
      <c r="A247" t="inlineStr">
        <is>
          <t>A 34680-2023</t>
        </is>
      </c>
      <c r="B247" s="1" t="n">
        <v>45140</v>
      </c>
      <c r="C247" s="1" t="n">
        <v>45910</v>
      </c>
      <c r="D247" t="inlineStr">
        <is>
          <t>NORRBOTTENS LÄN</t>
        </is>
      </c>
      <c r="E247" t="inlineStr">
        <is>
          <t>LULEÅ</t>
        </is>
      </c>
      <c r="G247" t="n">
        <v>4.9</v>
      </c>
      <c r="H247" t="n">
        <v>0</v>
      </c>
      <c r="I247" t="n">
        <v>0</v>
      </c>
      <c r="J247" t="n">
        <v>0</v>
      </c>
      <c r="K247" t="n">
        <v>0</v>
      </c>
      <c r="L247" t="n">
        <v>0</v>
      </c>
      <c r="M247" t="n">
        <v>0</v>
      </c>
      <c r="N247" t="n">
        <v>0</v>
      </c>
      <c r="O247" t="n">
        <v>0</v>
      </c>
      <c r="P247" t="n">
        <v>0</v>
      </c>
      <c r="Q247" t="n">
        <v>0</v>
      </c>
      <c r="R247" s="2" t="inlineStr"/>
    </row>
    <row r="248" ht="15" customHeight="1">
      <c r="A248" t="inlineStr">
        <is>
          <t>A 6459-2025</t>
        </is>
      </c>
      <c r="B248" s="1" t="n">
        <v>45699.56368055556</v>
      </c>
      <c r="C248" s="1" t="n">
        <v>45910</v>
      </c>
      <c r="D248" t="inlineStr">
        <is>
          <t>NORRBOTTENS LÄN</t>
        </is>
      </c>
      <c r="E248" t="inlineStr">
        <is>
          <t>LULEÅ</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49721-2022</t>
        </is>
      </c>
      <c r="B249" s="1" t="n">
        <v>44859</v>
      </c>
      <c r="C249" s="1" t="n">
        <v>45910</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86-2025</t>
        </is>
      </c>
      <c r="B250" s="1" t="n">
        <v>45659.45902777778</v>
      </c>
      <c r="C250" s="1" t="n">
        <v>45910</v>
      </c>
      <c r="D250" t="inlineStr">
        <is>
          <t>NORRBOTTENS LÄN</t>
        </is>
      </c>
      <c r="E250" t="inlineStr">
        <is>
          <t>LULEÅ</t>
        </is>
      </c>
      <c r="G250" t="n">
        <v>2.2</v>
      </c>
      <c r="H250" t="n">
        <v>0</v>
      </c>
      <c r="I250" t="n">
        <v>0</v>
      </c>
      <c r="J250" t="n">
        <v>0</v>
      </c>
      <c r="K250" t="n">
        <v>0</v>
      </c>
      <c r="L250" t="n">
        <v>0</v>
      </c>
      <c r="M250" t="n">
        <v>0</v>
      </c>
      <c r="N250" t="n">
        <v>0</v>
      </c>
      <c r="O250" t="n">
        <v>0</v>
      </c>
      <c r="P250" t="n">
        <v>0</v>
      </c>
      <c r="Q250" t="n">
        <v>0</v>
      </c>
      <c r="R250" s="2" t="inlineStr"/>
    </row>
    <row r="251" ht="15" customHeight="1">
      <c r="A251" t="inlineStr">
        <is>
          <t>A 22364-2021</t>
        </is>
      </c>
      <c r="B251" s="1" t="n">
        <v>44322</v>
      </c>
      <c r="C251" s="1" t="n">
        <v>45910</v>
      </c>
      <c r="D251" t="inlineStr">
        <is>
          <t>NORRBOTTENS LÄN</t>
        </is>
      </c>
      <c r="E251" t="inlineStr">
        <is>
          <t>LULEÅ</t>
        </is>
      </c>
      <c r="G251" t="n">
        <v>1.8</v>
      </c>
      <c r="H251" t="n">
        <v>0</v>
      </c>
      <c r="I251" t="n">
        <v>0</v>
      </c>
      <c r="J251" t="n">
        <v>0</v>
      </c>
      <c r="K251" t="n">
        <v>0</v>
      </c>
      <c r="L251" t="n">
        <v>0</v>
      </c>
      <c r="M251" t="n">
        <v>0</v>
      </c>
      <c r="N251" t="n">
        <v>0</v>
      </c>
      <c r="O251" t="n">
        <v>0</v>
      </c>
      <c r="P251" t="n">
        <v>0</v>
      </c>
      <c r="Q251" t="n">
        <v>0</v>
      </c>
      <c r="R251" s="2" t="inlineStr"/>
    </row>
    <row r="252" ht="15" customHeight="1">
      <c r="A252" t="inlineStr">
        <is>
          <t>A 59825-2024</t>
        </is>
      </c>
      <c r="B252" s="1" t="n">
        <v>45639.64152777778</v>
      </c>
      <c r="C252" s="1" t="n">
        <v>45910</v>
      </c>
      <c r="D252" t="inlineStr">
        <is>
          <t>NORRBOTTENS LÄN</t>
        </is>
      </c>
      <c r="E252" t="inlineStr">
        <is>
          <t>LULEÅ</t>
        </is>
      </c>
      <c r="G252" t="n">
        <v>1.1</v>
      </c>
      <c r="H252" t="n">
        <v>0</v>
      </c>
      <c r="I252" t="n">
        <v>0</v>
      </c>
      <c r="J252" t="n">
        <v>0</v>
      </c>
      <c r="K252" t="n">
        <v>0</v>
      </c>
      <c r="L252" t="n">
        <v>0</v>
      </c>
      <c r="M252" t="n">
        <v>0</v>
      </c>
      <c r="N252" t="n">
        <v>0</v>
      </c>
      <c r="O252" t="n">
        <v>0</v>
      </c>
      <c r="P252" t="n">
        <v>0</v>
      </c>
      <c r="Q252" t="n">
        <v>0</v>
      </c>
      <c r="R252" s="2" t="inlineStr"/>
    </row>
    <row r="253" ht="15" customHeight="1">
      <c r="A253" t="inlineStr">
        <is>
          <t>A 7689-2025</t>
        </is>
      </c>
      <c r="B253" s="1" t="n">
        <v>45706</v>
      </c>
      <c r="C253" s="1" t="n">
        <v>45910</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4919-2025</t>
        </is>
      </c>
      <c r="B254" s="1" t="n">
        <v>45688.68407407407</v>
      </c>
      <c r="C254" s="1" t="n">
        <v>45910</v>
      </c>
      <c r="D254" t="inlineStr">
        <is>
          <t>NORRBOTTENS LÄN</t>
        </is>
      </c>
      <c r="E254" t="inlineStr">
        <is>
          <t>LULEÅ</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63828-2020</t>
        </is>
      </c>
      <c r="B255" s="1" t="n">
        <v>44165</v>
      </c>
      <c r="C255" s="1" t="n">
        <v>45910</v>
      </c>
      <c r="D255" t="inlineStr">
        <is>
          <t>NORRBOTTENS LÄN</t>
        </is>
      </c>
      <c r="E255" t="inlineStr">
        <is>
          <t>LULEÅ</t>
        </is>
      </c>
      <c r="G255" t="n">
        <v>5.3</v>
      </c>
      <c r="H255" t="n">
        <v>0</v>
      </c>
      <c r="I255" t="n">
        <v>0</v>
      </c>
      <c r="J255" t="n">
        <v>0</v>
      </c>
      <c r="K255" t="n">
        <v>0</v>
      </c>
      <c r="L255" t="n">
        <v>0</v>
      </c>
      <c r="M255" t="n">
        <v>0</v>
      </c>
      <c r="N255" t="n">
        <v>0</v>
      </c>
      <c r="O255" t="n">
        <v>0</v>
      </c>
      <c r="P255" t="n">
        <v>0</v>
      </c>
      <c r="Q255" t="n">
        <v>0</v>
      </c>
      <c r="R255" s="2" t="inlineStr"/>
    </row>
    <row r="256" ht="15" customHeight="1">
      <c r="A256" t="inlineStr">
        <is>
          <t>A 6731-2025</t>
        </is>
      </c>
      <c r="B256" s="1" t="n">
        <v>45700.59357638889</v>
      </c>
      <c r="C256" s="1" t="n">
        <v>45910</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29555-2024</t>
        </is>
      </c>
      <c r="B257" s="1" t="n">
        <v>45484</v>
      </c>
      <c r="C257" s="1" t="n">
        <v>45910</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60721-2024</t>
        </is>
      </c>
      <c r="B258" s="1" t="n">
        <v>45644</v>
      </c>
      <c r="C258" s="1" t="n">
        <v>45910</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20690-2024</t>
        </is>
      </c>
      <c r="B259" s="1" t="n">
        <v>45436</v>
      </c>
      <c r="C259" s="1" t="n">
        <v>45910</v>
      </c>
      <c r="D259" t="inlineStr">
        <is>
          <t>NORRBOTTENS LÄN</t>
        </is>
      </c>
      <c r="E259" t="inlineStr">
        <is>
          <t>LULEÅ</t>
        </is>
      </c>
      <c r="G259" t="n">
        <v>2.6</v>
      </c>
      <c r="H259" t="n">
        <v>0</v>
      </c>
      <c r="I259" t="n">
        <v>0</v>
      </c>
      <c r="J259" t="n">
        <v>0</v>
      </c>
      <c r="K259" t="n">
        <v>0</v>
      </c>
      <c r="L259" t="n">
        <v>0</v>
      </c>
      <c r="M259" t="n">
        <v>0</v>
      </c>
      <c r="N259" t="n">
        <v>0</v>
      </c>
      <c r="O259" t="n">
        <v>0</v>
      </c>
      <c r="P259" t="n">
        <v>0</v>
      </c>
      <c r="Q259" t="n">
        <v>0</v>
      </c>
      <c r="R259" s="2" t="inlineStr"/>
    </row>
    <row r="260" ht="15" customHeight="1">
      <c r="A260" t="inlineStr">
        <is>
          <t>A 4237-2025</t>
        </is>
      </c>
      <c r="B260" s="1" t="n">
        <v>45685</v>
      </c>
      <c r="C260" s="1" t="n">
        <v>45910</v>
      </c>
      <c r="D260" t="inlineStr">
        <is>
          <t>NORRBOTTENS LÄN</t>
        </is>
      </c>
      <c r="E260" t="inlineStr">
        <is>
          <t>LULEÅ</t>
        </is>
      </c>
      <c r="G260" t="n">
        <v>4.9</v>
      </c>
      <c r="H260" t="n">
        <v>0</v>
      </c>
      <c r="I260" t="n">
        <v>0</v>
      </c>
      <c r="J260" t="n">
        <v>0</v>
      </c>
      <c r="K260" t="n">
        <v>0</v>
      </c>
      <c r="L260" t="n">
        <v>0</v>
      </c>
      <c r="M260" t="n">
        <v>0</v>
      </c>
      <c r="N260" t="n">
        <v>0</v>
      </c>
      <c r="O260" t="n">
        <v>0</v>
      </c>
      <c r="P260" t="n">
        <v>0</v>
      </c>
      <c r="Q260" t="n">
        <v>0</v>
      </c>
      <c r="R260" s="2" t="inlineStr"/>
    </row>
    <row r="261" ht="15" customHeight="1">
      <c r="A261" t="inlineStr">
        <is>
          <t>A 4921-2025</t>
        </is>
      </c>
      <c r="B261" s="1" t="n">
        <v>45688.68416666667</v>
      </c>
      <c r="C261" s="1" t="n">
        <v>45910</v>
      </c>
      <c r="D261" t="inlineStr">
        <is>
          <t>NORRBOTTENS LÄN</t>
        </is>
      </c>
      <c r="E261" t="inlineStr">
        <is>
          <t>LULEÅ</t>
        </is>
      </c>
      <c r="G261" t="n">
        <v>2.7</v>
      </c>
      <c r="H261" t="n">
        <v>0</v>
      </c>
      <c r="I261" t="n">
        <v>0</v>
      </c>
      <c r="J261" t="n">
        <v>0</v>
      </c>
      <c r="K261" t="n">
        <v>0</v>
      </c>
      <c r="L261" t="n">
        <v>0</v>
      </c>
      <c r="M261" t="n">
        <v>0</v>
      </c>
      <c r="N261" t="n">
        <v>0</v>
      </c>
      <c r="O261" t="n">
        <v>0</v>
      </c>
      <c r="P261" t="n">
        <v>0</v>
      </c>
      <c r="Q261" t="n">
        <v>0</v>
      </c>
      <c r="R261" s="2" t="inlineStr"/>
    </row>
    <row r="262" ht="15" customHeight="1">
      <c r="A262" t="inlineStr">
        <is>
          <t>A 59115-2021</t>
        </is>
      </c>
      <c r="B262" s="1" t="n">
        <v>44490.43877314815</v>
      </c>
      <c r="C262" s="1" t="n">
        <v>45910</v>
      </c>
      <c r="D262" t="inlineStr">
        <is>
          <t>NORRBOTTENS LÄN</t>
        </is>
      </c>
      <c r="E262" t="inlineStr">
        <is>
          <t>LULEÅ</t>
        </is>
      </c>
      <c r="F262" t="inlineStr">
        <is>
          <t>Kommuner</t>
        </is>
      </c>
      <c r="G262" t="n">
        <v>2.4</v>
      </c>
      <c r="H262" t="n">
        <v>0</v>
      </c>
      <c r="I262" t="n">
        <v>0</v>
      </c>
      <c r="J262" t="n">
        <v>0</v>
      </c>
      <c r="K262" t="n">
        <v>0</v>
      </c>
      <c r="L262" t="n">
        <v>0</v>
      </c>
      <c r="M262" t="n">
        <v>0</v>
      </c>
      <c r="N262" t="n">
        <v>0</v>
      </c>
      <c r="O262" t="n">
        <v>0</v>
      </c>
      <c r="P262" t="n">
        <v>0</v>
      </c>
      <c r="Q262" t="n">
        <v>0</v>
      </c>
      <c r="R262" s="2" t="inlineStr"/>
    </row>
    <row r="263" ht="15" customHeight="1">
      <c r="A263" t="inlineStr">
        <is>
          <t>A 339-2025</t>
        </is>
      </c>
      <c r="B263" s="1" t="n">
        <v>45660.6911574074</v>
      </c>
      <c r="C263" s="1" t="n">
        <v>45910</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52698-2024</t>
        </is>
      </c>
      <c r="B264" s="1" t="n">
        <v>45610</v>
      </c>
      <c r="C264" s="1" t="n">
        <v>45910</v>
      </c>
      <c r="D264" t="inlineStr">
        <is>
          <t>NORRBOTTENS LÄN</t>
        </is>
      </c>
      <c r="E264" t="inlineStr">
        <is>
          <t>LULEÅ</t>
        </is>
      </c>
      <c r="G264" t="n">
        <v>8.9</v>
      </c>
      <c r="H264" t="n">
        <v>0</v>
      </c>
      <c r="I264" t="n">
        <v>0</v>
      </c>
      <c r="J264" t="n">
        <v>0</v>
      </c>
      <c r="K264" t="n">
        <v>0</v>
      </c>
      <c r="L264" t="n">
        <v>0</v>
      </c>
      <c r="M264" t="n">
        <v>0</v>
      </c>
      <c r="N264" t="n">
        <v>0</v>
      </c>
      <c r="O264" t="n">
        <v>0</v>
      </c>
      <c r="P264" t="n">
        <v>0</v>
      </c>
      <c r="Q264" t="n">
        <v>0</v>
      </c>
      <c r="R264" s="2" t="inlineStr"/>
    </row>
    <row r="265" ht="15" customHeight="1">
      <c r="A265" t="inlineStr">
        <is>
          <t>A 4920-2025</t>
        </is>
      </c>
      <c r="B265" s="1" t="n">
        <v>45688.68412037037</v>
      </c>
      <c r="C265" s="1" t="n">
        <v>45910</v>
      </c>
      <c r="D265" t="inlineStr">
        <is>
          <t>NORRBOTTENS LÄN</t>
        </is>
      </c>
      <c r="E265" t="inlineStr">
        <is>
          <t>LULEÅ</t>
        </is>
      </c>
      <c r="G265" t="n">
        <v>6.4</v>
      </c>
      <c r="H265" t="n">
        <v>0</v>
      </c>
      <c r="I265" t="n">
        <v>0</v>
      </c>
      <c r="J265" t="n">
        <v>0</v>
      </c>
      <c r="K265" t="n">
        <v>0</v>
      </c>
      <c r="L265" t="n">
        <v>0</v>
      </c>
      <c r="M265" t="n">
        <v>0</v>
      </c>
      <c r="N265" t="n">
        <v>0</v>
      </c>
      <c r="O265" t="n">
        <v>0</v>
      </c>
      <c r="P265" t="n">
        <v>0</v>
      </c>
      <c r="Q265" t="n">
        <v>0</v>
      </c>
      <c r="R265" s="2" t="inlineStr"/>
    </row>
    <row r="266" ht="15" customHeight="1">
      <c r="A266" t="inlineStr">
        <is>
          <t>A 26925-2024</t>
        </is>
      </c>
      <c r="B266" s="1" t="n">
        <v>45470.93118055556</v>
      </c>
      <c r="C266" s="1" t="n">
        <v>45910</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45910</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24752-2025</t>
        </is>
      </c>
      <c r="B268" s="1" t="n">
        <v>45799.3653587963</v>
      </c>
      <c r="C268" s="1" t="n">
        <v>45910</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8229-2024</t>
        </is>
      </c>
      <c r="B269" s="1" t="n">
        <v>45351</v>
      </c>
      <c r="C269" s="1" t="n">
        <v>45910</v>
      </c>
      <c r="D269" t="inlineStr">
        <is>
          <t>NORRBOTTENS LÄN</t>
        </is>
      </c>
      <c r="E269" t="inlineStr">
        <is>
          <t>LULEÅ</t>
        </is>
      </c>
      <c r="G269" t="n">
        <v>14.8</v>
      </c>
      <c r="H269" t="n">
        <v>0</v>
      </c>
      <c r="I269" t="n">
        <v>0</v>
      </c>
      <c r="J269" t="n">
        <v>0</v>
      </c>
      <c r="K269" t="n">
        <v>0</v>
      </c>
      <c r="L269" t="n">
        <v>0</v>
      </c>
      <c r="M269" t="n">
        <v>0</v>
      </c>
      <c r="N269" t="n">
        <v>0</v>
      </c>
      <c r="O269" t="n">
        <v>0</v>
      </c>
      <c r="P269" t="n">
        <v>0</v>
      </c>
      <c r="Q269" t="n">
        <v>0</v>
      </c>
      <c r="R269" s="2" t="inlineStr"/>
    </row>
    <row r="270" ht="15" customHeight="1">
      <c r="A270" t="inlineStr">
        <is>
          <t>A 51668-2022</t>
        </is>
      </c>
      <c r="B270" s="1" t="n">
        <v>44867</v>
      </c>
      <c r="C270" s="1" t="n">
        <v>45910</v>
      </c>
      <c r="D270" t="inlineStr">
        <is>
          <t>NORRBOTTENS LÄN</t>
        </is>
      </c>
      <c r="E270" t="inlineStr">
        <is>
          <t>LULEÅ</t>
        </is>
      </c>
      <c r="G270" t="n">
        <v>2.6</v>
      </c>
      <c r="H270" t="n">
        <v>0</v>
      </c>
      <c r="I270" t="n">
        <v>0</v>
      </c>
      <c r="J270" t="n">
        <v>0</v>
      </c>
      <c r="K270" t="n">
        <v>0</v>
      </c>
      <c r="L270" t="n">
        <v>0</v>
      </c>
      <c r="M270" t="n">
        <v>0</v>
      </c>
      <c r="N270" t="n">
        <v>0</v>
      </c>
      <c r="O270" t="n">
        <v>0</v>
      </c>
      <c r="P270" t="n">
        <v>0</v>
      </c>
      <c r="Q270" t="n">
        <v>0</v>
      </c>
      <c r="R270" s="2" t="inlineStr"/>
    </row>
    <row r="271" ht="15" customHeight="1">
      <c r="A271" t="inlineStr">
        <is>
          <t>A 5038-2025</t>
        </is>
      </c>
      <c r="B271" s="1" t="n">
        <v>45691.42896990741</v>
      </c>
      <c r="C271" s="1" t="n">
        <v>45910</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5051-2025</t>
        </is>
      </c>
      <c r="B272" s="1" t="n">
        <v>45691.45101851852</v>
      </c>
      <c r="C272" s="1" t="n">
        <v>45910</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47246-2022</t>
        </is>
      </c>
      <c r="B273" s="1" t="n">
        <v>44852</v>
      </c>
      <c r="C273" s="1" t="n">
        <v>45910</v>
      </c>
      <c r="D273" t="inlineStr">
        <is>
          <t>NORRBOTTENS LÄN</t>
        </is>
      </c>
      <c r="E273" t="inlineStr">
        <is>
          <t>LULEÅ</t>
        </is>
      </c>
      <c r="G273" t="n">
        <v>2.9</v>
      </c>
      <c r="H273" t="n">
        <v>0</v>
      </c>
      <c r="I273" t="n">
        <v>0</v>
      </c>
      <c r="J273" t="n">
        <v>0</v>
      </c>
      <c r="K273" t="n">
        <v>0</v>
      </c>
      <c r="L273" t="n">
        <v>0</v>
      </c>
      <c r="M273" t="n">
        <v>0</v>
      </c>
      <c r="N273" t="n">
        <v>0</v>
      </c>
      <c r="O273" t="n">
        <v>0</v>
      </c>
      <c r="P273" t="n">
        <v>0</v>
      </c>
      <c r="Q273" t="n">
        <v>0</v>
      </c>
      <c r="R273" s="2" t="inlineStr"/>
    </row>
    <row r="274" ht="15" customHeight="1">
      <c r="A274" t="inlineStr">
        <is>
          <t>A 5137-2024</t>
        </is>
      </c>
      <c r="B274" s="1" t="n">
        <v>45330.46430555556</v>
      </c>
      <c r="C274" s="1" t="n">
        <v>45910</v>
      </c>
      <c r="D274" t="inlineStr">
        <is>
          <t>NORRBOTTENS LÄN</t>
        </is>
      </c>
      <c r="E274" t="inlineStr">
        <is>
          <t>LULEÅ</t>
        </is>
      </c>
      <c r="G274" t="n">
        <v>2.3</v>
      </c>
      <c r="H274" t="n">
        <v>0</v>
      </c>
      <c r="I274" t="n">
        <v>0</v>
      </c>
      <c r="J274" t="n">
        <v>0</v>
      </c>
      <c r="K274" t="n">
        <v>0</v>
      </c>
      <c r="L274" t="n">
        <v>0</v>
      </c>
      <c r="M274" t="n">
        <v>0</v>
      </c>
      <c r="N274" t="n">
        <v>0</v>
      </c>
      <c r="O274" t="n">
        <v>0</v>
      </c>
      <c r="P274" t="n">
        <v>0</v>
      </c>
      <c r="Q274" t="n">
        <v>0</v>
      </c>
      <c r="R274" s="2" t="inlineStr"/>
    </row>
    <row r="275" ht="15" customHeight="1">
      <c r="A275" t="inlineStr">
        <is>
          <t>A 59609-2024</t>
        </is>
      </c>
      <c r="B275" s="1" t="n">
        <v>45638.75081018519</v>
      </c>
      <c r="C275" s="1" t="n">
        <v>45910</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30785-2024</t>
        </is>
      </c>
      <c r="B276" s="1" t="n">
        <v>45496</v>
      </c>
      <c r="C276" s="1" t="n">
        <v>45910</v>
      </c>
      <c r="D276" t="inlineStr">
        <is>
          <t>NORRBOTTENS LÄN</t>
        </is>
      </c>
      <c r="E276" t="inlineStr">
        <is>
          <t>LULEÅ</t>
        </is>
      </c>
      <c r="F276" t="inlineStr">
        <is>
          <t>Naturvårdsverket</t>
        </is>
      </c>
      <c r="G276" t="n">
        <v>11.7</v>
      </c>
      <c r="H276" t="n">
        <v>0</v>
      </c>
      <c r="I276" t="n">
        <v>0</v>
      </c>
      <c r="J276" t="n">
        <v>0</v>
      </c>
      <c r="K276" t="n">
        <v>0</v>
      </c>
      <c r="L276" t="n">
        <v>0</v>
      </c>
      <c r="M276" t="n">
        <v>0</v>
      </c>
      <c r="N276" t="n">
        <v>0</v>
      </c>
      <c r="O276" t="n">
        <v>0</v>
      </c>
      <c r="P276" t="n">
        <v>0</v>
      </c>
      <c r="Q276" t="n">
        <v>0</v>
      </c>
      <c r="R276" s="2" t="inlineStr"/>
    </row>
    <row r="277" ht="15" customHeight="1">
      <c r="A277" t="inlineStr">
        <is>
          <t>A 4941-2025</t>
        </is>
      </c>
      <c r="B277" s="1" t="n">
        <v>45688.6995949074</v>
      </c>
      <c r="C277" s="1" t="n">
        <v>45910</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53754-2023</t>
        </is>
      </c>
      <c r="B278" s="1" t="n">
        <v>45230</v>
      </c>
      <c r="C278" s="1" t="n">
        <v>45910</v>
      </c>
      <c r="D278" t="inlineStr">
        <is>
          <t>NORRBOTTENS LÄN</t>
        </is>
      </c>
      <c r="E278" t="inlineStr">
        <is>
          <t>LULEÅ</t>
        </is>
      </c>
      <c r="G278" t="n">
        <v>2.5</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45910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46587-2023</t>
        </is>
      </c>
      <c r="B280" s="1" t="n">
        <v>45194</v>
      </c>
      <c r="C280" s="1" t="n">
        <v>45910</v>
      </c>
      <c r="D280" t="inlineStr">
        <is>
          <t>NORRBOTTENS LÄN</t>
        </is>
      </c>
      <c r="E280" t="inlineStr">
        <is>
          <t>LULEÅ</t>
        </is>
      </c>
      <c r="G280" t="n">
        <v>15.3</v>
      </c>
      <c r="H280" t="n">
        <v>0</v>
      </c>
      <c r="I280" t="n">
        <v>0</v>
      </c>
      <c r="J280" t="n">
        <v>0</v>
      </c>
      <c r="K280" t="n">
        <v>0</v>
      </c>
      <c r="L280" t="n">
        <v>0</v>
      </c>
      <c r="M280" t="n">
        <v>0</v>
      </c>
      <c r="N280" t="n">
        <v>0</v>
      </c>
      <c r="O280" t="n">
        <v>0</v>
      </c>
      <c r="P280" t="n">
        <v>0</v>
      </c>
      <c r="Q280" t="n">
        <v>0</v>
      </c>
      <c r="R280" s="2" t="inlineStr"/>
    </row>
    <row r="281" ht="15" customHeight="1">
      <c r="A281" t="inlineStr">
        <is>
          <t>A 4547-2025</t>
        </is>
      </c>
      <c r="B281" s="1" t="n">
        <v>45687.40212962963</v>
      </c>
      <c r="C281" s="1" t="n">
        <v>45910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8022-2024</t>
        </is>
      </c>
      <c r="B282" s="1" t="n">
        <v>45350</v>
      </c>
      <c r="C282" s="1" t="n">
        <v>45910</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12539-2024</t>
        </is>
      </c>
      <c r="B283" s="1" t="n">
        <v>45379</v>
      </c>
      <c r="C283" s="1" t="n">
        <v>45910</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30727-2023</t>
        </is>
      </c>
      <c r="B284" s="1" t="n">
        <v>45112</v>
      </c>
      <c r="C284" s="1" t="n">
        <v>45910</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11901-2025</t>
        </is>
      </c>
      <c r="B285" s="1" t="n">
        <v>45727</v>
      </c>
      <c r="C285" s="1" t="n">
        <v>45910</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19594-2025</t>
        </is>
      </c>
      <c r="B286" s="1" t="n">
        <v>45770.57881944445</v>
      </c>
      <c r="C286" s="1" t="n">
        <v>45910</v>
      </c>
      <c r="D286" t="inlineStr">
        <is>
          <t>NORRBOTTENS LÄN</t>
        </is>
      </c>
      <c r="E286" t="inlineStr">
        <is>
          <t>LULEÅ</t>
        </is>
      </c>
      <c r="G286" t="n">
        <v>2.8</v>
      </c>
      <c r="H286" t="n">
        <v>0</v>
      </c>
      <c r="I286" t="n">
        <v>0</v>
      </c>
      <c r="J286" t="n">
        <v>0</v>
      </c>
      <c r="K286" t="n">
        <v>0</v>
      </c>
      <c r="L286" t="n">
        <v>0</v>
      </c>
      <c r="M286" t="n">
        <v>0</v>
      </c>
      <c r="N286" t="n">
        <v>0</v>
      </c>
      <c r="O286" t="n">
        <v>0</v>
      </c>
      <c r="P286" t="n">
        <v>0</v>
      </c>
      <c r="Q286" t="n">
        <v>0</v>
      </c>
      <c r="R286" s="2" t="inlineStr"/>
    </row>
    <row r="287" ht="15" customHeight="1">
      <c r="A287" t="inlineStr">
        <is>
          <t>A 7393-2023</t>
        </is>
      </c>
      <c r="B287" s="1" t="n">
        <v>44966</v>
      </c>
      <c r="C287" s="1" t="n">
        <v>45910</v>
      </c>
      <c r="D287" t="inlineStr">
        <is>
          <t>NORRBOTTENS LÄN</t>
        </is>
      </c>
      <c r="E287" t="inlineStr">
        <is>
          <t>LULEÅ</t>
        </is>
      </c>
      <c r="G287" t="n">
        <v>1</v>
      </c>
      <c r="H287" t="n">
        <v>0</v>
      </c>
      <c r="I287" t="n">
        <v>0</v>
      </c>
      <c r="J287" t="n">
        <v>0</v>
      </c>
      <c r="K287" t="n">
        <v>0</v>
      </c>
      <c r="L287" t="n">
        <v>0</v>
      </c>
      <c r="M287" t="n">
        <v>0</v>
      </c>
      <c r="N287" t="n">
        <v>0</v>
      </c>
      <c r="O287" t="n">
        <v>0</v>
      </c>
      <c r="P287" t="n">
        <v>0</v>
      </c>
      <c r="Q287" t="n">
        <v>0</v>
      </c>
      <c r="R287" s="2" t="inlineStr"/>
    </row>
    <row r="288" ht="15" customHeight="1">
      <c r="A288" t="inlineStr">
        <is>
          <t>A 59400-2024</t>
        </is>
      </c>
      <c r="B288" s="1" t="n">
        <v>45638</v>
      </c>
      <c r="C288" s="1" t="n">
        <v>45910</v>
      </c>
      <c r="D288" t="inlineStr">
        <is>
          <t>NORRBOTTENS LÄN</t>
        </is>
      </c>
      <c r="E288" t="inlineStr">
        <is>
          <t>LULEÅ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13068-2024</t>
        </is>
      </c>
      <c r="B289" s="1" t="n">
        <v>45385</v>
      </c>
      <c r="C289" s="1" t="n">
        <v>45910</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22017-2024</t>
        </is>
      </c>
      <c r="B290" s="1" t="n">
        <v>45443</v>
      </c>
      <c r="C290" s="1" t="n">
        <v>45910</v>
      </c>
      <c r="D290" t="inlineStr">
        <is>
          <t>NORRBOTTENS LÄN</t>
        </is>
      </c>
      <c r="E290" t="inlineStr">
        <is>
          <t>LULEÅ</t>
        </is>
      </c>
      <c r="G290" t="n">
        <v>0.2</v>
      </c>
      <c r="H290" t="n">
        <v>0</v>
      </c>
      <c r="I290" t="n">
        <v>0</v>
      </c>
      <c r="J290" t="n">
        <v>0</v>
      </c>
      <c r="K290" t="n">
        <v>0</v>
      </c>
      <c r="L290" t="n">
        <v>0</v>
      </c>
      <c r="M290" t="n">
        <v>0</v>
      </c>
      <c r="N290" t="n">
        <v>0</v>
      </c>
      <c r="O290" t="n">
        <v>0</v>
      </c>
      <c r="P290" t="n">
        <v>0</v>
      </c>
      <c r="Q290" t="n">
        <v>0</v>
      </c>
      <c r="R290" s="2" t="inlineStr"/>
    </row>
    <row r="291" ht="15" customHeight="1">
      <c r="A291" t="inlineStr">
        <is>
          <t>A 47918-2024</t>
        </is>
      </c>
      <c r="B291" s="1" t="n">
        <v>45589.34434027778</v>
      </c>
      <c r="C291" s="1" t="n">
        <v>45910</v>
      </c>
      <c r="D291" t="inlineStr">
        <is>
          <t>NORRBOTTENS LÄN</t>
        </is>
      </c>
      <c r="E291" t="inlineStr">
        <is>
          <t>LULEÅ</t>
        </is>
      </c>
      <c r="F291" t="inlineStr">
        <is>
          <t>Naturvårdsverket</t>
        </is>
      </c>
      <c r="G291" t="n">
        <v>6.2</v>
      </c>
      <c r="H291" t="n">
        <v>0</v>
      </c>
      <c r="I291" t="n">
        <v>0</v>
      </c>
      <c r="J291" t="n">
        <v>0</v>
      </c>
      <c r="K291" t="n">
        <v>0</v>
      </c>
      <c r="L291" t="n">
        <v>0</v>
      </c>
      <c r="M291" t="n">
        <v>0</v>
      </c>
      <c r="N291" t="n">
        <v>0</v>
      </c>
      <c r="O291" t="n">
        <v>0</v>
      </c>
      <c r="P291" t="n">
        <v>0</v>
      </c>
      <c r="Q291" t="n">
        <v>0</v>
      </c>
      <c r="R291" s="2" t="inlineStr"/>
    </row>
    <row r="292" ht="15" customHeight="1">
      <c r="A292" t="inlineStr">
        <is>
          <t>A 25676-2024</t>
        </is>
      </c>
      <c r="B292" s="1" t="n">
        <v>45463</v>
      </c>
      <c r="C292" s="1" t="n">
        <v>45910</v>
      </c>
      <c r="D292" t="inlineStr">
        <is>
          <t>NORRBOTTENS LÄN</t>
        </is>
      </c>
      <c r="E292" t="inlineStr">
        <is>
          <t>LULEÅ</t>
        </is>
      </c>
      <c r="G292" t="n">
        <v>0.5</v>
      </c>
      <c r="H292" t="n">
        <v>0</v>
      </c>
      <c r="I292" t="n">
        <v>0</v>
      </c>
      <c r="J292" t="n">
        <v>0</v>
      </c>
      <c r="K292" t="n">
        <v>0</v>
      </c>
      <c r="L292" t="n">
        <v>0</v>
      </c>
      <c r="M292" t="n">
        <v>0</v>
      </c>
      <c r="N292" t="n">
        <v>0</v>
      </c>
      <c r="O292" t="n">
        <v>0</v>
      </c>
      <c r="P292" t="n">
        <v>0</v>
      </c>
      <c r="Q292" t="n">
        <v>0</v>
      </c>
      <c r="R292" s="2" t="inlineStr"/>
    </row>
    <row r="293" ht="15" customHeight="1">
      <c r="A293" t="inlineStr">
        <is>
          <t>A 26594-2024</t>
        </is>
      </c>
      <c r="B293" s="1" t="n">
        <v>45469.68552083334</v>
      </c>
      <c r="C293" s="1" t="n">
        <v>45910</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58547-2024</t>
        </is>
      </c>
      <c r="B294" s="1" t="n">
        <v>45635.45822916667</v>
      </c>
      <c r="C294" s="1" t="n">
        <v>45910</v>
      </c>
      <c r="D294" t="inlineStr">
        <is>
          <t>NORRBOTTENS LÄN</t>
        </is>
      </c>
      <c r="E294" t="inlineStr">
        <is>
          <t>LULEÅ</t>
        </is>
      </c>
      <c r="G294" t="n">
        <v>8</v>
      </c>
      <c r="H294" t="n">
        <v>0</v>
      </c>
      <c r="I294" t="n">
        <v>0</v>
      </c>
      <c r="J294" t="n">
        <v>0</v>
      </c>
      <c r="K294" t="n">
        <v>0</v>
      </c>
      <c r="L294" t="n">
        <v>0</v>
      </c>
      <c r="M294" t="n">
        <v>0</v>
      </c>
      <c r="N294" t="n">
        <v>0</v>
      </c>
      <c r="O294" t="n">
        <v>0</v>
      </c>
      <c r="P294" t="n">
        <v>0</v>
      </c>
      <c r="Q294" t="n">
        <v>0</v>
      </c>
      <c r="R294" s="2" t="inlineStr"/>
    </row>
    <row r="295" ht="15" customHeight="1">
      <c r="A295" t="inlineStr">
        <is>
          <t>A 35249-2021</t>
        </is>
      </c>
      <c r="B295" s="1" t="n">
        <v>44384</v>
      </c>
      <c r="C295" s="1" t="n">
        <v>45910</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35962-2021</t>
        </is>
      </c>
      <c r="B296" s="1" t="n">
        <v>44385</v>
      </c>
      <c r="C296" s="1" t="n">
        <v>45910</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42024-2024</t>
        </is>
      </c>
      <c r="B297" s="1" t="n">
        <v>45561.72005787037</v>
      </c>
      <c r="C297" s="1" t="n">
        <v>45910</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18166-2023</t>
        </is>
      </c>
      <c r="B298" s="1" t="n">
        <v>45040.94335648148</v>
      </c>
      <c r="C298" s="1" t="n">
        <v>45910</v>
      </c>
      <c r="D298" t="inlineStr">
        <is>
          <t>NORRBOTTENS LÄN</t>
        </is>
      </c>
      <c r="E298" t="inlineStr">
        <is>
          <t>LULEÅ</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27107-2025</t>
        </is>
      </c>
      <c r="B299" s="1" t="n">
        <v>45811</v>
      </c>
      <c r="C299" s="1" t="n">
        <v>45910</v>
      </c>
      <c r="D299" t="inlineStr">
        <is>
          <t>NORRBOTTENS LÄN</t>
        </is>
      </c>
      <c r="E299" t="inlineStr">
        <is>
          <t>LULEÅ</t>
        </is>
      </c>
      <c r="G299" t="n">
        <v>1.3</v>
      </c>
      <c r="H299" t="n">
        <v>0</v>
      </c>
      <c r="I299" t="n">
        <v>0</v>
      </c>
      <c r="J299" t="n">
        <v>0</v>
      </c>
      <c r="K299" t="n">
        <v>0</v>
      </c>
      <c r="L299" t="n">
        <v>0</v>
      </c>
      <c r="M299" t="n">
        <v>0</v>
      </c>
      <c r="N299" t="n">
        <v>0</v>
      </c>
      <c r="O299" t="n">
        <v>0</v>
      </c>
      <c r="P299" t="n">
        <v>0</v>
      </c>
      <c r="Q299" t="n">
        <v>0</v>
      </c>
      <c r="R299" s="2" t="inlineStr"/>
    </row>
    <row r="300" ht="15" customHeight="1">
      <c r="A300" t="inlineStr">
        <is>
          <t>A 17897-2025</t>
        </is>
      </c>
      <c r="B300" s="1" t="n">
        <v>45758.69814814815</v>
      </c>
      <c r="C300" s="1" t="n">
        <v>45910</v>
      </c>
      <c r="D300" t="inlineStr">
        <is>
          <t>NORRBOTTENS LÄN</t>
        </is>
      </c>
      <c r="E300" t="inlineStr">
        <is>
          <t>LULEÅ</t>
        </is>
      </c>
      <c r="G300" t="n">
        <v>9.9</v>
      </c>
      <c r="H300" t="n">
        <v>0</v>
      </c>
      <c r="I300" t="n">
        <v>0</v>
      </c>
      <c r="J300" t="n">
        <v>0</v>
      </c>
      <c r="K300" t="n">
        <v>0</v>
      </c>
      <c r="L300" t="n">
        <v>0</v>
      </c>
      <c r="M300" t="n">
        <v>0</v>
      </c>
      <c r="N300" t="n">
        <v>0</v>
      </c>
      <c r="O300" t="n">
        <v>0</v>
      </c>
      <c r="P300" t="n">
        <v>0</v>
      </c>
      <c r="Q300" t="n">
        <v>0</v>
      </c>
      <c r="R300" s="2" t="inlineStr"/>
    </row>
    <row r="301" ht="15" customHeight="1">
      <c r="A301" t="inlineStr">
        <is>
          <t>A 656-2025</t>
        </is>
      </c>
      <c r="B301" s="1" t="n">
        <v>45661</v>
      </c>
      <c r="C301" s="1" t="n">
        <v>45910</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1058-2025</t>
        </is>
      </c>
      <c r="B302" s="1" t="n">
        <v>45665</v>
      </c>
      <c r="C302" s="1" t="n">
        <v>45910</v>
      </c>
      <c r="D302" t="inlineStr">
        <is>
          <t>NORRBOTTENS LÄN</t>
        </is>
      </c>
      <c r="E302" t="inlineStr">
        <is>
          <t>LULEÅ</t>
        </is>
      </c>
      <c r="G302" t="n">
        <v>2.1</v>
      </c>
      <c r="H302" t="n">
        <v>0</v>
      </c>
      <c r="I302" t="n">
        <v>0</v>
      </c>
      <c r="J302" t="n">
        <v>0</v>
      </c>
      <c r="K302" t="n">
        <v>0</v>
      </c>
      <c r="L302" t="n">
        <v>0</v>
      </c>
      <c r="M302" t="n">
        <v>0</v>
      </c>
      <c r="N302" t="n">
        <v>0</v>
      </c>
      <c r="O302" t="n">
        <v>0</v>
      </c>
      <c r="P302" t="n">
        <v>0</v>
      </c>
      <c r="Q302" t="n">
        <v>0</v>
      </c>
      <c r="R302" s="2" t="inlineStr"/>
    </row>
    <row r="303" ht="15" customHeight="1">
      <c r="A303" t="inlineStr">
        <is>
          <t>A 25578-2024</t>
        </is>
      </c>
      <c r="B303" s="1" t="n">
        <v>45463</v>
      </c>
      <c r="C303" s="1" t="n">
        <v>45910</v>
      </c>
      <c r="D303" t="inlineStr">
        <is>
          <t>NORRBOTTENS LÄN</t>
        </is>
      </c>
      <c r="E303" t="inlineStr">
        <is>
          <t>LULEÅ</t>
        </is>
      </c>
      <c r="G303" t="n">
        <v>7.9</v>
      </c>
      <c r="H303" t="n">
        <v>0</v>
      </c>
      <c r="I303" t="n">
        <v>0</v>
      </c>
      <c r="J303" t="n">
        <v>0</v>
      </c>
      <c r="K303" t="n">
        <v>0</v>
      </c>
      <c r="L303" t="n">
        <v>0</v>
      </c>
      <c r="M303" t="n">
        <v>0</v>
      </c>
      <c r="N303" t="n">
        <v>0</v>
      </c>
      <c r="O303" t="n">
        <v>0</v>
      </c>
      <c r="P303" t="n">
        <v>0</v>
      </c>
      <c r="Q303" t="n">
        <v>0</v>
      </c>
      <c r="R303" s="2" t="inlineStr"/>
    </row>
    <row r="304" ht="15" customHeight="1">
      <c r="A304" t="inlineStr">
        <is>
          <t>A 5132-2025</t>
        </is>
      </c>
      <c r="B304" s="1" t="n">
        <v>45691.57336805556</v>
      </c>
      <c r="C304" s="1" t="n">
        <v>45910</v>
      </c>
      <c r="D304" t="inlineStr">
        <is>
          <t>NORRBOTTENS LÄN</t>
        </is>
      </c>
      <c r="E304" t="inlineStr">
        <is>
          <t>LULEÅ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42133-2021</t>
        </is>
      </c>
      <c r="B305" s="1" t="n">
        <v>44426</v>
      </c>
      <c r="C305" s="1" t="n">
        <v>45910</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7306-2024</t>
        </is>
      </c>
      <c r="B306" s="1" t="n">
        <v>45344</v>
      </c>
      <c r="C306" s="1" t="n">
        <v>45910</v>
      </c>
      <c r="D306" t="inlineStr">
        <is>
          <t>NORRBOTTENS LÄN</t>
        </is>
      </c>
      <c r="E306" t="inlineStr">
        <is>
          <t>LULEÅ</t>
        </is>
      </c>
      <c r="G306" t="n">
        <v>29.2</v>
      </c>
      <c r="H306" t="n">
        <v>0</v>
      </c>
      <c r="I306" t="n">
        <v>0</v>
      </c>
      <c r="J306" t="n">
        <v>0</v>
      </c>
      <c r="K306" t="n">
        <v>0</v>
      </c>
      <c r="L306" t="n">
        <v>0</v>
      </c>
      <c r="M306" t="n">
        <v>0</v>
      </c>
      <c r="N306" t="n">
        <v>0</v>
      </c>
      <c r="O306" t="n">
        <v>0</v>
      </c>
      <c r="P306" t="n">
        <v>0</v>
      </c>
      <c r="Q306" t="n">
        <v>0</v>
      </c>
      <c r="R306" s="2" t="inlineStr"/>
    </row>
    <row r="307" ht="15" customHeight="1">
      <c r="A307" t="inlineStr">
        <is>
          <t>A 27463-2025</t>
        </is>
      </c>
      <c r="B307" s="1" t="n">
        <v>45813.34618055556</v>
      </c>
      <c r="C307" s="1" t="n">
        <v>45910</v>
      </c>
      <c r="D307" t="inlineStr">
        <is>
          <t>NORRBOTTENS LÄN</t>
        </is>
      </c>
      <c r="E307" t="inlineStr">
        <is>
          <t>LULEÅ</t>
        </is>
      </c>
      <c r="F307" t="inlineStr">
        <is>
          <t>Naturvårdsverket</t>
        </is>
      </c>
      <c r="G307" t="n">
        <v>8.6</v>
      </c>
      <c r="H307" t="n">
        <v>0</v>
      </c>
      <c r="I307" t="n">
        <v>0</v>
      </c>
      <c r="J307" t="n">
        <v>0</v>
      </c>
      <c r="K307" t="n">
        <v>0</v>
      </c>
      <c r="L307" t="n">
        <v>0</v>
      </c>
      <c r="M307" t="n">
        <v>0</v>
      </c>
      <c r="N307" t="n">
        <v>0</v>
      </c>
      <c r="O307" t="n">
        <v>0</v>
      </c>
      <c r="P307" t="n">
        <v>0</v>
      </c>
      <c r="Q307" t="n">
        <v>0</v>
      </c>
      <c r="R307" s="2" t="inlineStr"/>
    </row>
    <row r="308" ht="15" customHeight="1">
      <c r="A308" t="inlineStr">
        <is>
          <t>A 10183-2025</t>
        </is>
      </c>
      <c r="B308" s="1" t="n">
        <v>45719</v>
      </c>
      <c r="C308" s="1" t="n">
        <v>45910</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27526-2025</t>
        </is>
      </c>
      <c r="B309" s="1" t="n">
        <v>45813</v>
      </c>
      <c r="C309" s="1" t="n">
        <v>45910</v>
      </c>
      <c r="D309" t="inlineStr">
        <is>
          <t>NORRBOTTENS LÄN</t>
        </is>
      </c>
      <c r="E309" t="inlineStr">
        <is>
          <t>LULEÅ</t>
        </is>
      </c>
      <c r="G309" t="n">
        <v>5.7</v>
      </c>
      <c r="H309" t="n">
        <v>0</v>
      </c>
      <c r="I309" t="n">
        <v>0</v>
      </c>
      <c r="J309" t="n">
        <v>0</v>
      </c>
      <c r="K309" t="n">
        <v>0</v>
      </c>
      <c r="L309" t="n">
        <v>0</v>
      </c>
      <c r="M309" t="n">
        <v>0</v>
      </c>
      <c r="N309" t="n">
        <v>0</v>
      </c>
      <c r="O309" t="n">
        <v>0</v>
      </c>
      <c r="P309" t="n">
        <v>0</v>
      </c>
      <c r="Q309" t="n">
        <v>0</v>
      </c>
      <c r="R309" s="2" t="inlineStr"/>
    </row>
    <row r="310" ht="15" customHeight="1">
      <c r="A310" t="inlineStr">
        <is>
          <t>A 61866-2023</t>
        </is>
      </c>
      <c r="B310" s="1" t="n">
        <v>45264</v>
      </c>
      <c r="C310" s="1" t="n">
        <v>45910</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822-2025</t>
        </is>
      </c>
      <c r="B311" s="1" t="n">
        <v>45664</v>
      </c>
      <c r="C311" s="1" t="n">
        <v>45910</v>
      </c>
      <c r="D311" t="inlineStr">
        <is>
          <t>NORRBOTTENS LÄN</t>
        </is>
      </c>
      <c r="E311" t="inlineStr">
        <is>
          <t>LULEÅ</t>
        </is>
      </c>
      <c r="G311" t="n">
        <v>0.9</v>
      </c>
      <c r="H311" t="n">
        <v>0</v>
      </c>
      <c r="I311" t="n">
        <v>0</v>
      </c>
      <c r="J311" t="n">
        <v>0</v>
      </c>
      <c r="K311" t="n">
        <v>0</v>
      </c>
      <c r="L311" t="n">
        <v>0</v>
      </c>
      <c r="M311" t="n">
        <v>0</v>
      </c>
      <c r="N311" t="n">
        <v>0</v>
      </c>
      <c r="O311" t="n">
        <v>0</v>
      </c>
      <c r="P311" t="n">
        <v>0</v>
      </c>
      <c r="Q311" t="n">
        <v>0</v>
      </c>
      <c r="R311" s="2" t="inlineStr"/>
    </row>
    <row r="312" ht="15" customHeight="1">
      <c r="A312" t="inlineStr">
        <is>
          <t>A 3693-2025</t>
        </is>
      </c>
      <c r="B312" s="1" t="n">
        <v>45681.46563657407</v>
      </c>
      <c r="C312" s="1" t="n">
        <v>45910</v>
      </c>
      <c r="D312" t="inlineStr">
        <is>
          <t>NORRBOTTENS LÄN</t>
        </is>
      </c>
      <c r="E312" t="inlineStr">
        <is>
          <t>LULEÅ</t>
        </is>
      </c>
      <c r="G312" t="n">
        <v>2.6</v>
      </c>
      <c r="H312" t="n">
        <v>0</v>
      </c>
      <c r="I312" t="n">
        <v>0</v>
      </c>
      <c r="J312" t="n">
        <v>0</v>
      </c>
      <c r="K312" t="n">
        <v>0</v>
      </c>
      <c r="L312" t="n">
        <v>0</v>
      </c>
      <c r="M312" t="n">
        <v>0</v>
      </c>
      <c r="N312" t="n">
        <v>0</v>
      </c>
      <c r="O312" t="n">
        <v>0</v>
      </c>
      <c r="P312" t="n">
        <v>0</v>
      </c>
      <c r="Q312" t="n">
        <v>0</v>
      </c>
      <c r="R312" s="2" t="inlineStr"/>
    </row>
    <row r="313" ht="15" customHeight="1">
      <c r="A313" t="inlineStr">
        <is>
          <t>A 42753-2022</t>
        </is>
      </c>
      <c r="B313" s="1" t="n">
        <v>44832</v>
      </c>
      <c r="C313" s="1" t="n">
        <v>45910</v>
      </c>
      <c r="D313" t="inlineStr">
        <is>
          <t>NORRBOTTENS LÄN</t>
        </is>
      </c>
      <c r="E313" t="inlineStr">
        <is>
          <t>LULEÅ</t>
        </is>
      </c>
      <c r="G313" t="n">
        <v>10.8</v>
      </c>
      <c r="H313" t="n">
        <v>0</v>
      </c>
      <c r="I313" t="n">
        <v>0</v>
      </c>
      <c r="J313" t="n">
        <v>0</v>
      </c>
      <c r="K313" t="n">
        <v>0</v>
      </c>
      <c r="L313" t="n">
        <v>0</v>
      </c>
      <c r="M313" t="n">
        <v>0</v>
      </c>
      <c r="N313" t="n">
        <v>0</v>
      </c>
      <c r="O313" t="n">
        <v>0</v>
      </c>
      <c r="P313" t="n">
        <v>0</v>
      </c>
      <c r="Q313" t="n">
        <v>0</v>
      </c>
      <c r="R313" s="2" t="inlineStr"/>
    </row>
    <row r="314" ht="15" customHeight="1">
      <c r="A314" t="inlineStr">
        <is>
          <t>A 23819-2023</t>
        </is>
      </c>
      <c r="B314" s="1" t="n">
        <v>45075</v>
      </c>
      <c r="C314" s="1" t="n">
        <v>45910</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28344-2025</t>
        </is>
      </c>
      <c r="B315" s="1" t="n">
        <v>45817</v>
      </c>
      <c r="C315" s="1" t="n">
        <v>45910</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51107-2024</t>
        </is>
      </c>
      <c r="B316" s="1" t="n">
        <v>45603.49141203704</v>
      </c>
      <c r="C316" s="1" t="n">
        <v>45910</v>
      </c>
      <c r="D316" t="inlineStr">
        <is>
          <t>NORRBOTTENS LÄN</t>
        </is>
      </c>
      <c r="E316" t="inlineStr">
        <is>
          <t>LULEÅ</t>
        </is>
      </c>
      <c r="G316" t="n">
        <v>10.2</v>
      </c>
      <c r="H316" t="n">
        <v>0</v>
      </c>
      <c r="I316" t="n">
        <v>0</v>
      </c>
      <c r="J316" t="n">
        <v>0</v>
      </c>
      <c r="K316" t="n">
        <v>0</v>
      </c>
      <c r="L316" t="n">
        <v>0</v>
      </c>
      <c r="M316" t="n">
        <v>0</v>
      </c>
      <c r="N316" t="n">
        <v>0</v>
      </c>
      <c r="O316" t="n">
        <v>0</v>
      </c>
      <c r="P316" t="n">
        <v>0</v>
      </c>
      <c r="Q316" t="n">
        <v>0</v>
      </c>
      <c r="R316" s="2" t="inlineStr"/>
    </row>
    <row r="317" ht="15" customHeight="1">
      <c r="A317" t="inlineStr">
        <is>
          <t>A 51108-2024</t>
        </is>
      </c>
      <c r="B317" s="1" t="n">
        <v>45603.49142361111</v>
      </c>
      <c r="C317" s="1" t="n">
        <v>45910</v>
      </c>
      <c r="D317" t="inlineStr">
        <is>
          <t>NORRBOTTENS LÄN</t>
        </is>
      </c>
      <c r="E317" t="inlineStr">
        <is>
          <t>LULEÅ</t>
        </is>
      </c>
      <c r="G317" t="n">
        <v>3.8</v>
      </c>
      <c r="H317" t="n">
        <v>0</v>
      </c>
      <c r="I317" t="n">
        <v>0</v>
      </c>
      <c r="J317" t="n">
        <v>0</v>
      </c>
      <c r="K317" t="n">
        <v>0</v>
      </c>
      <c r="L317" t="n">
        <v>0</v>
      </c>
      <c r="M317" t="n">
        <v>0</v>
      </c>
      <c r="N317" t="n">
        <v>0</v>
      </c>
      <c r="O317" t="n">
        <v>0</v>
      </c>
      <c r="P317" t="n">
        <v>0</v>
      </c>
      <c r="Q317" t="n">
        <v>0</v>
      </c>
      <c r="R317" s="2" t="inlineStr"/>
    </row>
    <row r="318" ht="15" customHeight="1">
      <c r="A318" t="inlineStr">
        <is>
          <t>A 14447-2023</t>
        </is>
      </c>
      <c r="B318" s="1" t="n">
        <v>45012</v>
      </c>
      <c r="C318" s="1" t="n">
        <v>45910</v>
      </c>
      <c r="D318" t="inlineStr">
        <is>
          <t>NORRBOTTENS LÄN</t>
        </is>
      </c>
      <c r="E318" t="inlineStr">
        <is>
          <t>LULEÅ</t>
        </is>
      </c>
      <c r="G318" t="n">
        <v>0.6</v>
      </c>
      <c r="H318" t="n">
        <v>0</v>
      </c>
      <c r="I318" t="n">
        <v>0</v>
      </c>
      <c r="J318" t="n">
        <v>0</v>
      </c>
      <c r="K318" t="n">
        <v>0</v>
      </c>
      <c r="L318" t="n">
        <v>0</v>
      </c>
      <c r="M318" t="n">
        <v>0</v>
      </c>
      <c r="N318" t="n">
        <v>0</v>
      </c>
      <c r="O318" t="n">
        <v>0</v>
      </c>
      <c r="P318" t="n">
        <v>0</v>
      </c>
      <c r="Q318" t="n">
        <v>0</v>
      </c>
      <c r="R318" s="2" t="inlineStr"/>
    </row>
    <row r="319" ht="15" customHeight="1">
      <c r="A319" t="inlineStr">
        <is>
          <t>A 29550-2024</t>
        </is>
      </c>
      <c r="B319" s="1" t="n">
        <v>45484</v>
      </c>
      <c r="C319" s="1" t="n">
        <v>45910</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62732-2021</t>
        </is>
      </c>
      <c r="B320" s="1" t="n">
        <v>44503</v>
      </c>
      <c r="C320" s="1" t="n">
        <v>45910</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49208-2024</t>
        </is>
      </c>
      <c r="B321" s="1" t="n">
        <v>45595.37256944444</v>
      </c>
      <c r="C321" s="1" t="n">
        <v>45910</v>
      </c>
      <c r="D321" t="inlineStr">
        <is>
          <t>NORRBOTTENS LÄN</t>
        </is>
      </c>
      <c r="E321" t="inlineStr">
        <is>
          <t>LULEÅ</t>
        </is>
      </c>
      <c r="G321" t="n">
        <v>5.2</v>
      </c>
      <c r="H321" t="n">
        <v>0</v>
      </c>
      <c r="I321" t="n">
        <v>0</v>
      </c>
      <c r="J321" t="n">
        <v>0</v>
      </c>
      <c r="K321" t="n">
        <v>0</v>
      </c>
      <c r="L321" t="n">
        <v>0</v>
      </c>
      <c r="M321" t="n">
        <v>0</v>
      </c>
      <c r="N321" t="n">
        <v>0</v>
      </c>
      <c r="O321" t="n">
        <v>0</v>
      </c>
      <c r="P321" t="n">
        <v>0</v>
      </c>
      <c r="Q321" t="n">
        <v>0</v>
      </c>
      <c r="R321" s="2" t="inlineStr"/>
    </row>
    <row r="322" ht="15" customHeight="1">
      <c r="A322" t="inlineStr">
        <is>
          <t>A 14337-2024</t>
        </is>
      </c>
      <c r="B322" s="1" t="n">
        <v>45393</v>
      </c>
      <c r="C322" s="1" t="n">
        <v>45910</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17125-2024</t>
        </is>
      </c>
      <c r="B323" s="1" t="n">
        <v>45412</v>
      </c>
      <c r="C323" s="1" t="n">
        <v>45910</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17304-2025</t>
        </is>
      </c>
      <c r="B324" s="1" t="n">
        <v>45756</v>
      </c>
      <c r="C324" s="1" t="n">
        <v>45910</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17306-2025</t>
        </is>
      </c>
      <c r="B325" s="1" t="n">
        <v>45756.60434027778</v>
      </c>
      <c r="C325" s="1" t="n">
        <v>45910</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19526-2025</t>
        </is>
      </c>
      <c r="B326" s="1" t="n">
        <v>45770.46388888889</v>
      </c>
      <c r="C326" s="1" t="n">
        <v>45910</v>
      </c>
      <c r="D326" t="inlineStr">
        <is>
          <t>NORRBOTTENS LÄN</t>
        </is>
      </c>
      <c r="E326" t="inlineStr">
        <is>
          <t>LULEÅ</t>
        </is>
      </c>
      <c r="G326" t="n">
        <v>10.6</v>
      </c>
      <c r="H326" t="n">
        <v>0</v>
      </c>
      <c r="I326" t="n">
        <v>0</v>
      </c>
      <c r="J326" t="n">
        <v>0</v>
      </c>
      <c r="K326" t="n">
        <v>0</v>
      </c>
      <c r="L326" t="n">
        <v>0</v>
      </c>
      <c r="M326" t="n">
        <v>0</v>
      </c>
      <c r="N326" t="n">
        <v>0</v>
      </c>
      <c r="O326" t="n">
        <v>0</v>
      </c>
      <c r="P326" t="n">
        <v>0</v>
      </c>
      <c r="Q326" t="n">
        <v>0</v>
      </c>
      <c r="R326" s="2" t="inlineStr"/>
    </row>
    <row r="327" ht="15" customHeight="1">
      <c r="A327" t="inlineStr">
        <is>
          <t>A 57826-2022</t>
        </is>
      </c>
      <c r="B327" s="1" t="n">
        <v>44897</v>
      </c>
      <c r="C327" s="1" t="n">
        <v>45910</v>
      </c>
      <c r="D327" t="inlineStr">
        <is>
          <t>NORRBOTTENS LÄN</t>
        </is>
      </c>
      <c r="E327" t="inlineStr">
        <is>
          <t>LULEÅ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30784-2024</t>
        </is>
      </c>
      <c r="B328" s="1" t="n">
        <v>45496</v>
      </c>
      <c r="C328" s="1" t="n">
        <v>45910</v>
      </c>
      <c r="D328" t="inlineStr">
        <is>
          <t>NORRBOTTENS LÄN</t>
        </is>
      </c>
      <c r="E328" t="inlineStr">
        <is>
          <t>LULEÅ</t>
        </is>
      </c>
      <c r="F328" t="inlineStr">
        <is>
          <t>Naturvårdsverket</t>
        </is>
      </c>
      <c r="G328" t="n">
        <v>13.2</v>
      </c>
      <c r="H328" t="n">
        <v>0</v>
      </c>
      <c r="I328" t="n">
        <v>0</v>
      </c>
      <c r="J328" t="n">
        <v>0</v>
      </c>
      <c r="K328" t="n">
        <v>0</v>
      </c>
      <c r="L328" t="n">
        <v>0</v>
      </c>
      <c r="M328" t="n">
        <v>0</v>
      </c>
      <c r="N328" t="n">
        <v>0</v>
      </c>
      <c r="O328" t="n">
        <v>0</v>
      </c>
      <c r="P328" t="n">
        <v>0</v>
      </c>
      <c r="Q328" t="n">
        <v>0</v>
      </c>
      <c r="R328" s="2" t="inlineStr"/>
    </row>
    <row r="329" ht="15" customHeight="1">
      <c r="A329" t="inlineStr">
        <is>
          <t>A 30788-2024</t>
        </is>
      </c>
      <c r="B329" s="1" t="n">
        <v>45496</v>
      </c>
      <c r="C329" s="1" t="n">
        <v>45910</v>
      </c>
      <c r="D329" t="inlineStr">
        <is>
          <t>NORRBOTTENS LÄN</t>
        </is>
      </c>
      <c r="E329" t="inlineStr">
        <is>
          <t>LULEÅ</t>
        </is>
      </c>
      <c r="F329" t="inlineStr">
        <is>
          <t>Naturvårdsverket</t>
        </is>
      </c>
      <c r="G329" t="n">
        <v>6.7</v>
      </c>
      <c r="H329" t="n">
        <v>0</v>
      </c>
      <c r="I329" t="n">
        <v>0</v>
      </c>
      <c r="J329" t="n">
        <v>0</v>
      </c>
      <c r="K329" t="n">
        <v>0</v>
      </c>
      <c r="L329" t="n">
        <v>0</v>
      </c>
      <c r="M329" t="n">
        <v>0</v>
      </c>
      <c r="N329" t="n">
        <v>0</v>
      </c>
      <c r="O329" t="n">
        <v>0</v>
      </c>
      <c r="P329" t="n">
        <v>0</v>
      </c>
      <c r="Q329" t="n">
        <v>0</v>
      </c>
      <c r="R329" s="2" t="inlineStr"/>
    </row>
    <row r="330" ht="15" customHeight="1">
      <c r="A330" t="inlineStr">
        <is>
          <t>A 2700-2025</t>
        </is>
      </c>
      <c r="B330" s="1" t="n">
        <v>45677.40685185185</v>
      </c>
      <c r="C330" s="1" t="n">
        <v>45910</v>
      </c>
      <c r="D330" t="inlineStr">
        <is>
          <t>NORRBOTTENS LÄN</t>
        </is>
      </c>
      <c r="E330" t="inlineStr">
        <is>
          <t>LULEÅ</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42496-2024</t>
        </is>
      </c>
      <c r="B331" s="1" t="n">
        <v>45565.49769675926</v>
      </c>
      <c r="C331" s="1" t="n">
        <v>45910</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42102-2024</t>
        </is>
      </c>
      <c r="B332" s="1" t="n">
        <v>45562.35875</v>
      </c>
      <c r="C332" s="1" t="n">
        <v>45910</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31465-2024</t>
        </is>
      </c>
      <c r="B333" s="1" t="n">
        <v>45505</v>
      </c>
      <c r="C333" s="1" t="n">
        <v>45910</v>
      </c>
      <c r="D333" t="inlineStr">
        <is>
          <t>NORRBOTTENS LÄN</t>
        </is>
      </c>
      <c r="E333" t="inlineStr">
        <is>
          <t>LULEÅ</t>
        </is>
      </c>
      <c r="F333" t="inlineStr">
        <is>
          <t>Naturvårdsverket</t>
        </is>
      </c>
      <c r="G333" t="n">
        <v>7.1</v>
      </c>
      <c r="H333" t="n">
        <v>0</v>
      </c>
      <c r="I333" t="n">
        <v>0</v>
      </c>
      <c r="J333" t="n">
        <v>0</v>
      </c>
      <c r="K333" t="n">
        <v>0</v>
      </c>
      <c r="L333" t="n">
        <v>0</v>
      </c>
      <c r="M333" t="n">
        <v>0</v>
      </c>
      <c r="N333" t="n">
        <v>0</v>
      </c>
      <c r="O333" t="n">
        <v>0</v>
      </c>
      <c r="P333" t="n">
        <v>0</v>
      </c>
      <c r="Q333" t="n">
        <v>0</v>
      </c>
      <c r="R333" s="2" t="inlineStr"/>
    </row>
    <row r="334" ht="15" customHeight="1">
      <c r="A334" t="inlineStr">
        <is>
          <t>A 30289-2023</t>
        </is>
      </c>
      <c r="B334" s="1" t="n">
        <v>45110</v>
      </c>
      <c r="C334" s="1" t="n">
        <v>45910</v>
      </c>
      <c r="D334" t="inlineStr">
        <is>
          <t>NORRBOTTENS LÄN</t>
        </is>
      </c>
      <c r="E334" t="inlineStr">
        <is>
          <t>LULEÅ</t>
        </is>
      </c>
      <c r="G334" t="n">
        <v>4.1</v>
      </c>
      <c r="H334" t="n">
        <v>0</v>
      </c>
      <c r="I334" t="n">
        <v>0</v>
      </c>
      <c r="J334" t="n">
        <v>0</v>
      </c>
      <c r="K334" t="n">
        <v>0</v>
      </c>
      <c r="L334" t="n">
        <v>0</v>
      </c>
      <c r="M334" t="n">
        <v>0</v>
      </c>
      <c r="N334" t="n">
        <v>0</v>
      </c>
      <c r="O334" t="n">
        <v>0</v>
      </c>
      <c r="P334" t="n">
        <v>0</v>
      </c>
      <c r="Q334" t="n">
        <v>0</v>
      </c>
      <c r="R334" s="2" t="inlineStr"/>
    </row>
    <row r="335" ht="15" customHeight="1">
      <c r="A335" t="inlineStr">
        <is>
          <t>A 29332-2025</t>
        </is>
      </c>
      <c r="B335" s="1" t="n">
        <v>45824</v>
      </c>
      <c r="C335" s="1" t="n">
        <v>45910</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29417-2025</t>
        </is>
      </c>
      <c r="B336" s="1" t="n">
        <v>45824.63576388889</v>
      </c>
      <c r="C336" s="1" t="n">
        <v>45910</v>
      </c>
      <c r="D336" t="inlineStr">
        <is>
          <t>NORRBOTTENS LÄN</t>
        </is>
      </c>
      <c r="E336" t="inlineStr">
        <is>
          <t>LULEÅ</t>
        </is>
      </c>
      <c r="G336" t="n">
        <v>1.9</v>
      </c>
      <c r="H336" t="n">
        <v>0</v>
      </c>
      <c r="I336" t="n">
        <v>0</v>
      </c>
      <c r="J336" t="n">
        <v>0</v>
      </c>
      <c r="K336" t="n">
        <v>0</v>
      </c>
      <c r="L336" t="n">
        <v>0</v>
      </c>
      <c r="M336" t="n">
        <v>0</v>
      </c>
      <c r="N336" t="n">
        <v>0</v>
      </c>
      <c r="O336" t="n">
        <v>0</v>
      </c>
      <c r="P336" t="n">
        <v>0</v>
      </c>
      <c r="Q336" t="n">
        <v>0</v>
      </c>
      <c r="R336" s="2" t="inlineStr"/>
    </row>
    <row r="337" ht="15" customHeight="1">
      <c r="A337" t="inlineStr">
        <is>
          <t>A 11834-2025</t>
        </is>
      </c>
      <c r="B337" s="1" t="n">
        <v>45727</v>
      </c>
      <c r="C337" s="1" t="n">
        <v>45910</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45910</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23744-2023</t>
        </is>
      </c>
      <c r="B339" s="1" t="n">
        <v>45077.82532407407</v>
      </c>
      <c r="C339" s="1" t="n">
        <v>45910</v>
      </c>
      <c r="D339" t="inlineStr">
        <is>
          <t>NORRBOTTENS LÄN</t>
        </is>
      </c>
      <c r="E339" t="inlineStr">
        <is>
          <t>LULEÅ</t>
        </is>
      </c>
      <c r="G339" t="n">
        <v>3.9</v>
      </c>
      <c r="H339" t="n">
        <v>0</v>
      </c>
      <c r="I339" t="n">
        <v>0</v>
      </c>
      <c r="J339" t="n">
        <v>0</v>
      </c>
      <c r="K339" t="n">
        <v>0</v>
      </c>
      <c r="L339" t="n">
        <v>0</v>
      </c>
      <c r="M339" t="n">
        <v>0</v>
      </c>
      <c r="N339" t="n">
        <v>0</v>
      </c>
      <c r="O339" t="n">
        <v>0</v>
      </c>
      <c r="P339" t="n">
        <v>0</v>
      </c>
      <c r="Q339" t="n">
        <v>0</v>
      </c>
      <c r="R339" s="2" t="inlineStr"/>
    </row>
    <row r="340" ht="15" customHeight="1">
      <c r="A340" t="inlineStr">
        <is>
          <t>A 29530-2025</t>
        </is>
      </c>
      <c r="B340" s="1" t="n">
        <v>45825.3443287037</v>
      </c>
      <c r="C340" s="1" t="n">
        <v>45910</v>
      </c>
      <c r="D340" t="inlineStr">
        <is>
          <t>NORRBOTTENS LÄN</t>
        </is>
      </c>
      <c r="E340" t="inlineStr">
        <is>
          <t>LULEÅ</t>
        </is>
      </c>
      <c r="F340" t="inlineStr">
        <is>
          <t>SCA</t>
        </is>
      </c>
      <c r="G340" t="n">
        <v>17.5</v>
      </c>
      <c r="H340" t="n">
        <v>0</v>
      </c>
      <c r="I340" t="n">
        <v>0</v>
      </c>
      <c r="J340" t="n">
        <v>0</v>
      </c>
      <c r="K340" t="n">
        <v>0</v>
      </c>
      <c r="L340" t="n">
        <v>0</v>
      </c>
      <c r="M340" t="n">
        <v>0</v>
      </c>
      <c r="N340" t="n">
        <v>0</v>
      </c>
      <c r="O340" t="n">
        <v>0</v>
      </c>
      <c r="P340" t="n">
        <v>0</v>
      </c>
      <c r="Q340" t="n">
        <v>0</v>
      </c>
      <c r="R340" s="2" t="inlineStr"/>
    </row>
    <row r="341" ht="15" customHeight="1">
      <c r="A341" t="inlineStr">
        <is>
          <t>A 1572-2025</t>
        </is>
      </c>
      <c r="B341" s="1" t="n">
        <v>45670.55724537037</v>
      </c>
      <c r="C341" s="1" t="n">
        <v>45910</v>
      </c>
      <c r="D341" t="inlineStr">
        <is>
          <t>NORRBOTTENS LÄN</t>
        </is>
      </c>
      <c r="E341" t="inlineStr">
        <is>
          <t>LULEÅ</t>
        </is>
      </c>
      <c r="G341" t="n">
        <v>5.2</v>
      </c>
      <c r="H341" t="n">
        <v>0</v>
      </c>
      <c r="I341" t="n">
        <v>0</v>
      </c>
      <c r="J341" t="n">
        <v>0</v>
      </c>
      <c r="K341" t="n">
        <v>0</v>
      </c>
      <c r="L341" t="n">
        <v>0</v>
      </c>
      <c r="M341" t="n">
        <v>0</v>
      </c>
      <c r="N341" t="n">
        <v>0</v>
      </c>
      <c r="O341" t="n">
        <v>0</v>
      </c>
      <c r="P341" t="n">
        <v>0</v>
      </c>
      <c r="Q341" t="n">
        <v>0</v>
      </c>
      <c r="R341" s="2" t="inlineStr"/>
    </row>
    <row r="342" ht="15" customHeight="1">
      <c r="A342" t="inlineStr">
        <is>
          <t>A 4940-2025</t>
        </is>
      </c>
      <c r="B342" s="1" t="n">
        <v>45688.69949074074</v>
      </c>
      <c r="C342" s="1" t="n">
        <v>45910</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29375-2025</t>
        </is>
      </c>
      <c r="B343" s="1" t="n">
        <v>45824.58546296296</v>
      </c>
      <c r="C343" s="1" t="n">
        <v>45910</v>
      </c>
      <c r="D343" t="inlineStr">
        <is>
          <t>NORRBOTTENS LÄN</t>
        </is>
      </c>
      <c r="E343" t="inlineStr">
        <is>
          <t>LULEÅ</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30035-2025</t>
        </is>
      </c>
      <c r="B344" s="1" t="n">
        <v>45826.57041666667</v>
      </c>
      <c r="C344" s="1" t="n">
        <v>45910</v>
      </c>
      <c r="D344" t="inlineStr">
        <is>
          <t>NORRBOTTENS LÄN</t>
        </is>
      </c>
      <c r="E344" t="inlineStr">
        <is>
          <t>LULEÅ</t>
        </is>
      </c>
      <c r="G344" t="n">
        <v>16.6</v>
      </c>
      <c r="H344" t="n">
        <v>0</v>
      </c>
      <c r="I344" t="n">
        <v>0</v>
      </c>
      <c r="J344" t="n">
        <v>0</v>
      </c>
      <c r="K344" t="n">
        <v>0</v>
      </c>
      <c r="L344" t="n">
        <v>0</v>
      </c>
      <c r="M344" t="n">
        <v>0</v>
      </c>
      <c r="N344" t="n">
        <v>0</v>
      </c>
      <c r="O344" t="n">
        <v>0</v>
      </c>
      <c r="P344" t="n">
        <v>0</v>
      </c>
      <c r="Q344" t="n">
        <v>0</v>
      </c>
      <c r="R344" s="2" t="inlineStr"/>
    </row>
    <row r="345" ht="15" customHeight="1">
      <c r="A345" t="inlineStr">
        <is>
          <t>A 145-2025</t>
        </is>
      </c>
      <c r="B345" s="1" t="n">
        <v>45659.59091435185</v>
      </c>
      <c r="C345" s="1" t="n">
        <v>45910</v>
      </c>
      <c r="D345" t="inlineStr">
        <is>
          <t>NORRBOTTENS LÄN</t>
        </is>
      </c>
      <c r="E345" t="inlineStr">
        <is>
          <t>LULEÅ</t>
        </is>
      </c>
      <c r="G345" t="n">
        <v>1.4</v>
      </c>
      <c r="H345" t="n">
        <v>0</v>
      </c>
      <c r="I345" t="n">
        <v>0</v>
      </c>
      <c r="J345" t="n">
        <v>0</v>
      </c>
      <c r="K345" t="n">
        <v>0</v>
      </c>
      <c r="L345" t="n">
        <v>0</v>
      </c>
      <c r="M345" t="n">
        <v>0</v>
      </c>
      <c r="N345" t="n">
        <v>0</v>
      </c>
      <c r="O345" t="n">
        <v>0</v>
      </c>
      <c r="P345" t="n">
        <v>0</v>
      </c>
      <c r="Q345" t="n">
        <v>0</v>
      </c>
      <c r="R345" s="2" t="inlineStr"/>
    </row>
    <row r="346" ht="15" customHeight="1">
      <c r="A346" t="inlineStr">
        <is>
          <t>A 30091-2025</t>
        </is>
      </c>
      <c r="B346" s="1" t="n">
        <v>45826</v>
      </c>
      <c r="C346" s="1" t="n">
        <v>45910</v>
      </c>
      <c r="D346" t="inlineStr">
        <is>
          <t>NORRBOTTENS LÄN</t>
        </is>
      </c>
      <c r="E346" t="inlineStr">
        <is>
          <t>LULEÅ</t>
        </is>
      </c>
      <c r="G346" t="n">
        <v>1.3</v>
      </c>
      <c r="H346" t="n">
        <v>0</v>
      </c>
      <c r="I346" t="n">
        <v>0</v>
      </c>
      <c r="J346" t="n">
        <v>0</v>
      </c>
      <c r="K346" t="n">
        <v>0</v>
      </c>
      <c r="L346" t="n">
        <v>0</v>
      </c>
      <c r="M346" t="n">
        <v>0</v>
      </c>
      <c r="N346" t="n">
        <v>0</v>
      </c>
      <c r="O346" t="n">
        <v>0</v>
      </c>
      <c r="P346" t="n">
        <v>0</v>
      </c>
      <c r="Q346" t="n">
        <v>0</v>
      </c>
      <c r="R346" s="2" t="inlineStr"/>
    </row>
    <row r="347" ht="15" customHeight="1">
      <c r="A347" t="inlineStr">
        <is>
          <t>A 29896-2025</t>
        </is>
      </c>
      <c r="B347" s="1" t="n">
        <v>45826.38290509259</v>
      </c>
      <c r="C347" s="1" t="n">
        <v>45910</v>
      </c>
      <c r="D347" t="inlineStr">
        <is>
          <t>NORRBOTTENS LÄN</t>
        </is>
      </c>
      <c r="E347" t="inlineStr">
        <is>
          <t>LULEÅ</t>
        </is>
      </c>
      <c r="G347" t="n">
        <v>17.9</v>
      </c>
      <c r="H347" t="n">
        <v>0</v>
      </c>
      <c r="I347" t="n">
        <v>0</v>
      </c>
      <c r="J347" t="n">
        <v>0</v>
      </c>
      <c r="K347" t="n">
        <v>0</v>
      </c>
      <c r="L347" t="n">
        <v>0</v>
      </c>
      <c r="M347" t="n">
        <v>0</v>
      </c>
      <c r="N347" t="n">
        <v>0</v>
      </c>
      <c r="O347" t="n">
        <v>0</v>
      </c>
      <c r="P347" t="n">
        <v>0</v>
      </c>
      <c r="Q347" t="n">
        <v>0</v>
      </c>
      <c r="R347" s="2" t="inlineStr"/>
    </row>
    <row r="348" ht="15" customHeight="1">
      <c r="A348" t="inlineStr">
        <is>
          <t>A 30241-2025</t>
        </is>
      </c>
      <c r="B348" s="1" t="n">
        <v>45827.40512731481</v>
      </c>
      <c r="C348" s="1" t="n">
        <v>45910</v>
      </c>
      <c r="D348" t="inlineStr">
        <is>
          <t>NORRBOTTENS LÄN</t>
        </is>
      </c>
      <c r="E348" t="inlineStr">
        <is>
          <t>LULEÅ</t>
        </is>
      </c>
      <c r="G348" t="n">
        <v>3</v>
      </c>
      <c r="H348" t="n">
        <v>0</v>
      </c>
      <c r="I348" t="n">
        <v>0</v>
      </c>
      <c r="J348" t="n">
        <v>0</v>
      </c>
      <c r="K348" t="n">
        <v>0</v>
      </c>
      <c r="L348" t="n">
        <v>0</v>
      </c>
      <c r="M348" t="n">
        <v>0</v>
      </c>
      <c r="N348" t="n">
        <v>0</v>
      </c>
      <c r="O348" t="n">
        <v>0</v>
      </c>
      <c r="P348" t="n">
        <v>0</v>
      </c>
      <c r="Q348" t="n">
        <v>0</v>
      </c>
      <c r="R348" s="2" t="inlineStr"/>
    </row>
    <row r="349" ht="15" customHeight="1">
      <c r="A349" t="inlineStr">
        <is>
          <t>A 59681-2023</t>
        </is>
      </c>
      <c r="B349" s="1" t="n">
        <v>45255</v>
      </c>
      <c r="C349" s="1" t="n">
        <v>45910</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30059-2025</t>
        </is>
      </c>
      <c r="B350" s="1" t="n">
        <v>45826.61388888889</v>
      </c>
      <c r="C350" s="1" t="n">
        <v>45910</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30065-2025</t>
        </is>
      </c>
      <c r="B351" s="1" t="n">
        <v>45826.6207175926</v>
      </c>
      <c r="C351" s="1" t="n">
        <v>45910</v>
      </c>
      <c r="D351" t="inlineStr">
        <is>
          <t>NORRBOTTENS LÄN</t>
        </is>
      </c>
      <c r="E351" t="inlineStr">
        <is>
          <t>LULEÅ</t>
        </is>
      </c>
      <c r="G351" t="n">
        <v>4</v>
      </c>
      <c r="H351" t="n">
        <v>0</v>
      </c>
      <c r="I351" t="n">
        <v>0</v>
      </c>
      <c r="J351" t="n">
        <v>0</v>
      </c>
      <c r="K351" t="n">
        <v>0</v>
      </c>
      <c r="L351" t="n">
        <v>0</v>
      </c>
      <c r="M351" t="n">
        <v>0</v>
      </c>
      <c r="N351" t="n">
        <v>0</v>
      </c>
      <c r="O351" t="n">
        <v>0</v>
      </c>
      <c r="P351" t="n">
        <v>0</v>
      </c>
      <c r="Q351" t="n">
        <v>0</v>
      </c>
      <c r="R351" s="2" t="inlineStr"/>
    </row>
    <row r="352" ht="15" customHeight="1">
      <c r="A352" t="inlineStr">
        <is>
          <t>A 30080-2025</t>
        </is>
      </c>
      <c r="B352" s="1" t="n">
        <v>45826.65047453704</v>
      </c>
      <c r="C352" s="1" t="n">
        <v>45910</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30245-2025</t>
        </is>
      </c>
      <c r="B353" s="1" t="n">
        <v>45827.4106712963</v>
      </c>
      <c r="C353" s="1" t="n">
        <v>45910</v>
      </c>
      <c r="D353" t="inlineStr">
        <is>
          <t>NORRBOTTENS LÄN</t>
        </is>
      </c>
      <c r="E353" t="inlineStr">
        <is>
          <t>LULEÅ</t>
        </is>
      </c>
      <c r="G353" t="n">
        <v>1.9</v>
      </c>
      <c r="H353" t="n">
        <v>0</v>
      </c>
      <c r="I353" t="n">
        <v>0</v>
      </c>
      <c r="J353" t="n">
        <v>0</v>
      </c>
      <c r="K353" t="n">
        <v>0</v>
      </c>
      <c r="L353" t="n">
        <v>0</v>
      </c>
      <c r="M353" t="n">
        <v>0</v>
      </c>
      <c r="N353" t="n">
        <v>0</v>
      </c>
      <c r="O353" t="n">
        <v>0</v>
      </c>
      <c r="P353" t="n">
        <v>0</v>
      </c>
      <c r="Q353" t="n">
        <v>0</v>
      </c>
      <c r="R353" s="2" t="inlineStr"/>
    </row>
    <row r="354" ht="15" customHeight="1">
      <c r="A354" t="inlineStr">
        <is>
          <t>A 30048-2025</t>
        </is>
      </c>
      <c r="B354" s="1" t="n">
        <v>45826.58424768518</v>
      </c>
      <c r="C354" s="1" t="n">
        <v>45910</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30052-2025</t>
        </is>
      </c>
      <c r="B355" s="1" t="n">
        <v>45826.59502314815</v>
      </c>
      <c r="C355" s="1" t="n">
        <v>45910</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50640-2024</t>
        </is>
      </c>
      <c r="B356" s="1" t="n">
        <v>45601.67827546296</v>
      </c>
      <c r="C356" s="1" t="n">
        <v>45910</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30237-2025</t>
        </is>
      </c>
      <c r="B357" s="1" t="n">
        <v>45827.39997685186</v>
      </c>
      <c r="C357" s="1" t="n">
        <v>45910</v>
      </c>
      <c r="D357" t="inlineStr">
        <is>
          <t>NORRBOTTENS LÄN</t>
        </is>
      </c>
      <c r="E357" t="inlineStr">
        <is>
          <t>LULEÅ</t>
        </is>
      </c>
      <c r="G357" t="n">
        <v>17.6</v>
      </c>
      <c r="H357" t="n">
        <v>0</v>
      </c>
      <c r="I357" t="n">
        <v>0</v>
      </c>
      <c r="J357" t="n">
        <v>0</v>
      </c>
      <c r="K357" t="n">
        <v>0</v>
      </c>
      <c r="L357" t="n">
        <v>0</v>
      </c>
      <c r="M357" t="n">
        <v>0</v>
      </c>
      <c r="N357" t="n">
        <v>0</v>
      </c>
      <c r="O357" t="n">
        <v>0</v>
      </c>
      <c r="P357" t="n">
        <v>0</v>
      </c>
      <c r="Q357" t="n">
        <v>0</v>
      </c>
      <c r="R357" s="2" t="inlineStr"/>
    </row>
    <row r="358" ht="15" customHeight="1">
      <c r="A358" t="inlineStr">
        <is>
          <t>A 30238-2025</t>
        </is>
      </c>
      <c r="B358" s="1" t="n">
        <v>45827.40238425926</v>
      </c>
      <c r="C358" s="1" t="n">
        <v>45910</v>
      </c>
      <c r="D358" t="inlineStr">
        <is>
          <t>NORRBOTTENS LÄN</t>
        </is>
      </c>
      <c r="E358" t="inlineStr">
        <is>
          <t>LULEÅ</t>
        </is>
      </c>
      <c r="G358" t="n">
        <v>10.2</v>
      </c>
      <c r="H358" t="n">
        <v>0</v>
      </c>
      <c r="I358" t="n">
        <v>0</v>
      </c>
      <c r="J358" t="n">
        <v>0</v>
      </c>
      <c r="K358" t="n">
        <v>0</v>
      </c>
      <c r="L358" t="n">
        <v>0</v>
      </c>
      <c r="M358" t="n">
        <v>0</v>
      </c>
      <c r="N358" t="n">
        <v>0</v>
      </c>
      <c r="O358" t="n">
        <v>0</v>
      </c>
      <c r="P358" t="n">
        <v>0</v>
      </c>
      <c r="Q358" t="n">
        <v>0</v>
      </c>
      <c r="R358" s="2" t="inlineStr"/>
    </row>
    <row r="359" ht="15" customHeight="1">
      <c r="A359" t="inlineStr">
        <is>
          <t>A 30056-2025</t>
        </is>
      </c>
      <c r="B359" s="1" t="n">
        <v>45826.6047800926</v>
      </c>
      <c r="C359" s="1" t="n">
        <v>45910</v>
      </c>
      <c r="D359" t="inlineStr">
        <is>
          <t>NORRBOTTENS LÄN</t>
        </is>
      </c>
      <c r="E359" t="inlineStr">
        <is>
          <t>LULEÅ</t>
        </is>
      </c>
      <c r="G359" t="n">
        <v>3.6</v>
      </c>
      <c r="H359" t="n">
        <v>0</v>
      </c>
      <c r="I359" t="n">
        <v>0</v>
      </c>
      <c r="J359" t="n">
        <v>0</v>
      </c>
      <c r="K359" t="n">
        <v>0</v>
      </c>
      <c r="L359" t="n">
        <v>0</v>
      </c>
      <c r="M359" t="n">
        <v>0</v>
      </c>
      <c r="N359" t="n">
        <v>0</v>
      </c>
      <c r="O359" t="n">
        <v>0</v>
      </c>
      <c r="P359" t="n">
        <v>0</v>
      </c>
      <c r="Q359" t="n">
        <v>0</v>
      </c>
      <c r="R359" s="2" t="inlineStr"/>
    </row>
    <row r="360" ht="15" customHeight="1">
      <c r="A360" t="inlineStr">
        <is>
          <t>A 7168-2025</t>
        </is>
      </c>
      <c r="B360" s="1" t="n">
        <v>45702.40306712963</v>
      </c>
      <c r="C360" s="1" t="n">
        <v>45910</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29975-2025</t>
        </is>
      </c>
      <c r="B361" s="1" t="n">
        <v>45826</v>
      </c>
      <c r="C361" s="1" t="n">
        <v>45910</v>
      </c>
      <c r="D361" t="inlineStr">
        <is>
          <t>NORRBOTTENS LÄN</t>
        </is>
      </c>
      <c r="E361" t="inlineStr">
        <is>
          <t>LULEÅ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30569-2025</t>
        </is>
      </c>
      <c r="B362" s="1" t="n">
        <v>45831</v>
      </c>
      <c r="C362" s="1" t="n">
        <v>45910</v>
      </c>
      <c r="D362" t="inlineStr">
        <is>
          <t>NORRBOTTENS LÄN</t>
        </is>
      </c>
      <c r="E362" t="inlineStr">
        <is>
          <t>LULEÅ</t>
        </is>
      </c>
      <c r="G362" t="n">
        <v>4.1</v>
      </c>
      <c r="H362" t="n">
        <v>0</v>
      </c>
      <c r="I362" t="n">
        <v>0</v>
      </c>
      <c r="J362" t="n">
        <v>0</v>
      </c>
      <c r="K362" t="n">
        <v>0</v>
      </c>
      <c r="L362" t="n">
        <v>0</v>
      </c>
      <c r="M362" t="n">
        <v>0</v>
      </c>
      <c r="N362" t="n">
        <v>0</v>
      </c>
      <c r="O362" t="n">
        <v>0</v>
      </c>
      <c r="P362" t="n">
        <v>0</v>
      </c>
      <c r="Q362" t="n">
        <v>0</v>
      </c>
      <c r="R362" s="2" t="inlineStr"/>
    </row>
    <row r="363" ht="15" customHeight="1">
      <c r="A363" t="inlineStr">
        <is>
          <t>A 30570-2025</t>
        </is>
      </c>
      <c r="B363" s="1" t="n">
        <v>45831.40694444445</v>
      </c>
      <c r="C363" s="1" t="n">
        <v>45910</v>
      </c>
      <c r="D363" t="inlineStr">
        <is>
          <t>NORRBOTTENS LÄN</t>
        </is>
      </c>
      <c r="E363" t="inlineStr">
        <is>
          <t>LULEÅ</t>
        </is>
      </c>
      <c r="G363" t="n">
        <v>4.8</v>
      </c>
      <c r="H363" t="n">
        <v>0</v>
      </c>
      <c r="I363" t="n">
        <v>0</v>
      </c>
      <c r="J363" t="n">
        <v>0</v>
      </c>
      <c r="K363" t="n">
        <v>0</v>
      </c>
      <c r="L363" t="n">
        <v>0</v>
      </c>
      <c r="M363" t="n">
        <v>0</v>
      </c>
      <c r="N363" t="n">
        <v>0</v>
      </c>
      <c r="O363" t="n">
        <v>0</v>
      </c>
      <c r="P363" t="n">
        <v>0</v>
      </c>
      <c r="Q363" t="n">
        <v>0</v>
      </c>
      <c r="R363" s="2" t="inlineStr"/>
    </row>
    <row r="364" ht="15" customHeight="1">
      <c r="A364" t="inlineStr">
        <is>
          <t>A 31025-2025</t>
        </is>
      </c>
      <c r="B364" s="1" t="n">
        <v>45831</v>
      </c>
      <c r="C364" s="1" t="n">
        <v>45910</v>
      </c>
      <c r="D364" t="inlineStr">
        <is>
          <t>NORRBOTTENS LÄN</t>
        </is>
      </c>
      <c r="E364" t="inlineStr">
        <is>
          <t>LULEÅ</t>
        </is>
      </c>
      <c r="G364" t="n">
        <v>2.2</v>
      </c>
      <c r="H364" t="n">
        <v>0</v>
      </c>
      <c r="I364" t="n">
        <v>0</v>
      </c>
      <c r="J364" t="n">
        <v>0</v>
      </c>
      <c r="K364" t="n">
        <v>0</v>
      </c>
      <c r="L364" t="n">
        <v>0</v>
      </c>
      <c r="M364" t="n">
        <v>0</v>
      </c>
      <c r="N364" t="n">
        <v>0</v>
      </c>
      <c r="O364" t="n">
        <v>0</v>
      </c>
      <c r="P364" t="n">
        <v>0</v>
      </c>
      <c r="Q364" t="n">
        <v>0</v>
      </c>
      <c r="R364" s="2" t="inlineStr"/>
    </row>
    <row r="365" ht="15" customHeight="1">
      <c r="A365" t="inlineStr">
        <is>
          <t>A 49648-2024</t>
        </is>
      </c>
      <c r="B365" s="1" t="n">
        <v>45596</v>
      </c>
      <c r="C365" s="1" t="n">
        <v>45910</v>
      </c>
      <c r="D365" t="inlineStr">
        <is>
          <t>NORRBOTTENS LÄN</t>
        </is>
      </c>
      <c r="E365" t="inlineStr">
        <is>
          <t>LULEÅ</t>
        </is>
      </c>
      <c r="G365" t="n">
        <v>1.1</v>
      </c>
      <c r="H365" t="n">
        <v>0</v>
      </c>
      <c r="I365" t="n">
        <v>0</v>
      </c>
      <c r="J365" t="n">
        <v>0</v>
      </c>
      <c r="K365" t="n">
        <v>0</v>
      </c>
      <c r="L365" t="n">
        <v>0</v>
      </c>
      <c r="M365" t="n">
        <v>0</v>
      </c>
      <c r="N365" t="n">
        <v>0</v>
      </c>
      <c r="O365" t="n">
        <v>0</v>
      </c>
      <c r="P365" t="n">
        <v>0</v>
      </c>
      <c r="Q365" t="n">
        <v>0</v>
      </c>
      <c r="R365" s="2" t="inlineStr"/>
    </row>
    <row r="366" ht="15" customHeight="1">
      <c r="A366" t="inlineStr">
        <is>
          <t>A 2006-2023</t>
        </is>
      </c>
      <c r="B366" s="1" t="n">
        <v>44937</v>
      </c>
      <c r="C366" s="1" t="n">
        <v>45910</v>
      </c>
      <c r="D366" t="inlineStr">
        <is>
          <t>NORRBOTTENS LÄN</t>
        </is>
      </c>
      <c r="E366" t="inlineStr">
        <is>
          <t>LULEÅ</t>
        </is>
      </c>
      <c r="G366" t="n">
        <v>0.4</v>
      </c>
      <c r="H366" t="n">
        <v>0</v>
      </c>
      <c r="I366" t="n">
        <v>0</v>
      </c>
      <c r="J366" t="n">
        <v>0</v>
      </c>
      <c r="K366" t="n">
        <v>0</v>
      </c>
      <c r="L366" t="n">
        <v>0</v>
      </c>
      <c r="M366" t="n">
        <v>0</v>
      </c>
      <c r="N366" t="n">
        <v>0</v>
      </c>
      <c r="O366" t="n">
        <v>0</v>
      </c>
      <c r="P366" t="n">
        <v>0</v>
      </c>
      <c r="Q366" t="n">
        <v>0</v>
      </c>
      <c r="R366" s="2" t="inlineStr"/>
    </row>
    <row r="367" ht="15" customHeight="1">
      <c r="A367" t="inlineStr">
        <is>
          <t>A 1017-2025</t>
        </is>
      </c>
      <c r="B367" s="1" t="n">
        <v>45665</v>
      </c>
      <c r="C367" s="1" t="n">
        <v>45910</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30907-2025</t>
        </is>
      </c>
      <c r="B368" s="1" t="n">
        <v>45832.36484953704</v>
      </c>
      <c r="C368" s="1" t="n">
        <v>45910</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45910</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12282-2024</t>
        </is>
      </c>
      <c r="B370" s="1" t="n">
        <v>45378</v>
      </c>
      <c r="C370" s="1" t="n">
        <v>45910</v>
      </c>
      <c r="D370" t="inlineStr">
        <is>
          <t>NORRBOTTENS LÄN</t>
        </is>
      </c>
      <c r="E370" t="inlineStr">
        <is>
          <t>LULEÅ</t>
        </is>
      </c>
      <c r="G370" t="n">
        <v>1.9</v>
      </c>
      <c r="H370" t="n">
        <v>0</v>
      </c>
      <c r="I370" t="n">
        <v>0</v>
      </c>
      <c r="J370" t="n">
        <v>0</v>
      </c>
      <c r="K370" t="n">
        <v>0</v>
      </c>
      <c r="L370" t="n">
        <v>0</v>
      </c>
      <c r="M370" t="n">
        <v>0</v>
      </c>
      <c r="N370" t="n">
        <v>0</v>
      </c>
      <c r="O370" t="n">
        <v>0</v>
      </c>
      <c r="P370" t="n">
        <v>0</v>
      </c>
      <c r="Q370" t="n">
        <v>0</v>
      </c>
      <c r="R370" s="2" t="inlineStr"/>
    </row>
    <row r="371" ht="15" customHeight="1">
      <c r="A371" t="inlineStr">
        <is>
          <t>A 12551-2024</t>
        </is>
      </c>
      <c r="B371" s="1" t="n">
        <v>45379</v>
      </c>
      <c r="C371" s="1" t="n">
        <v>45910</v>
      </c>
      <c r="D371" t="inlineStr">
        <is>
          <t>NORRBOTTENS LÄN</t>
        </is>
      </c>
      <c r="E371" t="inlineStr">
        <is>
          <t>LULEÅ</t>
        </is>
      </c>
      <c r="G371" t="n">
        <v>0.6</v>
      </c>
      <c r="H371" t="n">
        <v>0</v>
      </c>
      <c r="I371" t="n">
        <v>0</v>
      </c>
      <c r="J371" t="n">
        <v>0</v>
      </c>
      <c r="K371" t="n">
        <v>0</v>
      </c>
      <c r="L371" t="n">
        <v>0</v>
      </c>
      <c r="M371" t="n">
        <v>0</v>
      </c>
      <c r="N371" t="n">
        <v>0</v>
      </c>
      <c r="O371" t="n">
        <v>0</v>
      </c>
      <c r="P371" t="n">
        <v>0</v>
      </c>
      <c r="Q371" t="n">
        <v>0</v>
      </c>
      <c r="R371" s="2" t="inlineStr"/>
    </row>
    <row r="372" ht="15" customHeight="1">
      <c r="A372" t="inlineStr">
        <is>
          <t>A 5822-2025</t>
        </is>
      </c>
      <c r="B372" s="1" t="n">
        <v>45694</v>
      </c>
      <c r="C372" s="1" t="n">
        <v>45910</v>
      </c>
      <c r="D372" t="inlineStr">
        <is>
          <t>NORRBOTTENS LÄN</t>
        </is>
      </c>
      <c r="E372" t="inlineStr">
        <is>
          <t>LULEÅ</t>
        </is>
      </c>
      <c r="G372" t="n">
        <v>2.5</v>
      </c>
      <c r="H372" t="n">
        <v>0</v>
      </c>
      <c r="I372" t="n">
        <v>0</v>
      </c>
      <c r="J372" t="n">
        <v>0</v>
      </c>
      <c r="K372" t="n">
        <v>0</v>
      </c>
      <c r="L372" t="n">
        <v>0</v>
      </c>
      <c r="M372" t="n">
        <v>0</v>
      </c>
      <c r="N372" t="n">
        <v>0</v>
      </c>
      <c r="O372" t="n">
        <v>0</v>
      </c>
      <c r="P372" t="n">
        <v>0</v>
      </c>
      <c r="Q372" t="n">
        <v>0</v>
      </c>
      <c r="R372" s="2" t="inlineStr"/>
    </row>
    <row r="373" ht="15" customHeight="1">
      <c r="A373" t="inlineStr">
        <is>
          <t>A 32223-2025</t>
        </is>
      </c>
      <c r="B373" s="1" t="n">
        <v>45835.59313657408</v>
      </c>
      <c r="C373" s="1" t="n">
        <v>45910</v>
      </c>
      <c r="D373" t="inlineStr">
        <is>
          <t>NORRBOTTENS LÄN</t>
        </is>
      </c>
      <c r="E373" t="inlineStr">
        <is>
          <t>LULEÅ</t>
        </is>
      </c>
      <c r="G373" t="n">
        <v>6.3</v>
      </c>
      <c r="H373" t="n">
        <v>0</v>
      </c>
      <c r="I373" t="n">
        <v>0</v>
      </c>
      <c r="J373" t="n">
        <v>0</v>
      </c>
      <c r="K373" t="n">
        <v>0</v>
      </c>
      <c r="L373" t="n">
        <v>0</v>
      </c>
      <c r="M373" t="n">
        <v>0</v>
      </c>
      <c r="N373" t="n">
        <v>0</v>
      </c>
      <c r="O373" t="n">
        <v>0</v>
      </c>
      <c r="P373" t="n">
        <v>0</v>
      </c>
      <c r="Q373" t="n">
        <v>0</v>
      </c>
      <c r="R373" s="2" t="inlineStr"/>
    </row>
    <row r="374" ht="15" customHeight="1">
      <c r="A374" t="inlineStr">
        <is>
          <t>A 53624-2023</t>
        </is>
      </c>
      <c r="B374" s="1" t="n">
        <v>45224</v>
      </c>
      <c r="C374" s="1" t="n">
        <v>45910</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64240-2023</t>
        </is>
      </c>
      <c r="B375" s="1" t="n">
        <v>45279</v>
      </c>
      <c r="C375" s="1" t="n">
        <v>45910</v>
      </c>
      <c r="D375" t="inlineStr">
        <is>
          <t>NORRBOTTENS LÄN</t>
        </is>
      </c>
      <c r="E375" t="inlineStr">
        <is>
          <t>LULEÅ</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32255-2025</t>
        </is>
      </c>
      <c r="B376" s="1" t="n">
        <v>45835.63332175926</v>
      </c>
      <c r="C376" s="1" t="n">
        <v>45910</v>
      </c>
      <c r="D376" t="inlineStr">
        <is>
          <t>NORRBOTTENS LÄN</t>
        </is>
      </c>
      <c r="E376" t="inlineStr">
        <is>
          <t>LULEÅ</t>
        </is>
      </c>
      <c r="G376" t="n">
        <v>1.6</v>
      </c>
      <c r="H376" t="n">
        <v>0</v>
      </c>
      <c r="I376" t="n">
        <v>0</v>
      </c>
      <c r="J376" t="n">
        <v>0</v>
      </c>
      <c r="K376" t="n">
        <v>0</v>
      </c>
      <c r="L376" t="n">
        <v>0</v>
      </c>
      <c r="M376" t="n">
        <v>0</v>
      </c>
      <c r="N376" t="n">
        <v>0</v>
      </c>
      <c r="O376" t="n">
        <v>0</v>
      </c>
      <c r="P376" t="n">
        <v>0</v>
      </c>
      <c r="Q376" t="n">
        <v>0</v>
      </c>
      <c r="R376" s="2" t="inlineStr"/>
    </row>
    <row r="377" ht="15" customHeight="1">
      <c r="A377" t="inlineStr">
        <is>
          <t>A 32127-2025</t>
        </is>
      </c>
      <c r="B377" s="1" t="n">
        <v>45835.49930555555</v>
      </c>
      <c r="C377" s="1" t="n">
        <v>45910</v>
      </c>
      <c r="D377" t="inlineStr">
        <is>
          <t>NORRBOTTENS LÄN</t>
        </is>
      </c>
      <c r="E377" t="inlineStr">
        <is>
          <t>LULEÅ</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11982-2023</t>
        </is>
      </c>
      <c r="B378" s="1" t="n">
        <v>44994</v>
      </c>
      <c r="C378" s="1" t="n">
        <v>45910</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17175-2024</t>
        </is>
      </c>
      <c r="B379" s="1" t="n">
        <v>45412</v>
      </c>
      <c r="C379" s="1" t="n">
        <v>45910</v>
      </c>
      <c r="D379" t="inlineStr">
        <is>
          <t>NORRBOTTENS LÄN</t>
        </is>
      </c>
      <c r="E379" t="inlineStr">
        <is>
          <t>LULEÅ</t>
        </is>
      </c>
      <c r="F379" t="inlineStr">
        <is>
          <t>SCA</t>
        </is>
      </c>
      <c r="G379" t="n">
        <v>18.5</v>
      </c>
      <c r="H379" t="n">
        <v>0</v>
      </c>
      <c r="I379" t="n">
        <v>0</v>
      </c>
      <c r="J379" t="n">
        <v>0</v>
      </c>
      <c r="K379" t="n">
        <v>0</v>
      </c>
      <c r="L379" t="n">
        <v>0</v>
      </c>
      <c r="M379" t="n">
        <v>0</v>
      </c>
      <c r="N379" t="n">
        <v>0</v>
      </c>
      <c r="O379" t="n">
        <v>0</v>
      </c>
      <c r="P379" t="n">
        <v>0</v>
      </c>
      <c r="Q379" t="n">
        <v>0</v>
      </c>
      <c r="R379" s="2" t="inlineStr"/>
    </row>
    <row r="380" ht="15" customHeight="1">
      <c r="A380" t="inlineStr">
        <is>
          <t>A 55195-2022</t>
        </is>
      </c>
      <c r="B380" s="1" t="n">
        <v>44886</v>
      </c>
      <c r="C380" s="1" t="n">
        <v>45910</v>
      </c>
      <c r="D380" t="inlineStr">
        <is>
          <t>NORRBOTTENS LÄN</t>
        </is>
      </c>
      <c r="E380" t="inlineStr">
        <is>
          <t>LULEÅ</t>
        </is>
      </c>
      <c r="G380" t="n">
        <v>0.4</v>
      </c>
      <c r="H380" t="n">
        <v>0</v>
      </c>
      <c r="I380" t="n">
        <v>0</v>
      </c>
      <c r="J380" t="n">
        <v>0</v>
      </c>
      <c r="K380" t="n">
        <v>0</v>
      </c>
      <c r="L380" t="n">
        <v>0</v>
      </c>
      <c r="M380" t="n">
        <v>0</v>
      </c>
      <c r="N380" t="n">
        <v>0</v>
      </c>
      <c r="O380" t="n">
        <v>0</v>
      </c>
      <c r="P380" t="n">
        <v>0</v>
      </c>
      <c r="Q380" t="n">
        <v>0</v>
      </c>
      <c r="R380" s="2" t="inlineStr"/>
    </row>
    <row r="381" ht="15" customHeight="1">
      <c r="A381" t="inlineStr">
        <is>
          <t>A 31620-2025</t>
        </is>
      </c>
      <c r="B381" s="1" t="n">
        <v>45833.87428240741</v>
      </c>
      <c r="C381" s="1" t="n">
        <v>45910</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32154-2025</t>
        </is>
      </c>
      <c r="B382" s="1" t="n">
        <v>45835.53480324074</v>
      </c>
      <c r="C382" s="1" t="n">
        <v>45910</v>
      </c>
      <c r="D382" t="inlineStr">
        <is>
          <t>NORRBOTTENS LÄN</t>
        </is>
      </c>
      <c r="E382" t="inlineStr">
        <is>
          <t>LULEÅ</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32264-2025</t>
        </is>
      </c>
      <c r="B383" s="1" t="n">
        <v>45835.64934027778</v>
      </c>
      <c r="C383" s="1" t="n">
        <v>45910</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48412-2023</t>
        </is>
      </c>
      <c r="B384" s="1" t="n">
        <v>45205</v>
      </c>
      <c r="C384" s="1" t="n">
        <v>45910</v>
      </c>
      <c r="D384" t="inlineStr">
        <is>
          <t>NORRBOTTENS LÄN</t>
        </is>
      </c>
      <c r="E384" t="inlineStr">
        <is>
          <t>LULEÅ</t>
        </is>
      </c>
      <c r="G384" t="n">
        <v>45.8</v>
      </c>
      <c r="H384" t="n">
        <v>0</v>
      </c>
      <c r="I384" t="n">
        <v>0</v>
      </c>
      <c r="J384" t="n">
        <v>0</v>
      </c>
      <c r="K384" t="n">
        <v>0</v>
      </c>
      <c r="L384" t="n">
        <v>0</v>
      </c>
      <c r="M384" t="n">
        <v>0</v>
      </c>
      <c r="N384" t="n">
        <v>0</v>
      </c>
      <c r="O384" t="n">
        <v>0</v>
      </c>
      <c r="P384" t="n">
        <v>0</v>
      </c>
      <c r="Q384" t="n">
        <v>0</v>
      </c>
      <c r="R384" s="2" t="inlineStr"/>
    </row>
    <row r="385" ht="15" customHeight="1">
      <c r="A385" t="inlineStr">
        <is>
          <t>A 8228-2024</t>
        </is>
      </c>
      <c r="B385" s="1" t="n">
        <v>45351</v>
      </c>
      <c r="C385" s="1" t="n">
        <v>45910</v>
      </c>
      <c r="D385" t="inlineStr">
        <is>
          <t>NORRBOTTENS LÄN</t>
        </is>
      </c>
      <c r="E385" t="inlineStr">
        <is>
          <t>LULEÅ</t>
        </is>
      </c>
      <c r="G385" t="n">
        <v>10.1</v>
      </c>
      <c r="H385" t="n">
        <v>0</v>
      </c>
      <c r="I385" t="n">
        <v>0</v>
      </c>
      <c r="J385" t="n">
        <v>0</v>
      </c>
      <c r="K385" t="n">
        <v>0</v>
      </c>
      <c r="L385" t="n">
        <v>0</v>
      </c>
      <c r="M385" t="n">
        <v>0</v>
      </c>
      <c r="N385" t="n">
        <v>0</v>
      </c>
      <c r="O385" t="n">
        <v>0</v>
      </c>
      <c r="P385" t="n">
        <v>0</v>
      </c>
      <c r="Q385" t="n">
        <v>0</v>
      </c>
      <c r="R385" s="2" t="inlineStr"/>
    </row>
    <row r="386" ht="15" customHeight="1">
      <c r="A386" t="inlineStr">
        <is>
          <t>A 58469-2024</t>
        </is>
      </c>
      <c r="B386" s="1" t="n">
        <v>45632</v>
      </c>
      <c r="C386" s="1" t="n">
        <v>45910</v>
      </c>
      <c r="D386" t="inlineStr">
        <is>
          <t>NORRBOTTENS LÄN</t>
        </is>
      </c>
      <c r="E386" t="inlineStr">
        <is>
          <t>LULEÅ</t>
        </is>
      </c>
      <c r="G386" t="n">
        <v>9</v>
      </c>
      <c r="H386" t="n">
        <v>0</v>
      </c>
      <c r="I386" t="n">
        <v>0</v>
      </c>
      <c r="J386" t="n">
        <v>0</v>
      </c>
      <c r="K386" t="n">
        <v>0</v>
      </c>
      <c r="L386" t="n">
        <v>0</v>
      </c>
      <c r="M386" t="n">
        <v>0</v>
      </c>
      <c r="N386" t="n">
        <v>0</v>
      </c>
      <c r="O386" t="n">
        <v>0</v>
      </c>
      <c r="P386" t="n">
        <v>0</v>
      </c>
      <c r="Q386" t="n">
        <v>0</v>
      </c>
      <c r="R386" s="2" t="inlineStr"/>
    </row>
    <row r="387" ht="15" customHeight="1">
      <c r="A387" t="inlineStr">
        <is>
          <t>A 35234-2021</t>
        </is>
      </c>
      <c r="B387" s="1" t="n">
        <v>44384</v>
      </c>
      <c r="C387" s="1" t="n">
        <v>45910</v>
      </c>
      <c r="D387" t="inlineStr">
        <is>
          <t>NORRBOTTENS LÄN</t>
        </is>
      </c>
      <c r="E387" t="inlineStr">
        <is>
          <t>LULEÅ</t>
        </is>
      </c>
      <c r="G387" t="n">
        <v>1.4</v>
      </c>
      <c r="H387" t="n">
        <v>0</v>
      </c>
      <c r="I387" t="n">
        <v>0</v>
      </c>
      <c r="J387" t="n">
        <v>0</v>
      </c>
      <c r="K387" t="n">
        <v>0</v>
      </c>
      <c r="L387" t="n">
        <v>0</v>
      </c>
      <c r="M387" t="n">
        <v>0</v>
      </c>
      <c r="N387" t="n">
        <v>0</v>
      </c>
      <c r="O387" t="n">
        <v>0</v>
      </c>
      <c r="P387" t="n">
        <v>0</v>
      </c>
      <c r="Q387" t="n">
        <v>0</v>
      </c>
      <c r="R387" s="2" t="inlineStr"/>
    </row>
    <row r="388" ht="15" customHeight="1">
      <c r="A388" t="inlineStr">
        <is>
          <t>A 58827-2024</t>
        </is>
      </c>
      <c r="B388" s="1" t="n">
        <v>45635</v>
      </c>
      <c r="C388" s="1" t="n">
        <v>45910</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26513-2025</t>
        </is>
      </c>
      <c r="B389" s="1" t="n">
        <v>45807</v>
      </c>
      <c r="C389" s="1" t="n">
        <v>45910</v>
      </c>
      <c r="D389" t="inlineStr">
        <is>
          <t>NORRBOTTENS LÄN</t>
        </is>
      </c>
      <c r="E389" t="inlineStr">
        <is>
          <t>LULEÅ</t>
        </is>
      </c>
      <c r="G389" t="n">
        <v>5</v>
      </c>
      <c r="H389" t="n">
        <v>0</v>
      </c>
      <c r="I389" t="n">
        <v>0</v>
      </c>
      <c r="J389" t="n">
        <v>0</v>
      </c>
      <c r="K389" t="n">
        <v>0</v>
      </c>
      <c r="L389" t="n">
        <v>0</v>
      </c>
      <c r="M389" t="n">
        <v>0</v>
      </c>
      <c r="N389" t="n">
        <v>0</v>
      </c>
      <c r="O389" t="n">
        <v>0</v>
      </c>
      <c r="P389" t="n">
        <v>0</v>
      </c>
      <c r="Q389" t="n">
        <v>0</v>
      </c>
      <c r="R389" s="2" t="inlineStr"/>
    </row>
    <row r="390" ht="15" customHeight="1">
      <c r="A390" t="inlineStr">
        <is>
          <t>A 32253-2025</t>
        </is>
      </c>
      <c r="B390" s="1" t="n">
        <v>45835.63008101852</v>
      </c>
      <c r="C390" s="1" t="n">
        <v>45910</v>
      </c>
      <c r="D390" t="inlineStr">
        <is>
          <t>NORRBOTTENS LÄN</t>
        </is>
      </c>
      <c r="E390" t="inlineStr">
        <is>
          <t>LULEÅ</t>
        </is>
      </c>
      <c r="G390" t="n">
        <v>7.4</v>
      </c>
      <c r="H390" t="n">
        <v>0</v>
      </c>
      <c r="I390" t="n">
        <v>0</v>
      </c>
      <c r="J390" t="n">
        <v>0</v>
      </c>
      <c r="K390" t="n">
        <v>0</v>
      </c>
      <c r="L390" t="n">
        <v>0</v>
      </c>
      <c r="M390" t="n">
        <v>0</v>
      </c>
      <c r="N390" t="n">
        <v>0</v>
      </c>
      <c r="O390" t="n">
        <v>0</v>
      </c>
      <c r="P390" t="n">
        <v>0</v>
      </c>
      <c r="Q390" t="n">
        <v>0</v>
      </c>
      <c r="R390" s="2" t="inlineStr"/>
    </row>
    <row r="391" ht="15" customHeight="1">
      <c r="A391" t="inlineStr">
        <is>
          <t>A 32260-2025</t>
        </is>
      </c>
      <c r="B391" s="1" t="n">
        <v>45835.64260416666</v>
      </c>
      <c r="C391" s="1" t="n">
        <v>45910</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30358-2023</t>
        </is>
      </c>
      <c r="B392" s="1" t="n">
        <v>45111</v>
      </c>
      <c r="C392" s="1" t="n">
        <v>45910</v>
      </c>
      <c r="D392" t="inlineStr">
        <is>
          <t>NORRBOTTENS LÄN</t>
        </is>
      </c>
      <c r="E392" t="inlineStr">
        <is>
          <t>LULEÅ</t>
        </is>
      </c>
      <c r="G392" t="n">
        <v>3.9</v>
      </c>
      <c r="H392" t="n">
        <v>0</v>
      </c>
      <c r="I392" t="n">
        <v>0</v>
      </c>
      <c r="J392" t="n">
        <v>0</v>
      </c>
      <c r="K392" t="n">
        <v>0</v>
      </c>
      <c r="L392" t="n">
        <v>0</v>
      </c>
      <c r="M392" t="n">
        <v>0</v>
      </c>
      <c r="N392" t="n">
        <v>0</v>
      </c>
      <c r="O392" t="n">
        <v>0</v>
      </c>
      <c r="P392" t="n">
        <v>0</v>
      </c>
      <c r="Q392" t="n">
        <v>0</v>
      </c>
      <c r="R392" s="2" t="inlineStr"/>
    </row>
    <row r="393" ht="15" customHeight="1">
      <c r="A393" t="inlineStr">
        <is>
          <t>A 38551-2023</t>
        </is>
      </c>
      <c r="B393" s="1" t="n">
        <v>45160</v>
      </c>
      <c r="C393" s="1" t="n">
        <v>45910</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54213-2023</t>
        </is>
      </c>
      <c r="B394" s="1" t="n">
        <v>45232</v>
      </c>
      <c r="C394" s="1" t="n">
        <v>45910</v>
      </c>
      <c r="D394" t="inlineStr">
        <is>
          <t>NORRBOTTENS LÄN</t>
        </is>
      </c>
      <c r="E394" t="inlineStr">
        <is>
          <t>LULEÅ</t>
        </is>
      </c>
      <c r="G394" t="n">
        <v>0.2</v>
      </c>
      <c r="H394" t="n">
        <v>0</v>
      </c>
      <c r="I394" t="n">
        <v>0</v>
      </c>
      <c r="J394" t="n">
        <v>0</v>
      </c>
      <c r="K394" t="n">
        <v>0</v>
      </c>
      <c r="L394" t="n">
        <v>0</v>
      </c>
      <c r="M394" t="n">
        <v>0</v>
      </c>
      <c r="N394" t="n">
        <v>0</v>
      </c>
      <c r="O394" t="n">
        <v>0</v>
      </c>
      <c r="P394" t="n">
        <v>0</v>
      </c>
      <c r="Q394" t="n">
        <v>0</v>
      </c>
      <c r="R394" s="2" t="inlineStr"/>
    </row>
    <row r="395" ht="15" customHeight="1">
      <c r="A395" t="inlineStr">
        <is>
          <t>A 48642-2023</t>
        </is>
      </c>
      <c r="B395" s="1" t="n">
        <v>45208</v>
      </c>
      <c r="C395" s="1" t="n">
        <v>45910</v>
      </c>
      <c r="D395" t="inlineStr">
        <is>
          <t>NORRBOTTENS LÄN</t>
        </is>
      </c>
      <c r="E395" t="inlineStr">
        <is>
          <t>LULEÅ</t>
        </is>
      </c>
      <c r="G395" t="n">
        <v>4.5</v>
      </c>
      <c r="H395" t="n">
        <v>0</v>
      </c>
      <c r="I395" t="n">
        <v>0</v>
      </c>
      <c r="J395" t="n">
        <v>0</v>
      </c>
      <c r="K395" t="n">
        <v>0</v>
      </c>
      <c r="L395" t="n">
        <v>0</v>
      </c>
      <c r="M395" t="n">
        <v>0</v>
      </c>
      <c r="N395" t="n">
        <v>0</v>
      </c>
      <c r="O395" t="n">
        <v>0</v>
      </c>
      <c r="P395" t="n">
        <v>0</v>
      </c>
      <c r="Q395" t="n">
        <v>0</v>
      </c>
      <c r="R395" s="2" t="inlineStr"/>
    </row>
    <row r="396" ht="15" customHeight="1">
      <c r="A396" t="inlineStr">
        <is>
          <t>A 37783-2025</t>
        </is>
      </c>
      <c r="B396" s="1" t="n">
        <v>45880.94430555555</v>
      </c>
      <c r="C396" s="1" t="n">
        <v>45910</v>
      </c>
      <c r="D396" t="inlineStr">
        <is>
          <t>NORRBOTTENS LÄN</t>
        </is>
      </c>
      <c r="E396" t="inlineStr">
        <is>
          <t>LULEÅ</t>
        </is>
      </c>
      <c r="G396" t="n">
        <v>7.2</v>
      </c>
      <c r="H396" t="n">
        <v>0</v>
      </c>
      <c r="I396" t="n">
        <v>0</v>
      </c>
      <c r="J396" t="n">
        <v>0</v>
      </c>
      <c r="K396" t="n">
        <v>0</v>
      </c>
      <c r="L396" t="n">
        <v>0</v>
      </c>
      <c r="M396" t="n">
        <v>0</v>
      </c>
      <c r="N396" t="n">
        <v>0</v>
      </c>
      <c r="O396" t="n">
        <v>0</v>
      </c>
      <c r="P396" t="n">
        <v>0</v>
      </c>
      <c r="Q396" t="n">
        <v>0</v>
      </c>
      <c r="R396" s="2" t="inlineStr"/>
    </row>
    <row r="397" ht="15" customHeight="1">
      <c r="A397" t="inlineStr">
        <is>
          <t>A 32460-2025</t>
        </is>
      </c>
      <c r="B397" s="1" t="n">
        <v>45838.41540509259</v>
      </c>
      <c r="C397" s="1" t="n">
        <v>45910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26234-2023</t>
        </is>
      </c>
      <c r="B398" s="1" t="n">
        <v>45086</v>
      </c>
      <c r="C398" s="1" t="n">
        <v>45910</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1002-2025</t>
        </is>
      </c>
      <c r="B399" s="1" t="n">
        <v>45665</v>
      </c>
      <c r="C399" s="1" t="n">
        <v>45910</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32462-2025</t>
        </is>
      </c>
      <c r="B400" s="1" t="n">
        <v>45838.41660879629</v>
      </c>
      <c r="C400" s="1" t="n">
        <v>45910</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37784-2025</t>
        </is>
      </c>
      <c r="B401" s="1" t="n">
        <v>45880.95241898148</v>
      </c>
      <c r="C401" s="1" t="n">
        <v>45910</v>
      </c>
      <c r="D401" t="inlineStr">
        <is>
          <t>NORRBOTTENS LÄN</t>
        </is>
      </c>
      <c r="E401" t="inlineStr">
        <is>
          <t>LULEÅ</t>
        </is>
      </c>
      <c r="G401" t="n">
        <v>4.3</v>
      </c>
      <c r="H401" t="n">
        <v>0</v>
      </c>
      <c r="I401" t="n">
        <v>0</v>
      </c>
      <c r="J401" t="n">
        <v>0</v>
      </c>
      <c r="K401" t="n">
        <v>0</v>
      </c>
      <c r="L401" t="n">
        <v>0</v>
      </c>
      <c r="M401" t="n">
        <v>0</v>
      </c>
      <c r="N401" t="n">
        <v>0</v>
      </c>
      <c r="O401" t="n">
        <v>0</v>
      </c>
      <c r="P401" t="n">
        <v>0</v>
      </c>
      <c r="Q401" t="n">
        <v>0</v>
      </c>
      <c r="R401" s="2" t="inlineStr"/>
    </row>
    <row r="402" ht="15" customHeight="1">
      <c r="A402" t="inlineStr">
        <is>
          <t>A 7417-2021</t>
        </is>
      </c>
      <c r="B402" s="1" t="n">
        <v>44239</v>
      </c>
      <c r="C402" s="1" t="n">
        <v>45910</v>
      </c>
      <c r="D402" t="inlineStr">
        <is>
          <t>NORRBOTTENS LÄN</t>
        </is>
      </c>
      <c r="E402" t="inlineStr">
        <is>
          <t>LULEÅ</t>
        </is>
      </c>
      <c r="G402" t="n">
        <v>2.2</v>
      </c>
      <c r="H402" t="n">
        <v>0</v>
      </c>
      <c r="I402" t="n">
        <v>0</v>
      </c>
      <c r="J402" t="n">
        <v>0</v>
      </c>
      <c r="K402" t="n">
        <v>0</v>
      </c>
      <c r="L402" t="n">
        <v>0</v>
      </c>
      <c r="M402" t="n">
        <v>0</v>
      </c>
      <c r="N402" t="n">
        <v>0</v>
      </c>
      <c r="O402" t="n">
        <v>0</v>
      </c>
      <c r="P402" t="n">
        <v>0</v>
      </c>
      <c r="Q402" t="n">
        <v>0</v>
      </c>
      <c r="R402" s="2" t="inlineStr"/>
    </row>
    <row r="403" ht="15" customHeight="1">
      <c r="A403" t="inlineStr">
        <is>
          <t>A 32458-2025</t>
        </is>
      </c>
      <c r="B403" s="1" t="n">
        <v>45838.41445601852</v>
      </c>
      <c r="C403" s="1" t="n">
        <v>45910</v>
      </c>
      <c r="D403" t="inlineStr">
        <is>
          <t>NORRBOTTENS LÄN</t>
        </is>
      </c>
      <c r="E403" t="inlineStr">
        <is>
          <t>LULEÅ</t>
        </is>
      </c>
      <c r="G403" t="n">
        <v>10.8</v>
      </c>
      <c r="H403" t="n">
        <v>0</v>
      </c>
      <c r="I403" t="n">
        <v>0</v>
      </c>
      <c r="J403" t="n">
        <v>0</v>
      </c>
      <c r="K403" t="n">
        <v>0</v>
      </c>
      <c r="L403" t="n">
        <v>0</v>
      </c>
      <c r="M403" t="n">
        <v>0</v>
      </c>
      <c r="N403" t="n">
        <v>0</v>
      </c>
      <c r="O403" t="n">
        <v>0</v>
      </c>
      <c r="P403" t="n">
        <v>0</v>
      </c>
      <c r="Q403" t="n">
        <v>0</v>
      </c>
      <c r="R403" s="2" t="inlineStr"/>
    </row>
    <row r="404" ht="15" customHeight="1">
      <c r="A404" t="inlineStr">
        <is>
          <t>A 33692-2025</t>
        </is>
      </c>
      <c r="B404" s="1" t="n">
        <v>45841.69819444444</v>
      </c>
      <c r="C404" s="1" t="n">
        <v>45910</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6386-2023</t>
        </is>
      </c>
      <c r="B405" s="1" t="n">
        <v>44960</v>
      </c>
      <c r="C405" s="1" t="n">
        <v>45910</v>
      </c>
      <c r="D405" t="inlineStr">
        <is>
          <t>NORRBOTTENS LÄN</t>
        </is>
      </c>
      <c r="E405" t="inlineStr">
        <is>
          <t>LULEÅ</t>
        </is>
      </c>
      <c r="G405" t="n">
        <v>3.9</v>
      </c>
      <c r="H405" t="n">
        <v>0</v>
      </c>
      <c r="I405" t="n">
        <v>0</v>
      </c>
      <c r="J405" t="n">
        <v>0</v>
      </c>
      <c r="K405" t="n">
        <v>0</v>
      </c>
      <c r="L405" t="n">
        <v>0</v>
      </c>
      <c r="M405" t="n">
        <v>0</v>
      </c>
      <c r="N405" t="n">
        <v>0</v>
      </c>
      <c r="O405" t="n">
        <v>0</v>
      </c>
      <c r="P405" t="n">
        <v>0</v>
      </c>
      <c r="Q405" t="n">
        <v>0</v>
      </c>
      <c r="R405" s="2" t="inlineStr"/>
    </row>
    <row r="406" ht="15" customHeight="1">
      <c r="A406" t="inlineStr">
        <is>
          <t>A 11135-2025</t>
        </is>
      </c>
      <c r="B406" s="1" t="n">
        <v>45723.65663194445</v>
      </c>
      <c r="C406" s="1" t="n">
        <v>45910</v>
      </c>
      <c r="D406" t="inlineStr">
        <is>
          <t>NORRBOTTENS LÄN</t>
        </is>
      </c>
      <c r="E406" t="inlineStr">
        <is>
          <t>LULEÅ</t>
        </is>
      </c>
      <c r="G406" t="n">
        <v>16.7</v>
      </c>
      <c r="H406" t="n">
        <v>0</v>
      </c>
      <c r="I406" t="n">
        <v>0</v>
      </c>
      <c r="J406" t="n">
        <v>0</v>
      </c>
      <c r="K406" t="n">
        <v>0</v>
      </c>
      <c r="L406" t="n">
        <v>0</v>
      </c>
      <c r="M406" t="n">
        <v>0</v>
      </c>
      <c r="N406" t="n">
        <v>0</v>
      </c>
      <c r="O406" t="n">
        <v>0</v>
      </c>
      <c r="P406" t="n">
        <v>0</v>
      </c>
      <c r="Q406" t="n">
        <v>0</v>
      </c>
      <c r="R406" s="2" t="inlineStr"/>
    </row>
    <row r="407" ht="15" customHeight="1">
      <c r="A407" t="inlineStr">
        <is>
          <t>A 60954-2021</t>
        </is>
      </c>
      <c r="B407" s="1" t="n">
        <v>44496</v>
      </c>
      <c r="C407" s="1" t="n">
        <v>45910</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14990-2024</t>
        </is>
      </c>
      <c r="B408" s="1" t="n">
        <v>45399.36019675926</v>
      </c>
      <c r="C408" s="1" t="n">
        <v>45910</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20063-2023</t>
        </is>
      </c>
      <c r="B409" s="1" t="n">
        <v>45054</v>
      </c>
      <c r="C409" s="1" t="n">
        <v>45910</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3185-2025</t>
        </is>
      </c>
      <c r="B410" s="1" t="n">
        <v>45679.40358796297</v>
      </c>
      <c r="C410" s="1" t="n">
        <v>45910</v>
      </c>
      <c r="D410" t="inlineStr">
        <is>
          <t>NORRBOTTENS LÄN</t>
        </is>
      </c>
      <c r="E410" t="inlineStr">
        <is>
          <t>LULEÅ</t>
        </is>
      </c>
      <c r="G410" t="n">
        <v>3.2</v>
      </c>
      <c r="H410" t="n">
        <v>0</v>
      </c>
      <c r="I410" t="n">
        <v>0</v>
      </c>
      <c r="J410" t="n">
        <v>0</v>
      </c>
      <c r="K410" t="n">
        <v>0</v>
      </c>
      <c r="L410" t="n">
        <v>0</v>
      </c>
      <c r="M410" t="n">
        <v>0</v>
      </c>
      <c r="N410" t="n">
        <v>0</v>
      </c>
      <c r="O410" t="n">
        <v>0</v>
      </c>
      <c r="P410" t="n">
        <v>0</v>
      </c>
      <c r="Q410" t="n">
        <v>0</v>
      </c>
      <c r="R410" s="2" t="inlineStr"/>
    </row>
    <row r="411" ht="15" customHeight="1">
      <c r="A411" t="inlineStr">
        <is>
          <t>A 4286-2025</t>
        </is>
      </c>
      <c r="B411" s="1" t="n">
        <v>45685</v>
      </c>
      <c r="C411" s="1" t="n">
        <v>45910</v>
      </c>
      <c r="D411" t="inlineStr">
        <is>
          <t>NORRBOTTENS LÄN</t>
        </is>
      </c>
      <c r="E411" t="inlineStr">
        <is>
          <t>LULEÅ</t>
        </is>
      </c>
      <c r="G411" t="n">
        <v>1.9</v>
      </c>
      <c r="H411" t="n">
        <v>0</v>
      </c>
      <c r="I411" t="n">
        <v>0</v>
      </c>
      <c r="J411" t="n">
        <v>0</v>
      </c>
      <c r="K411" t="n">
        <v>0</v>
      </c>
      <c r="L411" t="n">
        <v>0</v>
      </c>
      <c r="M411" t="n">
        <v>0</v>
      </c>
      <c r="N411" t="n">
        <v>0</v>
      </c>
      <c r="O411" t="n">
        <v>0</v>
      </c>
      <c r="P411" t="n">
        <v>0</v>
      </c>
      <c r="Q411" t="n">
        <v>0</v>
      </c>
      <c r="R411" s="2" t="inlineStr"/>
    </row>
    <row r="412" ht="15" customHeight="1">
      <c r="A412" t="inlineStr">
        <is>
          <t>A 26253-2023</t>
        </is>
      </c>
      <c r="B412" s="1" t="n">
        <v>45091</v>
      </c>
      <c r="C412" s="1" t="n">
        <v>45910</v>
      </c>
      <c r="D412" t="inlineStr">
        <is>
          <t>NORRBOTTENS LÄN</t>
        </is>
      </c>
      <c r="E412" t="inlineStr">
        <is>
          <t>LULEÅ</t>
        </is>
      </c>
      <c r="G412" t="n">
        <v>4.9</v>
      </c>
      <c r="H412" t="n">
        <v>0</v>
      </c>
      <c r="I412" t="n">
        <v>0</v>
      </c>
      <c r="J412" t="n">
        <v>0</v>
      </c>
      <c r="K412" t="n">
        <v>0</v>
      </c>
      <c r="L412" t="n">
        <v>0</v>
      </c>
      <c r="M412" t="n">
        <v>0</v>
      </c>
      <c r="N412" t="n">
        <v>0</v>
      </c>
      <c r="O412" t="n">
        <v>0</v>
      </c>
      <c r="P412" t="n">
        <v>0</v>
      </c>
      <c r="Q412" t="n">
        <v>0</v>
      </c>
      <c r="R412" s="2" t="inlineStr"/>
    </row>
    <row r="413" ht="15" customHeight="1">
      <c r="A413" t="inlineStr">
        <is>
          <t>A 49857-2023</t>
        </is>
      </c>
      <c r="B413" s="1" t="n">
        <v>45212</v>
      </c>
      <c r="C413" s="1" t="n">
        <v>45910</v>
      </c>
      <c r="D413" t="inlineStr">
        <is>
          <t>NORRBOTTENS LÄN</t>
        </is>
      </c>
      <c r="E413" t="inlineStr">
        <is>
          <t>LULEÅ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49858-2023</t>
        </is>
      </c>
      <c r="B414" s="1" t="n">
        <v>45212.95483796296</v>
      </c>
      <c r="C414" s="1" t="n">
        <v>45910</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53603-2024</t>
        </is>
      </c>
      <c r="B415" s="1" t="n">
        <v>45614.69736111111</v>
      </c>
      <c r="C415" s="1" t="n">
        <v>45910</v>
      </c>
      <c r="D415" t="inlineStr">
        <is>
          <t>NORRBOTTENS LÄN</t>
        </is>
      </c>
      <c r="E415" t="inlineStr">
        <is>
          <t>LULEÅ</t>
        </is>
      </c>
      <c r="G415" t="n">
        <v>3.2</v>
      </c>
      <c r="H415" t="n">
        <v>0</v>
      </c>
      <c r="I415" t="n">
        <v>0</v>
      </c>
      <c r="J415" t="n">
        <v>0</v>
      </c>
      <c r="K415" t="n">
        <v>0</v>
      </c>
      <c r="L415" t="n">
        <v>0</v>
      </c>
      <c r="M415" t="n">
        <v>0</v>
      </c>
      <c r="N415" t="n">
        <v>0</v>
      </c>
      <c r="O415" t="n">
        <v>0</v>
      </c>
      <c r="P415" t="n">
        <v>0</v>
      </c>
      <c r="Q415" t="n">
        <v>0</v>
      </c>
      <c r="R415" s="2" t="inlineStr"/>
    </row>
    <row r="416" ht="15" customHeight="1">
      <c r="A416" t="inlineStr">
        <is>
          <t>A 38434-2025</t>
        </is>
      </c>
      <c r="B416" s="1" t="n">
        <v>45883.64178240741</v>
      </c>
      <c r="C416" s="1" t="n">
        <v>45910</v>
      </c>
      <c r="D416" t="inlineStr">
        <is>
          <t>NORRBOTTENS LÄN</t>
        </is>
      </c>
      <c r="E416" t="inlineStr">
        <is>
          <t>LULEÅ</t>
        </is>
      </c>
      <c r="G416" t="n">
        <v>11.4</v>
      </c>
      <c r="H416" t="n">
        <v>0</v>
      </c>
      <c r="I416" t="n">
        <v>0</v>
      </c>
      <c r="J416" t="n">
        <v>0</v>
      </c>
      <c r="K416" t="n">
        <v>0</v>
      </c>
      <c r="L416" t="n">
        <v>0</v>
      </c>
      <c r="M416" t="n">
        <v>0</v>
      </c>
      <c r="N416" t="n">
        <v>0</v>
      </c>
      <c r="O416" t="n">
        <v>0</v>
      </c>
      <c r="P416" t="n">
        <v>0</v>
      </c>
      <c r="Q416" t="n">
        <v>0</v>
      </c>
      <c r="R416" s="2" t="inlineStr"/>
    </row>
    <row r="417" ht="15" customHeight="1">
      <c r="A417" t="inlineStr">
        <is>
          <t>A 33608-2025</t>
        </is>
      </c>
      <c r="B417" s="1" t="n">
        <v>45841.61747685185</v>
      </c>
      <c r="C417" s="1" t="n">
        <v>45910</v>
      </c>
      <c r="D417" t="inlineStr">
        <is>
          <t>NORRBOTTENS LÄN</t>
        </is>
      </c>
      <c r="E417" t="inlineStr">
        <is>
          <t>LULEÅ</t>
        </is>
      </c>
      <c r="G417" t="n">
        <v>3.8</v>
      </c>
      <c r="H417" t="n">
        <v>0</v>
      </c>
      <c r="I417" t="n">
        <v>0</v>
      </c>
      <c r="J417" t="n">
        <v>0</v>
      </c>
      <c r="K417" t="n">
        <v>0</v>
      </c>
      <c r="L417" t="n">
        <v>0</v>
      </c>
      <c r="M417" t="n">
        <v>0</v>
      </c>
      <c r="N417" t="n">
        <v>0</v>
      </c>
      <c r="O417" t="n">
        <v>0</v>
      </c>
      <c r="P417" t="n">
        <v>0</v>
      </c>
      <c r="Q417" t="n">
        <v>0</v>
      </c>
      <c r="R417" s="2" t="inlineStr"/>
    </row>
    <row r="418" ht="15" customHeight="1">
      <c r="A418" t="inlineStr">
        <is>
          <t>A 44330-2024</t>
        </is>
      </c>
      <c r="B418" s="1" t="n">
        <v>45573.60027777778</v>
      </c>
      <c r="C418" s="1" t="n">
        <v>45910</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42103-2024</t>
        </is>
      </c>
      <c r="B419" s="1" t="n">
        <v>45562</v>
      </c>
      <c r="C419" s="1" t="n">
        <v>45910</v>
      </c>
      <c r="D419" t="inlineStr">
        <is>
          <t>NORRBOTTENS LÄN</t>
        </is>
      </c>
      <c r="E419" t="inlineStr">
        <is>
          <t>LULEÅ</t>
        </is>
      </c>
      <c r="G419" t="n">
        <v>1.5</v>
      </c>
      <c r="H419" t="n">
        <v>0</v>
      </c>
      <c r="I419" t="n">
        <v>0</v>
      </c>
      <c r="J419" t="n">
        <v>0</v>
      </c>
      <c r="K419" t="n">
        <v>0</v>
      </c>
      <c r="L419" t="n">
        <v>0</v>
      </c>
      <c r="M419" t="n">
        <v>0</v>
      </c>
      <c r="N419" t="n">
        <v>0</v>
      </c>
      <c r="O419" t="n">
        <v>0</v>
      </c>
      <c r="P419" t="n">
        <v>0</v>
      </c>
      <c r="Q419" t="n">
        <v>0</v>
      </c>
      <c r="R419" s="2" t="inlineStr"/>
    </row>
    <row r="420" ht="15" customHeight="1">
      <c r="A420" t="inlineStr">
        <is>
          <t>A 46869-2024</t>
        </is>
      </c>
      <c r="B420" s="1" t="n">
        <v>45583</v>
      </c>
      <c r="C420" s="1" t="n">
        <v>45910</v>
      </c>
      <c r="D420" t="inlineStr">
        <is>
          <t>NORRBOTTENS LÄN</t>
        </is>
      </c>
      <c r="E420" t="inlineStr">
        <is>
          <t>LULEÅ</t>
        </is>
      </c>
      <c r="G420" t="n">
        <v>4.4</v>
      </c>
      <c r="H420" t="n">
        <v>0</v>
      </c>
      <c r="I420" t="n">
        <v>0</v>
      </c>
      <c r="J420" t="n">
        <v>0</v>
      </c>
      <c r="K420" t="n">
        <v>0</v>
      </c>
      <c r="L420" t="n">
        <v>0</v>
      </c>
      <c r="M420" t="n">
        <v>0</v>
      </c>
      <c r="N420" t="n">
        <v>0</v>
      </c>
      <c r="O420" t="n">
        <v>0</v>
      </c>
      <c r="P420" t="n">
        <v>0</v>
      </c>
      <c r="Q420" t="n">
        <v>0</v>
      </c>
      <c r="R420" s="2" t="inlineStr"/>
    </row>
    <row r="421" ht="15" customHeight="1">
      <c r="A421" t="inlineStr">
        <is>
          <t>A 37948-2025</t>
        </is>
      </c>
      <c r="B421" s="1" t="n">
        <v>45881.61543981481</v>
      </c>
      <c r="C421" s="1" t="n">
        <v>45910</v>
      </c>
      <c r="D421" t="inlineStr">
        <is>
          <t>NORRBOTTENS LÄN</t>
        </is>
      </c>
      <c r="E421" t="inlineStr">
        <is>
          <t>LULEÅ</t>
        </is>
      </c>
      <c r="G421" t="n">
        <v>2.7</v>
      </c>
      <c r="H421" t="n">
        <v>0</v>
      </c>
      <c r="I421" t="n">
        <v>0</v>
      </c>
      <c r="J421" t="n">
        <v>0</v>
      </c>
      <c r="K421" t="n">
        <v>0</v>
      </c>
      <c r="L421" t="n">
        <v>0</v>
      </c>
      <c r="M421" t="n">
        <v>0</v>
      </c>
      <c r="N421" t="n">
        <v>0</v>
      </c>
      <c r="O421" t="n">
        <v>0</v>
      </c>
      <c r="P421" t="n">
        <v>0</v>
      </c>
      <c r="Q421" t="n">
        <v>0</v>
      </c>
      <c r="R421" s="2" t="inlineStr"/>
    </row>
    <row r="422" ht="15" customHeight="1">
      <c r="A422" t="inlineStr">
        <is>
          <t>A 33651-2025</t>
        </is>
      </c>
      <c r="B422" s="1" t="n">
        <v>45841.65722222222</v>
      </c>
      <c r="C422" s="1" t="n">
        <v>45910</v>
      </c>
      <c r="D422" t="inlineStr">
        <is>
          <t>NORRBOTTENS LÄN</t>
        </is>
      </c>
      <c r="E422" t="inlineStr">
        <is>
          <t>LULEÅ</t>
        </is>
      </c>
      <c r="G422" t="n">
        <v>15.5</v>
      </c>
      <c r="H422" t="n">
        <v>0</v>
      </c>
      <c r="I422" t="n">
        <v>0</v>
      </c>
      <c r="J422" t="n">
        <v>0</v>
      </c>
      <c r="K422" t="n">
        <v>0</v>
      </c>
      <c r="L422" t="n">
        <v>0</v>
      </c>
      <c r="M422" t="n">
        <v>0</v>
      </c>
      <c r="N422" t="n">
        <v>0</v>
      </c>
      <c r="O422" t="n">
        <v>0</v>
      </c>
      <c r="P422" t="n">
        <v>0</v>
      </c>
      <c r="Q422" t="n">
        <v>0</v>
      </c>
      <c r="R422" s="2" t="inlineStr"/>
    </row>
    <row r="423" ht="15" customHeight="1">
      <c r="A423" t="inlineStr">
        <is>
          <t>A 8862-2024</t>
        </is>
      </c>
      <c r="B423" s="1" t="n">
        <v>45356.96326388889</v>
      </c>
      <c r="C423" s="1" t="n">
        <v>45910</v>
      </c>
      <c r="D423" t="inlineStr">
        <is>
          <t>NORRBOTTENS LÄN</t>
        </is>
      </c>
      <c r="E423" t="inlineStr">
        <is>
          <t>LULEÅ</t>
        </is>
      </c>
      <c r="G423" t="n">
        <v>10.6</v>
      </c>
      <c r="H423" t="n">
        <v>0</v>
      </c>
      <c r="I423" t="n">
        <v>0</v>
      </c>
      <c r="J423" t="n">
        <v>0</v>
      </c>
      <c r="K423" t="n">
        <v>0</v>
      </c>
      <c r="L423" t="n">
        <v>0</v>
      </c>
      <c r="M423" t="n">
        <v>0</v>
      </c>
      <c r="N423" t="n">
        <v>0</v>
      </c>
      <c r="O423" t="n">
        <v>0</v>
      </c>
      <c r="P423" t="n">
        <v>0</v>
      </c>
      <c r="Q423" t="n">
        <v>0</v>
      </c>
      <c r="R423" s="2" t="inlineStr"/>
    </row>
    <row r="424" ht="15" customHeight="1">
      <c r="A424" t="inlineStr">
        <is>
          <t>A 46395-2020</t>
        </is>
      </c>
      <c r="B424" s="1" t="n">
        <v>44094</v>
      </c>
      <c r="C424" s="1" t="n">
        <v>45910</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55076-2024</t>
        </is>
      </c>
      <c r="B425" s="1" t="n">
        <v>45621.42574074074</v>
      </c>
      <c r="C425" s="1" t="n">
        <v>45910</v>
      </c>
      <c r="D425" t="inlineStr">
        <is>
          <t>NORRBOTTENS LÄN</t>
        </is>
      </c>
      <c r="E425" t="inlineStr">
        <is>
          <t>LULEÅ</t>
        </is>
      </c>
      <c r="G425" t="n">
        <v>6.2</v>
      </c>
      <c r="H425" t="n">
        <v>0</v>
      </c>
      <c r="I425" t="n">
        <v>0</v>
      </c>
      <c r="J425" t="n">
        <v>0</v>
      </c>
      <c r="K425" t="n">
        <v>0</v>
      </c>
      <c r="L425" t="n">
        <v>0</v>
      </c>
      <c r="M425" t="n">
        <v>0</v>
      </c>
      <c r="N425" t="n">
        <v>0</v>
      </c>
      <c r="O425" t="n">
        <v>0</v>
      </c>
      <c r="P425" t="n">
        <v>0</v>
      </c>
      <c r="Q425" t="n">
        <v>0</v>
      </c>
      <c r="R425" s="2" t="inlineStr"/>
    </row>
    <row r="426" ht="15" customHeight="1">
      <c r="A426" t="inlineStr">
        <is>
          <t>A 695-2025</t>
        </is>
      </c>
      <c r="B426" s="1" t="n">
        <v>45663</v>
      </c>
      <c r="C426" s="1" t="n">
        <v>45910</v>
      </c>
      <c r="D426" t="inlineStr">
        <is>
          <t>NORRBOTTENS LÄN</t>
        </is>
      </c>
      <c r="E426" t="inlineStr">
        <is>
          <t>LULEÅ</t>
        </is>
      </c>
      <c r="G426" t="n">
        <v>2.8</v>
      </c>
      <c r="H426" t="n">
        <v>0</v>
      </c>
      <c r="I426" t="n">
        <v>0</v>
      </c>
      <c r="J426" t="n">
        <v>0</v>
      </c>
      <c r="K426" t="n">
        <v>0</v>
      </c>
      <c r="L426" t="n">
        <v>0</v>
      </c>
      <c r="M426" t="n">
        <v>0</v>
      </c>
      <c r="N426" t="n">
        <v>0</v>
      </c>
      <c r="O426" t="n">
        <v>0</v>
      </c>
      <c r="P426" t="n">
        <v>0</v>
      </c>
      <c r="Q426" t="n">
        <v>0</v>
      </c>
      <c r="R426" s="2" t="inlineStr"/>
    </row>
    <row r="427" ht="15" customHeight="1">
      <c r="A427" t="inlineStr">
        <is>
          <t>A 58823-2024</t>
        </is>
      </c>
      <c r="B427" s="1" t="n">
        <v>45635</v>
      </c>
      <c r="C427" s="1" t="n">
        <v>45910</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26587-2024</t>
        </is>
      </c>
      <c r="B428" s="1" t="n">
        <v>45469.67459490741</v>
      </c>
      <c r="C428" s="1" t="n">
        <v>45910</v>
      </c>
      <c r="D428" t="inlineStr">
        <is>
          <t>NORRBOTTENS LÄN</t>
        </is>
      </c>
      <c r="E428" t="inlineStr">
        <is>
          <t>LULEÅ</t>
        </is>
      </c>
      <c r="G428" t="n">
        <v>3.9</v>
      </c>
      <c r="H428" t="n">
        <v>0</v>
      </c>
      <c r="I428" t="n">
        <v>0</v>
      </c>
      <c r="J428" t="n">
        <v>0</v>
      </c>
      <c r="K428" t="n">
        <v>0</v>
      </c>
      <c r="L428" t="n">
        <v>0</v>
      </c>
      <c r="M428" t="n">
        <v>0</v>
      </c>
      <c r="N428" t="n">
        <v>0</v>
      </c>
      <c r="O428" t="n">
        <v>0</v>
      </c>
      <c r="P428" t="n">
        <v>0</v>
      </c>
      <c r="Q428" t="n">
        <v>0</v>
      </c>
      <c r="R428" s="2" t="inlineStr"/>
    </row>
    <row r="429" ht="15" customHeight="1">
      <c r="A429" t="inlineStr">
        <is>
          <t>A 18208-2023</t>
        </is>
      </c>
      <c r="B429" s="1" t="n">
        <v>45040</v>
      </c>
      <c r="C429" s="1" t="n">
        <v>45910</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38841-2025</t>
        </is>
      </c>
      <c r="B430" s="1" t="n">
        <v>45887.53751157408</v>
      </c>
      <c r="C430" s="1" t="n">
        <v>45910</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28275-2022</t>
        </is>
      </c>
      <c r="B431" s="1" t="n">
        <v>44746</v>
      </c>
      <c r="C431" s="1" t="n">
        <v>45910</v>
      </c>
      <c r="D431" t="inlineStr">
        <is>
          <t>NORRBOTTENS LÄN</t>
        </is>
      </c>
      <c r="E431" t="inlineStr">
        <is>
          <t>LULEÅ</t>
        </is>
      </c>
      <c r="G431" t="n">
        <v>2.7</v>
      </c>
      <c r="H431" t="n">
        <v>0</v>
      </c>
      <c r="I431" t="n">
        <v>0</v>
      </c>
      <c r="J431" t="n">
        <v>0</v>
      </c>
      <c r="K431" t="n">
        <v>0</v>
      </c>
      <c r="L431" t="n">
        <v>0</v>
      </c>
      <c r="M431" t="n">
        <v>0</v>
      </c>
      <c r="N431" t="n">
        <v>0</v>
      </c>
      <c r="O431" t="n">
        <v>0</v>
      </c>
      <c r="P431" t="n">
        <v>0</v>
      </c>
      <c r="Q431" t="n">
        <v>0</v>
      </c>
      <c r="R431" s="2" t="inlineStr"/>
    </row>
    <row r="432" ht="15" customHeight="1">
      <c r="A432" t="inlineStr">
        <is>
          <t>A 52240-2023</t>
        </is>
      </c>
      <c r="B432" s="1" t="n">
        <v>45224</v>
      </c>
      <c r="C432" s="1" t="n">
        <v>45910</v>
      </c>
      <c r="D432" t="inlineStr">
        <is>
          <t>NORRBOTTENS LÄN</t>
        </is>
      </c>
      <c r="E432" t="inlineStr">
        <is>
          <t>LULEÅ</t>
        </is>
      </c>
      <c r="G432" t="n">
        <v>4.5</v>
      </c>
      <c r="H432" t="n">
        <v>0</v>
      </c>
      <c r="I432" t="n">
        <v>0</v>
      </c>
      <c r="J432" t="n">
        <v>0</v>
      </c>
      <c r="K432" t="n">
        <v>0</v>
      </c>
      <c r="L432" t="n">
        <v>0</v>
      </c>
      <c r="M432" t="n">
        <v>0</v>
      </c>
      <c r="N432" t="n">
        <v>0</v>
      </c>
      <c r="O432" t="n">
        <v>0</v>
      </c>
      <c r="P432" t="n">
        <v>0</v>
      </c>
      <c r="Q432" t="n">
        <v>0</v>
      </c>
      <c r="R432" s="2" t="inlineStr"/>
    </row>
    <row r="433" ht="15" customHeight="1">
      <c r="A433" t="inlineStr">
        <is>
          <t>A 704-2025</t>
        </is>
      </c>
      <c r="B433" s="1" t="n">
        <v>45663</v>
      </c>
      <c r="C433" s="1" t="n">
        <v>45910</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731-2025</t>
        </is>
      </c>
      <c r="B434" s="1" t="n">
        <v>45664</v>
      </c>
      <c r="C434" s="1" t="n">
        <v>45910</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23730-2023</t>
        </is>
      </c>
      <c r="B435" s="1" t="n">
        <v>45077</v>
      </c>
      <c r="C435" s="1" t="n">
        <v>45910</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6552-2024</t>
        </is>
      </c>
      <c r="B436" s="1" t="n">
        <v>45341</v>
      </c>
      <c r="C436" s="1" t="n">
        <v>45910</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38936-2025</t>
        </is>
      </c>
      <c r="B437" s="1" t="n">
        <v>45884</v>
      </c>
      <c r="C437" s="1" t="n">
        <v>45910</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38714-2025</t>
        </is>
      </c>
      <c r="B438" s="1" t="n">
        <v>45886.34490740741</v>
      </c>
      <c r="C438" s="1" t="n">
        <v>45910</v>
      </c>
      <c r="D438" t="inlineStr">
        <is>
          <t>NORRBOTTENS LÄN</t>
        </is>
      </c>
      <c r="E438" t="inlineStr">
        <is>
          <t>LULEÅ</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63024-2020</t>
        </is>
      </c>
      <c r="B439" s="1" t="n">
        <v>44162</v>
      </c>
      <c r="C439" s="1" t="n">
        <v>45910</v>
      </c>
      <c r="D439" t="inlineStr">
        <is>
          <t>NORRBOTTENS LÄN</t>
        </is>
      </c>
      <c r="E439" t="inlineStr">
        <is>
          <t>LULEÅ</t>
        </is>
      </c>
      <c r="F439" t="inlineStr">
        <is>
          <t>Kyrkan</t>
        </is>
      </c>
      <c r="G439" t="n">
        <v>27.4</v>
      </c>
      <c r="H439" t="n">
        <v>0</v>
      </c>
      <c r="I439" t="n">
        <v>0</v>
      </c>
      <c r="J439" t="n">
        <v>0</v>
      </c>
      <c r="K439" t="n">
        <v>0</v>
      </c>
      <c r="L439" t="n">
        <v>0</v>
      </c>
      <c r="M439" t="n">
        <v>0</v>
      </c>
      <c r="N439" t="n">
        <v>0</v>
      </c>
      <c r="O439" t="n">
        <v>0</v>
      </c>
      <c r="P439" t="n">
        <v>0</v>
      </c>
      <c r="Q439" t="n">
        <v>0</v>
      </c>
      <c r="R439" s="2" t="inlineStr"/>
    </row>
    <row r="440" ht="15" customHeight="1">
      <c r="A440" t="inlineStr">
        <is>
          <t>A 53985-2023</t>
        </is>
      </c>
      <c r="B440" s="1" t="n">
        <v>45225</v>
      </c>
      <c r="C440" s="1" t="n">
        <v>45910</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18053-2024</t>
        </is>
      </c>
      <c r="B441" s="1" t="n">
        <v>45420</v>
      </c>
      <c r="C441" s="1" t="n">
        <v>45910</v>
      </c>
      <c r="D441" t="inlineStr">
        <is>
          <t>NORRBOTTENS LÄN</t>
        </is>
      </c>
      <c r="E441" t="inlineStr">
        <is>
          <t>LULEÅ</t>
        </is>
      </c>
      <c r="G441" t="n">
        <v>3.7</v>
      </c>
      <c r="H441" t="n">
        <v>0</v>
      </c>
      <c r="I441" t="n">
        <v>0</v>
      </c>
      <c r="J441" t="n">
        <v>0</v>
      </c>
      <c r="K441" t="n">
        <v>0</v>
      </c>
      <c r="L441" t="n">
        <v>0</v>
      </c>
      <c r="M441" t="n">
        <v>0</v>
      </c>
      <c r="N441" t="n">
        <v>0</v>
      </c>
      <c r="O441" t="n">
        <v>0</v>
      </c>
      <c r="P441" t="n">
        <v>0</v>
      </c>
      <c r="Q441" t="n">
        <v>0</v>
      </c>
      <c r="R441" s="2" t="inlineStr"/>
    </row>
    <row r="442" ht="15" customHeight="1">
      <c r="A442" t="inlineStr">
        <is>
          <t>A 34655-2025</t>
        </is>
      </c>
      <c r="B442" s="1" t="n">
        <v>45847</v>
      </c>
      <c r="C442" s="1" t="n">
        <v>45910</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38683-2025</t>
        </is>
      </c>
      <c r="B443" s="1" t="n">
        <v>45884.65483796296</v>
      </c>
      <c r="C443" s="1" t="n">
        <v>45910</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38712-2025</t>
        </is>
      </c>
      <c r="B444" s="1" t="n">
        <v>45886.34465277778</v>
      </c>
      <c r="C444" s="1" t="n">
        <v>45910</v>
      </c>
      <c r="D444" t="inlineStr">
        <is>
          <t>NORRBOTTENS LÄN</t>
        </is>
      </c>
      <c r="E444" t="inlineStr">
        <is>
          <t>LULEÅ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58831-2024</t>
        </is>
      </c>
      <c r="B445" s="1" t="n">
        <v>45635</v>
      </c>
      <c r="C445" s="1" t="n">
        <v>45910</v>
      </c>
      <c r="D445" t="inlineStr">
        <is>
          <t>NORRBOTTENS LÄN</t>
        </is>
      </c>
      <c r="E445" t="inlineStr">
        <is>
          <t>LULEÅ</t>
        </is>
      </c>
      <c r="G445" t="n">
        <v>0.3</v>
      </c>
      <c r="H445" t="n">
        <v>0</v>
      </c>
      <c r="I445" t="n">
        <v>0</v>
      </c>
      <c r="J445" t="n">
        <v>0</v>
      </c>
      <c r="K445" t="n">
        <v>0</v>
      </c>
      <c r="L445" t="n">
        <v>0</v>
      </c>
      <c r="M445" t="n">
        <v>0</v>
      </c>
      <c r="N445" t="n">
        <v>0</v>
      </c>
      <c r="O445" t="n">
        <v>0</v>
      </c>
      <c r="P445" t="n">
        <v>0</v>
      </c>
      <c r="Q445" t="n">
        <v>0</v>
      </c>
      <c r="R445" s="2" t="inlineStr"/>
    </row>
    <row r="446" ht="15" customHeight="1">
      <c r="A446" t="inlineStr">
        <is>
          <t>A 39269-2025</t>
        </is>
      </c>
      <c r="B446" s="1" t="n">
        <v>45889.38579861111</v>
      </c>
      <c r="C446" s="1" t="n">
        <v>45910</v>
      </c>
      <c r="D446" t="inlineStr">
        <is>
          <t>NORRBOTTENS LÄN</t>
        </is>
      </c>
      <c r="E446" t="inlineStr">
        <is>
          <t>LULEÅ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2561-2022</t>
        </is>
      </c>
      <c r="B447" s="1" t="n">
        <v>44579</v>
      </c>
      <c r="C447" s="1" t="n">
        <v>45910</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38685-2025</t>
        </is>
      </c>
      <c r="B448" s="1" t="n">
        <v>45884.65607638889</v>
      </c>
      <c r="C448" s="1" t="n">
        <v>45910</v>
      </c>
      <c r="D448" t="inlineStr">
        <is>
          <t>NORRBOTTENS LÄN</t>
        </is>
      </c>
      <c r="E448" t="inlineStr">
        <is>
          <t>LULEÅ</t>
        </is>
      </c>
      <c r="G448" t="n">
        <v>1.2</v>
      </c>
      <c r="H448" t="n">
        <v>0</v>
      </c>
      <c r="I448" t="n">
        <v>0</v>
      </c>
      <c r="J448" t="n">
        <v>0</v>
      </c>
      <c r="K448" t="n">
        <v>0</v>
      </c>
      <c r="L448" t="n">
        <v>0</v>
      </c>
      <c r="M448" t="n">
        <v>0</v>
      </c>
      <c r="N448" t="n">
        <v>0</v>
      </c>
      <c r="O448" t="n">
        <v>0</v>
      </c>
      <c r="P448" t="n">
        <v>0</v>
      </c>
      <c r="Q448" t="n">
        <v>0</v>
      </c>
      <c r="R448" s="2" t="inlineStr"/>
    </row>
    <row r="449" ht="15" customHeight="1">
      <c r="A449" t="inlineStr">
        <is>
          <t>A 48059-2023</t>
        </is>
      </c>
      <c r="B449" s="1" t="n">
        <v>45204</v>
      </c>
      <c r="C449" s="1" t="n">
        <v>45910</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14196-2025</t>
        </is>
      </c>
      <c r="B450" s="1" t="n">
        <v>45740.56502314815</v>
      </c>
      <c r="C450" s="1" t="n">
        <v>45910</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49641-2024</t>
        </is>
      </c>
      <c r="B451" s="1" t="n">
        <v>45596</v>
      </c>
      <c r="C451" s="1" t="n">
        <v>45910</v>
      </c>
      <c r="D451" t="inlineStr">
        <is>
          <t>NORRBOTTENS LÄN</t>
        </is>
      </c>
      <c r="E451" t="inlineStr">
        <is>
          <t>LULEÅ</t>
        </is>
      </c>
      <c r="G451" t="n">
        <v>1.2</v>
      </c>
      <c r="H451" t="n">
        <v>0</v>
      </c>
      <c r="I451" t="n">
        <v>0</v>
      </c>
      <c r="J451" t="n">
        <v>0</v>
      </c>
      <c r="K451" t="n">
        <v>0</v>
      </c>
      <c r="L451" t="n">
        <v>0</v>
      </c>
      <c r="M451" t="n">
        <v>0</v>
      </c>
      <c r="N451" t="n">
        <v>0</v>
      </c>
      <c r="O451" t="n">
        <v>0</v>
      </c>
      <c r="P451" t="n">
        <v>0</v>
      </c>
      <c r="Q451" t="n">
        <v>0</v>
      </c>
      <c r="R451" s="2" t="inlineStr"/>
    </row>
    <row r="452" ht="15" customHeight="1">
      <c r="A452" t="inlineStr">
        <is>
          <t>A 37304-2024</t>
        </is>
      </c>
      <c r="B452" s="1" t="n">
        <v>45540</v>
      </c>
      <c r="C452" s="1" t="n">
        <v>45910</v>
      </c>
      <c r="D452" t="inlineStr">
        <is>
          <t>NORRBOTTENS LÄN</t>
        </is>
      </c>
      <c r="E452" t="inlineStr">
        <is>
          <t>LULEÅ</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34565-2025</t>
        </is>
      </c>
      <c r="B453" s="1" t="n">
        <v>45847</v>
      </c>
      <c r="C453" s="1" t="n">
        <v>45910</v>
      </c>
      <c r="D453" t="inlineStr">
        <is>
          <t>NORRBOTTENS LÄN</t>
        </is>
      </c>
      <c r="E453" t="inlineStr">
        <is>
          <t>LULEÅ</t>
        </is>
      </c>
      <c r="G453" t="n">
        <v>10.2</v>
      </c>
      <c r="H453" t="n">
        <v>0</v>
      </c>
      <c r="I453" t="n">
        <v>0</v>
      </c>
      <c r="J453" t="n">
        <v>0</v>
      </c>
      <c r="K453" t="n">
        <v>0</v>
      </c>
      <c r="L453" t="n">
        <v>0</v>
      </c>
      <c r="M453" t="n">
        <v>0</v>
      </c>
      <c r="N453" t="n">
        <v>0</v>
      </c>
      <c r="O453" t="n">
        <v>0</v>
      </c>
      <c r="P453" t="n">
        <v>0</v>
      </c>
      <c r="Q453" t="n">
        <v>0</v>
      </c>
      <c r="R453" s="2" t="inlineStr"/>
    </row>
    <row r="454" ht="15" customHeight="1">
      <c r="A454" t="inlineStr">
        <is>
          <t>A 61891-2023</t>
        </is>
      </c>
      <c r="B454" s="1" t="n">
        <v>45264</v>
      </c>
      <c r="C454" s="1" t="n">
        <v>45910</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4137-2024</t>
        </is>
      </c>
      <c r="B455" s="1" t="n">
        <v>45323</v>
      </c>
      <c r="C455" s="1" t="n">
        <v>45910</v>
      </c>
      <c r="D455" t="inlineStr">
        <is>
          <t>NORRBOTTENS LÄN</t>
        </is>
      </c>
      <c r="E455" t="inlineStr">
        <is>
          <t>LULEÅ</t>
        </is>
      </c>
      <c r="G455" t="n">
        <v>13.1</v>
      </c>
      <c r="H455" t="n">
        <v>0</v>
      </c>
      <c r="I455" t="n">
        <v>0</v>
      </c>
      <c r="J455" t="n">
        <v>0</v>
      </c>
      <c r="K455" t="n">
        <v>0</v>
      </c>
      <c r="L455" t="n">
        <v>0</v>
      </c>
      <c r="M455" t="n">
        <v>0</v>
      </c>
      <c r="N455" t="n">
        <v>0</v>
      </c>
      <c r="O455" t="n">
        <v>0</v>
      </c>
      <c r="P455" t="n">
        <v>0</v>
      </c>
      <c r="Q455" t="n">
        <v>0</v>
      </c>
      <c r="R455" s="2" t="inlineStr"/>
    </row>
    <row r="456" ht="15" customHeight="1">
      <c r="A456" t="inlineStr">
        <is>
          <t>A 29457-2023</t>
        </is>
      </c>
      <c r="B456" s="1" t="n">
        <v>45106</v>
      </c>
      <c r="C456" s="1" t="n">
        <v>45910</v>
      </c>
      <c r="D456" t="inlineStr">
        <is>
          <t>NORRBOTTENS LÄN</t>
        </is>
      </c>
      <c r="E456" t="inlineStr">
        <is>
          <t>LULEÅ</t>
        </is>
      </c>
      <c r="G456" t="n">
        <v>7</v>
      </c>
      <c r="H456" t="n">
        <v>0</v>
      </c>
      <c r="I456" t="n">
        <v>0</v>
      </c>
      <c r="J456" t="n">
        <v>0</v>
      </c>
      <c r="K456" t="n">
        <v>0</v>
      </c>
      <c r="L456" t="n">
        <v>0</v>
      </c>
      <c r="M456" t="n">
        <v>0</v>
      </c>
      <c r="N456" t="n">
        <v>0</v>
      </c>
      <c r="O456" t="n">
        <v>0</v>
      </c>
      <c r="P456" t="n">
        <v>0</v>
      </c>
      <c r="Q456" t="n">
        <v>0</v>
      </c>
      <c r="R456" s="2" t="inlineStr"/>
    </row>
    <row r="457" ht="15" customHeight="1">
      <c r="A457" t="inlineStr">
        <is>
          <t>A 56043-2021</t>
        </is>
      </c>
      <c r="B457" s="1" t="n">
        <v>44477</v>
      </c>
      <c r="C457" s="1" t="n">
        <v>45910</v>
      </c>
      <c r="D457" t="inlineStr">
        <is>
          <t>NORRBOTTENS LÄN</t>
        </is>
      </c>
      <c r="E457" t="inlineStr">
        <is>
          <t>LULEÅ</t>
        </is>
      </c>
      <c r="G457" t="n">
        <v>3.8</v>
      </c>
      <c r="H457" t="n">
        <v>0</v>
      </c>
      <c r="I457" t="n">
        <v>0</v>
      </c>
      <c r="J457" t="n">
        <v>0</v>
      </c>
      <c r="K457" t="n">
        <v>0</v>
      </c>
      <c r="L457" t="n">
        <v>0</v>
      </c>
      <c r="M457" t="n">
        <v>0</v>
      </c>
      <c r="N457" t="n">
        <v>0</v>
      </c>
      <c r="O457" t="n">
        <v>0</v>
      </c>
      <c r="P457" t="n">
        <v>0</v>
      </c>
      <c r="Q457" t="n">
        <v>0</v>
      </c>
      <c r="R457" s="2" t="inlineStr"/>
    </row>
    <row r="458" ht="15" customHeight="1">
      <c r="A458" t="inlineStr">
        <is>
          <t>A 56057-2021</t>
        </is>
      </c>
      <c r="B458" s="1" t="n">
        <v>44477</v>
      </c>
      <c r="C458" s="1" t="n">
        <v>45910</v>
      </c>
      <c r="D458" t="inlineStr">
        <is>
          <t>NORRBOTTENS LÄN</t>
        </is>
      </c>
      <c r="E458" t="inlineStr">
        <is>
          <t>LULEÅ</t>
        </is>
      </c>
      <c r="G458" t="n">
        <v>3.7</v>
      </c>
      <c r="H458" t="n">
        <v>0</v>
      </c>
      <c r="I458" t="n">
        <v>0</v>
      </c>
      <c r="J458" t="n">
        <v>0</v>
      </c>
      <c r="K458" t="n">
        <v>0</v>
      </c>
      <c r="L458" t="n">
        <v>0</v>
      </c>
      <c r="M458" t="n">
        <v>0</v>
      </c>
      <c r="N458" t="n">
        <v>0</v>
      </c>
      <c r="O458" t="n">
        <v>0</v>
      </c>
      <c r="P458" t="n">
        <v>0</v>
      </c>
      <c r="Q458" t="n">
        <v>0</v>
      </c>
      <c r="R458" s="2" t="inlineStr"/>
    </row>
    <row r="459" ht="15" customHeight="1">
      <c r="A459" t="inlineStr">
        <is>
          <t>A 39531-2025</t>
        </is>
      </c>
      <c r="B459" s="1" t="n">
        <v>45890.44831018519</v>
      </c>
      <c r="C459" s="1" t="n">
        <v>45910</v>
      </c>
      <c r="D459" t="inlineStr">
        <is>
          <t>NORRBOTTENS LÄN</t>
        </is>
      </c>
      <c r="E459" t="inlineStr">
        <is>
          <t>LULEÅ</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6739-2024</t>
        </is>
      </c>
      <c r="B460" s="1" t="n">
        <v>45342</v>
      </c>
      <c r="C460" s="1" t="n">
        <v>45910</v>
      </c>
      <c r="D460" t="inlineStr">
        <is>
          <t>NORRBOTTENS LÄN</t>
        </is>
      </c>
      <c r="E460" t="inlineStr">
        <is>
          <t>LULEÅ</t>
        </is>
      </c>
      <c r="G460" t="n">
        <v>2.1</v>
      </c>
      <c r="H460" t="n">
        <v>0</v>
      </c>
      <c r="I460" t="n">
        <v>0</v>
      </c>
      <c r="J460" t="n">
        <v>0</v>
      </c>
      <c r="K460" t="n">
        <v>0</v>
      </c>
      <c r="L460" t="n">
        <v>0</v>
      </c>
      <c r="M460" t="n">
        <v>0</v>
      </c>
      <c r="N460" t="n">
        <v>0</v>
      </c>
      <c r="O460" t="n">
        <v>0</v>
      </c>
      <c r="P460" t="n">
        <v>0</v>
      </c>
      <c r="Q460" t="n">
        <v>0</v>
      </c>
      <c r="R460" s="2" t="inlineStr"/>
    </row>
    <row r="461" ht="15" customHeight="1">
      <c r="A461" t="inlineStr">
        <is>
          <t>A 27305-2022</t>
        </is>
      </c>
      <c r="B461" s="1" t="n">
        <v>44741</v>
      </c>
      <c r="C461" s="1" t="n">
        <v>45910</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19872-2024</t>
        </is>
      </c>
      <c r="B462" s="1" t="n">
        <v>45433.45890046296</v>
      </c>
      <c r="C462" s="1" t="n">
        <v>45910</v>
      </c>
      <c r="D462" t="inlineStr">
        <is>
          <t>NORRBOTTENS LÄN</t>
        </is>
      </c>
      <c r="E462" t="inlineStr">
        <is>
          <t>LULEÅ</t>
        </is>
      </c>
      <c r="G462" t="n">
        <v>3.3</v>
      </c>
      <c r="H462" t="n">
        <v>0</v>
      </c>
      <c r="I462" t="n">
        <v>0</v>
      </c>
      <c r="J462" t="n">
        <v>0</v>
      </c>
      <c r="K462" t="n">
        <v>0</v>
      </c>
      <c r="L462" t="n">
        <v>0</v>
      </c>
      <c r="M462" t="n">
        <v>0</v>
      </c>
      <c r="N462" t="n">
        <v>0</v>
      </c>
      <c r="O462" t="n">
        <v>0</v>
      </c>
      <c r="P462" t="n">
        <v>0</v>
      </c>
      <c r="Q462" t="n">
        <v>0</v>
      </c>
      <c r="R462" s="2" t="inlineStr"/>
    </row>
    <row r="463" ht="15" customHeight="1">
      <c r="A463" t="inlineStr">
        <is>
          <t>A 15127-2023</t>
        </is>
      </c>
      <c r="B463" s="1" t="n">
        <v>45016</v>
      </c>
      <c r="C463" s="1" t="n">
        <v>45910</v>
      </c>
      <c r="D463" t="inlineStr">
        <is>
          <t>NORRBOTTENS LÄN</t>
        </is>
      </c>
      <c r="E463" t="inlineStr">
        <is>
          <t>LULEÅ</t>
        </is>
      </c>
      <c r="G463" t="n">
        <v>1.5</v>
      </c>
      <c r="H463" t="n">
        <v>0</v>
      </c>
      <c r="I463" t="n">
        <v>0</v>
      </c>
      <c r="J463" t="n">
        <v>0</v>
      </c>
      <c r="K463" t="n">
        <v>0</v>
      </c>
      <c r="L463" t="n">
        <v>0</v>
      </c>
      <c r="M463" t="n">
        <v>0</v>
      </c>
      <c r="N463" t="n">
        <v>0</v>
      </c>
      <c r="O463" t="n">
        <v>0</v>
      </c>
      <c r="P463" t="n">
        <v>0</v>
      </c>
      <c r="Q463" t="n">
        <v>0</v>
      </c>
      <c r="R463" s="2" t="inlineStr"/>
    </row>
    <row r="464" ht="15" customHeight="1">
      <c r="A464" t="inlineStr">
        <is>
          <t>A 39550-2025</t>
        </is>
      </c>
      <c r="B464" s="1" t="n">
        <v>45890.46265046296</v>
      </c>
      <c r="C464" s="1" t="n">
        <v>45910</v>
      </c>
      <c r="D464" t="inlineStr">
        <is>
          <t>NORRBOTTENS LÄN</t>
        </is>
      </c>
      <c r="E464" t="inlineStr">
        <is>
          <t>LULEÅ</t>
        </is>
      </c>
      <c r="G464" t="n">
        <v>7.4</v>
      </c>
      <c r="H464" t="n">
        <v>0</v>
      </c>
      <c r="I464" t="n">
        <v>0</v>
      </c>
      <c r="J464" t="n">
        <v>0</v>
      </c>
      <c r="K464" t="n">
        <v>0</v>
      </c>
      <c r="L464" t="n">
        <v>0</v>
      </c>
      <c r="M464" t="n">
        <v>0</v>
      </c>
      <c r="N464" t="n">
        <v>0</v>
      </c>
      <c r="O464" t="n">
        <v>0</v>
      </c>
      <c r="P464" t="n">
        <v>0</v>
      </c>
      <c r="Q464" t="n">
        <v>0</v>
      </c>
      <c r="R464" s="2" t="inlineStr"/>
    </row>
    <row r="465" ht="15" customHeight="1">
      <c r="A465" t="inlineStr">
        <is>
          <t>A 72752-2021</t>
        </is>
      </c>
      <c r="B465" s="1" t="n">
        <v>44546.92262731482</v>
      </c>
      <c r="C465" s="1" t="n">
        <v>45910</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39644-2025</t>
        </is>
      </c>
      <c r="B466" s="1" t="n">
        <v>45890.61241898148</v>
      </c>
      <c r="C466" s="1" t="n">
        <v>45910</v>
      </c>
      <c r="D466" t="inlineStr">
        <is>
          <t>NORRBOTTENS LÄN</t>
        </is>
      </c>
      <c r="E466" t="inlineStr">
        <is>
          <t>LULEÅ</t>
        </is>
      </c>
      <c r="G466" t="n">
        <v>4.6</v>
      </c>
      <c r="H466" t="n">
        <v>0</v>
      </c>
      <c r="I466" t="n">
        <v>0</v>
      </c>
      <c r="J466" t="n">
        <v>0</v>
      </c>
      <c r="K466" t="n">
        <v>0</v>
      </c>
      <c r="L466" t="n">
        <v>0</v>
      </c>
      <c r="M466" t="n">
        <v>0</v>
      </c>
      <c r="N466" t="n">
        <v>0</v>
      </c>
      <c r="O466" t="n">
        <v>0</v>
      </c>
      <c r="P466" t="n">
        <v>0</v>
      </c>
      <c r="Q466" t="n">
        <v>0</v>
      </c>
      <c r="R466" s="2" t="inlineStr"/>
    </row>
    <row r="467" ht="15" customHeight="1">
      <c r="A467" t="inlineStr">
        <is>
          <t>A 50642-2024</t>
        </is>
      </c>
      <c r="B467" s="1" t="n">
        <v>45601.68076388889</v>
      </c>
      <c r="C467" s="1" t="n">
        <v>45910</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50645-2024</t>
        </is>
      </c>
      <c r="B468" s="1" t="n">
        <v>45601.68283564815</v>
      </c>
      <c r="C468" s="1" t="n">
        <v>45910</v>
      </c>
      <c r="D468" t="inlineStr">
        <is>
          <t>NORRBOTTENS LÄN</t>
        </is>
      </c>
      <c r="E468" t="inlineStr">
        <is>
          <t>LULEÅ</t>
        </is>
      </c>
      <c r="G468" t="n">
        <v>3.8</v>
      </c>
      <c r="H468" t="n">
        <v>0</v>
      </c>
      <c r="I468" t="n">
        <v>0</v>
      </c>
      <c r="J468" t="n">
        <v>0</v>
      </c>
      <c r="K468" t="n">
        <v>0</v>
      </c>
      <c r="L468" t="n">
        <v>0</v>
      </c>
      <c r="M468" t="n">
        <v>0</v>
      </c>
      <c r="N468" t="n">
        <v>0</v>
      </c>
      <c r="O468" t="n">
        <v>0</v>
      </c>
      <c r="P468" t="n">
        <v>0</v>
      </c>
      <c r="Q468" t="n">
        <v>0</v>
      </c>
      <c r="R468" s="2" t="inlineStr"/>
    </row>
    <row r="469" ht="15" customHeight="1">
      <c r="A469" t="inlineStr">
        <is>
          <t>A 53960-2023</t>
        </is>
      </c>
      <c r="B469" s="1" t="n">
        <v>45225</v>
      </c>
      <c r="C469" s="1" t="n">
        <v>45910</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25791-2024</t>
        </is>
      </c>
      <c r="B470" s="1" t="n">
        <v>45463</v>
      </c>
      <c r="C470" s="1" t="n">
        <v>45910</v>
      </c>
      <c r="D470" t="inlineStr">
        <is>
          <t>NORRBOTTENS LÄN</t>
        </is>
      </c>
      <c r="E470" t="inlineStr">
        <is>
          <t>LULEÅ</t>
        </is>
      </c>
      <c r="G470" t="n">
        <v>3.6</v>
      </c>
      <c r="H470" t="n">
        <v>0</v>
      </c>
      <c r="I470" t="n">
        <v>0</v>
      </c>
      <c r="J470" t="n">
        <v>0</v>
      </c>
      <c r="K470" t="n">
        <v>0</v>
      </c>
      <c r="L470" t="n">
        <v>0</v>
      </c>
      <c r="M470" t="n">
        <v>0</v>
      </c>
      <c r="N470" t="n">
        <v>0</v>
      </c>
      <c r="O470" t="n">
        <v>0</v>
      </c>
      <c r="P470" t="n">
        <v>0</v>
      </c>
      <c r="Q470" t="n">
        <v>0</v>
      </c>
      <c r="R470" s="2" t="inlineStr"/>
    </row>
    <row r="471" ht="15" customHeight="1">
      <c r="A471" t="inlineStr">
        <is>
          <t>A 4347-2025</t>
        </is>
      </c>
      <c r="B471" s="1" t="n">
        <v>45685.92931712963</v>
      </c>
      <c r="C471" s="1" t="n">
        <v>45910</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40464-2025</t>
        </is>
      </c>
      <c r="B472" s="1" t="n">
        <v>45895.65347222222</v>
      </c>
      <c r="C472" s="1" t="n">
        <v>45910</v>
      </c>
      <c r="D472" t="inlineStr">
        <is>
          <t>NORRBOTTENS LÄN</t>
        </is>
      </c>
      <c r="E472" t="inlineStr">
        <is>
          <t>LULEÅ</t>
        </is>
      </c>
      <c r="G472" t="n">
        <v>6.9</v>
      </c>
      <c r="H472" t="n">
        <v>0</v>
      </c>
      <c r="I472" t="n">
        <v>0</v>
      </c>
      <c r="J472" t="n">
        <v>0</v>
      </c>
      <c r="K472" t="n">
        <v>0</v>
      </c>
      <c r="L472" t="n">
        <v>0</v>
      </c>
      <c r="M472" t="n">
        <v>0</v>
      </c>
      <c r="N472" t="n">
        <v>0</v>
      </c>
      <c r="O472" t="n">
        <v>0</v>
      </c>
      <c r="P472" t="n">
        <v>0</v>
      </c>
      <c r="Q472" t="n">
        <v>0</v>
      </c>
      <c r="R472" s="2" t="inlineStr"/>
    </row>
    <row r="473" ht="15" customHeight="1">
      <c r="A473" t="inlineStr">
        <is>
          <t>A 9250-2025</t>
        </is>
      </c>
      <c r="B473" s="1" t="n">
        <v>45714</v>
      </c>
      <c r="C473" s="1" t="n">
        <v>45910</v>
      </c>
      <c r="D473" t="inlineStr">
        <is>
          <t>NORRBOTTENS LÄN</t>
        </is>
      </c>
      <c r="E473" t="inlineStr">
        <is>
          <t>LULEÅ</t>
        </is>
      </c>
      <c r="G473" t="n">
        <v>2.1</v>
      </c>
      <c r="H473" t="n">
        <v>0</v>
      </c>
      <c r="I473" t="n">
        <v>0</v>
      </c>
      <c r="J473" t="n">
        <v>0</v>
      </c>
      <c r="K473" t="n">
        <v>0</v>
      </c>
      <c r="L473" t="n">
        <v>0</v>
      </c>
      <c r="M473" t="n">
        <v>0</v>
      </c>
      <c r="N473" t="n">
        <v>0</v>
      </c>
      <c r="O473" t="n">
        <v>0</v>
      </c>
      <c r="P473" t="n">
        <v>0</v>
      </c>
      <c r="Q473" t="n">
        <v>0</v>
      </c>
      <c r="R473" s="2" t="inlineStr"/>
    </row>
    <row r="474" ht="15" customHeight="1">
      <c r="A474" t="inlineStr">
        <is>
          <t>A 37935-2024</t>
        </is>
      </c>
      <c r="B474" s="1" t="n">
        <v>45544</v>
      </c>
      <c r="C474" s="1" t="n">
        <v>45910</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31067-2023</t>
        </is>
      </c>
      <c r="B475" s="1" t="n">
        <v>45113</v>
      </c>
      <c r="C475" s="1" t="n">
        <v>45910</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row>
    <row r="476" ht="15" customHeight="1">
      <c r="A476" t="inlineStr">
        <is>
          <t>A 26267-2022</t>
        </is>
      </c>
      <c r="B476" s="1" t="n">
        <v>44735.5158912037</v>
      </c>
      <c r="C476" s="1" t="n">
        <v>45910</v>
      </c>
      <c r="D476" t="inlineStr">
        <is>
          <t>NORRBOTTENS LÄN</t>
        </is>
      </c>
      <c r="E476" t="inlineStr">
        <is>
          <t>LULEÅ</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40643-2025</t>
        </is>
      </c>
      <c r="B477" s="1" t="n">
        <v>45896.61263888889</v>
      </c>
      <c r="C477" s="1" t="n">
        <v>45910</v>
      </c>
      <c r="D477" t="inlineStr">
        <is>
          <t>NORRBOTTENS LÄN</t>
        </is>
      </c>
      <c r="E477" t="inlineStr">
        <is>
          <t>LULEÅ</t>
        </is>
      </c>
      <c r="G477" t="n">
        <v>4.1</v>
      </c>
      <c r="H477" t="n">
        <v>0</v>
      </c>
      <c r="I477" t="n">
        <v>0</v>
      </c>
      <c r="J477" t="n">
        <v>0</v>
      </c>
      <c r="K477" t="n">
        <v>0</v>
      </c>
      <c r="L477" t="n">
        <v>0</v>
      </c>
      <c r="M477" t="n">
        <v>0</v>
      </c>
      <c r="N477" t="n">
        <v>0</v>
      </c>
      <c r="O477" t="n">
        <v>0</v>
      </c>
      <c r="P477" t="n">
        <v>0</v>
      </c>
      <c r="Q477" t="n">
        <v>0</v>
      </c>
      <c r="R477" s="2" t="inlineStr"/>
    </row>
    <row r="478" ht="15" customHeight="1">
      <c r="A478" t="inlineStr">
        <is>
          <t>A 40695-2025</t>
        </is>
      </c>
      <c r="B478" s="1" t="n">
        <v>45897.28637731481</v>
      </c>
      <c r="C478" s="1" t="n">
        <v>45910</v>
      </c>
      <c r="D478" t="inlineStr">
        <is>
          <t>NORRBOTTENS LÄN</t>
        </is>
      </c>
      <c r="E478" t="inlineStr">
        <is>
          <t>LULEÅ</t>
        </is>
      </c>
      <c r="G478" t="n">
        <v>2.4</v>
      </c>
      <c r="H478" t="n">
        <v>0</v>
      </c>
      <c r="I478" t="n">
        <v>0</v>
      </c>
      <c r="J478" t="n">
        <v>0</v>
      </c>
      <c r="K478" t="n">
        <v>0</v>
      </c>
      <c r="L478" t="n">
        <v>0</v>
      </c>
      <c r="M478" t="n">
        <v>0</v>
      </c>
      <c r="N478" t="n">
        <v>0</v>
      </c>
      <c r="O478" t="n">
        <v>0</v>
      </c>
      <c r="P478" t="n">
        <v>0</v>
      </c>
      <c r="Q478" t="n">
        <v>0</v>
      </c>
      <c r="R478" s="2" t="inlineStr"/>
    </row>
    <row r="479" ht="15" customHeight="1">
      <c r="A479" t="inlineStr">
        <is>
          <t>A 17899-2025</t>
        </is>
      </c>
      <c r="B479" s="1" t="n">
        <v>45758.69832175926</v>
      </c>
      <c r="C479" s="1" t="n">
        <v>45910</v>
      </c>
      <c r="D479" t="inlineStr">
        <is>
          <t>NORRBOTTENS LÄN</t>
        </is>
      </c>
      <c r="E479" t="inlineStr">
        <is>
          <t>LULEÅ</t>
        </is>
      </c>
      <c r="G479" t="n">
        <v>3.1</v>
      </c>
      <c r="H479" t="n">
        <v>0</v>
      </c>
      <c r="I479" t="n">
        <v>0</v>
      </c>
      <c r="J479" t="n">
        <v>0</v>
      </c>
      <c r="K479" t="n">
        <v>0</v>
      </c>
      <c r="L479" t="n">
        <v>0</v>
      </c>
      <c r="M479" t="n">
        <v>0</v>
      </c>
      <c r="N479" t="n">
        <v>0</v>
      </c>
      <c r="O479" t="n">
        <v>0</v>
      </c>
      <c r="P479" t="n">
        <v>0</v>
      </c>
      <c r="Q479" t="n">
        <v>0</v>
      </c>
      <c r="R479" s="2" t="inlineStr"/>
    </row>
    <row r="480" ht="15" customHeight="1">
      <c r="A480" t="inlineStr">
        <is>
          <t>A 1683-2025</t>
        </is>
      </c>
      <c r="B480" s="1" t="n">
        <v>45670.69847222222</v>
      </c>
      <c r="C480" s="1" t="n">
        <v>45910</v>
      </c>
      <c r="D480" t="inlineStr">
        <is>
          <t>NORRBOTTENS LÄN</t>
        </is>
      </c>
      <c r="E480" t="inlineStr">
        <is>
          <t>LULEÅ</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8750-2025</t>
        </is>
      </c>
      <c r="B481" s="1" t="n">
        <v>45712.56173611111</v>
      </c>
      <c r="C481" s="1" t="n">
        <v>45910</v>
      </c>
      <c r="D481" t="inlineStr">
        <is>
          <t>NORRBOTTENS LÄN</t>
        </is>
      </c>
      <c r="E481" t="inlineStr">
        <is>
          <t>LULEÅ</t>
        </is>
      </c>
      <c r="G481" t="n">
        <v>10.8</v>
      </c>
      <c r="H481" t="n">
        <v>0</v>
      </c>
      <c r="I481" t="n">
        <v>0</v>
      </c>
      <c r="J481" t="n">
        <v>0</v>
      </c>
      <c r="K481" t="n">
        <v>0</v>
      </c>
      <c r="L481" t="n">
        <v>0</v>
      </c>
      <c r="M481" t="n">
        <v>0</v>
      </c>
      <c r="N481" t="n">
        <v>0</v>
      </c>
      <c r="O481" t="n">
        <v>0</v>
      </c>
      <c r="P481" t="n">
        <v>0</v>
      </c>
      <c r="Q481" t="n">
        <v>0</v>
      </c>
      <c r="R481" s="2" t="inlineStr"/>
    </row>
    <row r="482" ht="15" customHeight="1">
      <c r="A482" t="inlineStr">
        <is>
          <t>A 40644-2025</t>
        </is>
      </c>
      <c r="B482" s="1" t="n">
        <v>45896.6166087963</v>
      </c>
      <c r="C482" s="1" t="n">
        <v>45910</v>
      </c>
      <c r="D482" t="inlineStr">
        <is>
          <t>NORRBOTTENS LÄN</t>
        </is>
      </c>
      <c r="E482" t="inlineStr">
        <is>
          <t>LULEÅ</t>
        </is>
      </c>
      <c r="G482" t="n">
        <v>4.1</v>
      </c>
      <c r="H482" t="n">
        <v>0</v>
      </c>
      <c r="I482" t="n">
        <v>0</v>
      </c>
      <c r="J482" t="n">
        <v>0</v>
      </c>
      <c r="K482" t="n">
        <v>0</v>
      </c>
      <c r="L482" t="n">
        <v>0</v>
      </c>
      <c r="M482" t="n">
        <v>0</v>
      </c>
      <c r="N482" t="n">
        <v>0</v>
      </c>
      <c r="O482" t="n">
        <v>0</v>
      </c>
      <c r="P482" t="n">
        <v>0</v>
      </c>
      <c r="Q482" t="n">
        <v>0</v>
      </c>
      <c r="R482" s="2" t="inlineStr"/>
    </row>
    <row r="483" ht="15" customHeight="1">
      <c r="A483" t="inlineStr">
        <is>
          <t>A 60387-2024</t>
        </is>
      </c>
      <c r="B483" s="1" t="n">
        <v>45643.48357638889</v>
      </c>
      <c r="C483" s="1" t="n">
        <v>45910</v>
      </c>
      <c r="D483" t="inlineStr">
        <is>
          <t>NORRBOTTENS LÄN</t>
        </is>
      </c>
      <c r="E483" t="inlineStr">
        <is>
          <t>LULEÅ</t>
        </is>
      </c>
      <c r="G483" t="n">
        <v>3.4</v>
      </c>
      <c r="H483" t="n">
        <v>0</v>
      </c>
      <c r="I483" t="n">
        <v>0</v>
      </c>
      <c r="J483" t="n">
        <v>0</v>
      </c>
      <c r="K483" t="n">
        <v>0</v>
      </c>
      <c r="L483" t="n">
        <v>0</v>
      </c>
      <c r="M483" t="n">
        <v>0</v>
      </c>
      <c r="N483" t="n">
        <v>0</v>
      </c>
      <c r="O483" t="n">
        <v>0</v>
      </c>
      <c r="P483" t="n">
        <v>0</v>
      </c>
      <c r="Q483" t="n">
        <v>0</v>
      </c>
      <c r="R483" s="2" t="inlineStr"/>
    </row>
    <row r="484" ht="15" customHeight="1">
      <c r="A484" t="inlineStr">
        <is>
          <t>A 45182-2024</t>
        </is>
      </c>
      <c r="B484" s="1" t="n">
        <v>45575.66403935185</v>
      </c>
      <c r="C484" s="1" t="n">
        <v>45910</v>
      </c>
      <c r="D484" t="inlineStr">
        <is>
          <t>NORRBOTTENS LÄN</t>
        </is>
      </c>
      <c r="E484" t="inlineStr">
        <is>
          <t>LULEÅ</t>
        </is>
      </c>
      <c r="G484" t="n">
        <v>0.9</v>
      </c>
      <c r="H484" t="n">
        <v>0</v>
      </c>
      <c r="I484" t="n">
        <v>0</v>
      </c>
      <c r="J484" t="n">
        <v>0</v>
      </c>
      <c r="K484" t="n">
        <v>0</v>
      </c>
      <c r="L484" t="n">
        <v>0</v>
      </c>
      <c r="M484" t="n">
        <v>0</v>
      </c>
      <c r="N484" t="n">
        <v>0</v>
      </c>
      <c r="O484" t="n">
        <v>0</v>
      </c>
      <c r="P484" t="n">
        <v>0</v>
      </c>
      <c r="Q484" t="n">
        <v>0</v>
      </c>
      <c r="R484" s="2" t="inlineStr"/>
    </row>
    <row r="485" ht="15" customHeight="1">
      <c r="A485" t="inlineStr">
        <is>
          <t>A 23632-2021</t>
        </is>
      </c>
      <c r="B485" s="1" t="n">
        <v>44334</v>
      </c>
      <c r="C485" s="1" t="n">
        <v>45910</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14128-2023</t>
        </is>
      </c>
      <c r="B486" s="1" t="n">
        <v>45009</v>
      </c>
      <c r="C486" s="1" t="n">
        <v>45910</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35682-2025</t>
        </is>
      </c>
      <c r="B487" s="1" t="n">
        <v>45859</v>
      </c>
      <c r="C487" s="1" t="n">
        <v>45910</v>
      </c>
      <c r="D487" t="inlineStr">
        <is>
          <t>NORRBOTTENS LÄN</t>
        </is>
      </c>
      <c r="E487" t="inlineStr">
        <is>
          <t>LULEÅ</t>
        </is>
      </c>
      <c r="G487" t="n">
        <v>5.2</v>
      </c>
      <c r="H487" t="n">
        <v>0</v>
      </c>
      <c r="I487" t="n">
        <v>0</v>
      </c>
      <c r="J487" t="n">
        <v>0</v>
      </c>
      <c r="K487" t="n">
        <v>0</v>
      </c>
      <c r="L487" t="n">
        <v>0</v>
      </c>
      <c r="M487" t="n">
        <v>0</v>
      </c>
      <c r="N487" t="n">
        <v>0</v>
      </c>
      <c r="O487" t="n">
        <v>0</v>
      </c>
      <c r="P487" t="n">
        <v>0</v>
      </c>
      <c r="Q487" t="n">
        <v>0</v>
      </c>
      <c r="R487" s="2" t="inlineStr"/>
    </row>
    <row r="488" ht="15" customHeight="1">
      <c r="A488" t="inlineStr">
        <is>
          <t>A 19986-2025</t>
        </is>
      </c>
      <c r="B488" s="1" t="n">
        <v>45771.71979166667</v>
      </c>
      <c r="C488" s="1" t="n">
        <v>45910</v>
      </c>
      <c r="D488" t="inlineStr">
        <is>
          <t>NORRBOTTENS LÄN</t>
        </is>
      </c>
      <c r="E488" t="inlineStr">
        <is>
          <t>LULEÅ</t>
        </is>
      </c>
      <c r="F488" t="inlineStr">
        <is>
          <t>Naturvårdsverket</t>
        </is>
      </c>
      <c r="G488" t="n">
        <v>1.3</v>
      </c>
      <c r="H488" t="n">
        <v>0</v>
      </c>
      <c r="I488" t="n">
        <v>0</v>
      </c>
      <c r="J488" t="n">
        <v>0</v>
      </c>
      <c r="K488" t="n">
        <v>0</v>
      </c>
      <c r="L488" t="n">
        <v>0</v>
      </c>
      <c r="M488" t="n">
        <v>0</v>
      </c>
      <c r="N488" t="n">
        <v>0</v>
      </c>
      <c r="O488" t="n">
        <v>0</v>
      </c>
      <c r="P488" t="n">
        <v>0</v>
      </c>
      <c r="Q488" t="n">
        <v>0</v>
      </c>
      <c r="R488" s="2" t="inlineStr"/>
    </row>
    <row r="489" ht="15" customHeight="1">
      <c r="A489" t="inlineStr">
        <is>
          <t>A 40977-2025</t>
        </is>
      </c>
      <c r="B489" s="1" t="n">
        <v>45897.93575231481</v>
      </c>
      <c r="C489" s="1" t="n">
        <v>45910</v>
      </c>
      <c r="D489" t="inlineStr">
        <is>
          <t>NORRBOTTENS LÄN</t>
        </is>
      </c>
      <c r="E489" t="inlineStr">
        <is>
          <t>LULEÅ</t>
        </is>
      </c>
      <c r="G489" t="n">
        <v>11.2</v>
      </c>
      <c r="H489" t="n">
        <v>0</v>
      </c>
      <c r="I489" t="n">
        <v>0</v>
      </c>
      <c r="J489" t="n">
        <v>0</v>
      </c>
      <c r="K489" t="n">
        <v>0</v>
      </c>
      <c r="L489" t="n">
        <v>0</v>
      </c>
      <c r="M489" t="n">
        <v>0</v>
      </c>
      <c r="N489" t="n">
        <v>0</v>
      </c>
      <c r="O489" t="n">
        <v>0</v>
      </c>
      <c r="P489" t="n">
        <v>0</v>
      </c>
      <c r="Q489" t="n">
        <v>0</v>
      </c>
      <c r="R489" s="2" t="inlineStr"/>
    </row>
    <row r="490" ht="15" customHeight="1">
      <c r="A490" t="inlineStr">
        <is>
          <t>A 454-2024</t>
        </is>
      </c>
      <c r="B490" s="1" t="n">
        <v>45296</v>
      </c>
      <c r="C490" s="1" t="n">
        <v>45910</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5688-2023</t>
        </is>
      </c>
      <c r="B491" s="1" t="n">
        <v>44960.92371527778</v>
      </c>
      <c r="C491" s="1" t="n">
        <v>45910</v>
      </c>
      <c r="D491" t="inlineStr">
        <is>
          <t>NORRBOTTENS LÄN</t>
        </is>
      </c>
      <c r="E491" t="inlineStr">
        <is>
          <t>LULEÅ</t>
        </is>
      </c>
      <c r="G491" t="n">
        <v>5.9</v>
      </c>
      <c r="H491" t="n">
        <v>0</v>
      </c>
      <c r="I491" t="n">
        <v>0</v>
      </c>
      <c r="J491" t="n">
        <v>0</v>
      </c>
      <c r="K491" t="n">
        <v>0</v>
      </c>
      <c r="L491" t="n">
        <v>0</v>
      </c>
      <c r="M491" t="n">
        <v>0</v>
      </c>
      <c r="N491" t="n">
        <v>0</v>
      </c>
      <c r="O491" t="n">
        <v>0</v>
      </c>
      <c r="P491" t="n">
        <v>0</v>
      </c>
      <c r="Q491" t="n">
        <v>0</v>
      </c>
      <c r="R491" s="2" t="inlineStr"/>
    </row>
    <row r="492" ht="15" customHeight="1">
      <c r="A492" t="inlineStr">
        <is>
          <t>A 6269-2023</t>
        </is>
      </c>
      <c r="B492" s="1" t="n">
        <v>44960</v>
      </c>
      <c r="C492" s="1" t="n">
        <v>45910</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60130-2024</t>
        </is>
      </c>
      <c r="B493" s="1" t="n">
        <v>45642.59327546296</v>
      </c>
      <c r="C493" s="1" t="n">
        <v>45910</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7382-2024</t>
        </is>
      </c>
      <c r="B494" s="1" t="n">
        <v>45345</v>
      </c>
      <c r="C494" s="1" t="n">
        <v>45910</v>
      </c>
      <c r="D494" t="inlineStr">
        <is>
          <t>NORRBOTTENS LÄN</t>
        </is>
      </c>
      <c r="E494" t="inlineStr">
        <is>
          <t>LULEÅ</t>
        </is>
      </c>
      <c r="G494" t="n">
        <v>1.7</v>
      </c>
      <c r="H494" t="n">
        <v>0</v>
      </c>
      <c r="I494" t="n">
        <v>0</v>
      </c>
      <c r="J494" t="n">
        <v>0</v>
      </c>
      <c r="K494" t="n">
        <v>0</v>
      </c>
      <c r="L494" t="n">
        <v>0</v>
      </c>
      <c r="M494" t="n">
        <v>0</v>
      </c>
      <c r="N494" t="n">
        <v>0</v>
      </c>
      <c r="O494" t="n">
        <v>0</v>
      </c>
      <c r="P494" t="n">
        <v>0</v>
      </c>
      <c r="Q494" t="n">
        <v>0</v>
      </c>
      <c r="R494" s="2" t="inlineStr"/>
    </row>
    <row r="495" ht="15" customHeight="1">
      <c r="A495" t="inlineStr">
        <is>
          <t>A 43765-2023</t>
        </is>
      </c>
      <c r="B495" s="1" t="n">
        <v>45187</v>
      </c>
      <c r="C495" s="1" t="n">
        <v>45910</v>
      </c>
      <c r="D495" t="inlineStr">
        <is>
          <t>NORRBOTTENS LÄN</t>
        </is>
      </c>
      <c r="E495" t="inlineStr">
        <is>
          <t>LULEÅ</t>
        </is>
      </c>
      <c r="G495" t="n">
        <v>13.7</v>
      </c>
      <c r="H495" t="n">
        <v>0</v>
      </c>
      <c r="I495" t="n">
        <v>0</v>
      </c>
      <c r="J495" t="n">
        <v>0</v>
      </c>
      <c r="K495" t="n">
        <v>0</v>
      </c>
      <c r="L495" t="n">
        <v>0</v>
      </c>
      <c r="M495" t="n">
        <v>0</v>
      </c>
      <c r="N495" t="n">
        <v>0</v>
      </c>
      <c r="O495" t="n">
        <v>0</v>
      </c>
      <c r="P495" t="n">
        <v>0</v>
      </c>
      <c r="Q495" t="n">
        <v>0</v>
      </c>
      <c r="R495" s="2" t="inlineStr"/>
    </row>
    <row r="496" ht="15" customHeight="1">
      <c r="A496" t="inlineStr">
        <is>
          <t>A 55747-2023</t>
        </is>
      </c>
      <c r="B496" s="1" t="n">
        <v>45232</v>
      </c>
      <c r="C496" s="1" t="n">
        <v>45910</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17439-2023</t>
        </is>
      </c>
      <c r="B497" s="1" t="n">
        <v>45035.92714120371</v>
      </c>
      <c r="C497" s="1" t="n">
        <v>45910</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35912-2025</t>
        </is>
      </c>
      <c r="B498" s="1" t="n">
        <v>45862.53150462963</v>
      </c>
      <c r="C498" s="1" t="n">
        <v>45910</v>
      </c>
      <c r="D498" t="inlineStr">
        <is>
          <t>NORRBOTTENS LÄN</t>
        </is>
      </c>
      <c r="E498" t="inlineStr">
        <is>
          <t>LULEÅ</t>
        </is>
      </c>
      <c r="G498" t="n">
        <v>5.5</v>
      </c>
      <c r="H498" t="n">
        <v>0</v>
      </c>
      <c r="I498" t="n">
        <v>0</v>
      </c>
      <c r="J498" t="n">
        <v>0</v>
      </c>
      <c r="K498" t="n">
        <v>0</v>
      </c>
      <c r="L498" t="n">
        <v>0</v>
      </c>
      <c r="M498" t="n">
        <v>0</v>
      </c>
      <c r="N498" t="n">
        <v>0</v>
      </c>
      <c r="O498" t="n">
        <v>0</v>
      </c>
      <c r="P498" t="n">
        <v>0</v>
      </c>
      <c r="Q498" t="n">
        <v>0</v>
      </c>
      <c r="R498" s="2" t="inlineStr"/>
    </row>
    <row r="499" ht="15" customHeight="1">
      <c r="A499" t="inlineStr">
        <is>
          <t>A 45857-2024</t>
        </is>
      </c>
      <c r="B499" s="1" t="n">
        <v>45580.34554398148</v>
      </c>
      <c r="C499" s="1" t="n">
        <v>45910</v>
      </c>
      <c r="D499" t="inlineStr">
        <is>
          <t>NORRBOTTENS LÄN</t>
        </is>
      </c>
      <c r="E499" t="inlineStr">
        <is>
          <t>LULEÅ</t>
        </is>
      </c>
      <c r="G499" t="n">
        <v>4.6</v>
      </c>
      <c r="H499" t="n">
        <v>0</v>
      </c>
      <c r="I499" t="n">
        <v>0</v>
      </c>
      <c r="J499" t="n">
        <v>0</v>
      </c>
      <c r="K499" t="n">
        <v>0</v>
      </c>
      <c r="L499" t="n">
        <v>0</v>
      </c>
      <c r="M499" t="n">
        <v>0</v>
      </c>
      <c r="N499" t="n">
        <v>0</v>
      </c>
      <c r="O499" t="n">
        <v>0</v>
      </c>
      <c r="P499" t="n">
        <v>0</v>
      </c>
      <c r="Q499" t="n">
        <v>0</v>
      </c>
      <c r="R499" s="2" t="inlineStr"/>
    </row>
    <row r="500" ht="15" customHeight="1">
      <c r="A500" t="inlineStr">
        <is>
          <t>A 42217-2025</t>
        </is>
      </c>
      <c r="B500" s="1" t="n">
        <v>45904.51274305556</v>
      </c>
      <c r="C500" s="1" t="n">
        <v>45910</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46547-2021</t>
        </is>
      </c>
      <c r="B501" s="1" t="n">
        <v>44445</v>
      </c>
      <c r="C501" s="1" t="n">
        <v>45910</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42218-2025</t>
        </is>
      </c>
      <c r="B502" s="1" t="n">
        <v>45904.51621527778</v>
      </c>
      <c r="C502" s="1" t="n">
        <v>45910</v>
      </c>
      <c r="D502" t="inlineStr">
        <is>
          <t>NORRBOTTENS LÄN</t>
        </is>
      </c>
      <c r="E502" t="inlineStr">
        <is>
          <t>LULEÅ</t>
        </is>
      </c>
      <c r="G502" t="n">
        <v>0.7</v>
      </c>
      <c r="H502" t="n">
        <v>0</v>
      </c>
      <c r="I502" t="n">
        <v>0</v>
      </c>
      <c r="J502" t="n">
        <v>0</v>
      </c>
      <c r="K502" t="n">
        <v>0</v>
      </c>
      <c r="L502" t="n">
        <v>0</v>
      </c>
      <c r="M502" t="n">
        <v>0</v>
      </c>
      <c r="N502" t="n">
        <v>0</v>
      </c>
      <c r="O502" t="n">
        <v>0</v>
      </c>
      <c r="P502" t="n">
        <v>0</v>
      </c>
      <c r="Q502" t="n">
        <v>0</v>
      </c>
      <c r="R502" s="2" t="inlineStr"/>
    </row>
    <row r="503" ht="15" customHeight="1">
      <c r="A503" t="inlineStr">
        <is>
          <t>A 23884-2022</t>
        </is>
      </c>
      <c r="B503" s="1" t="n">
        <v>44722.57129629629</v>
      </c>
      <c r="C503" s="1" t="n">
        <v>45910</v>
      </c>
      <c r="D503" t="inlineStr">
        <is>
          <t>NORRBOTTENS LÄN</t>
        </is>
      </c>
      <c r="E503" t="inlineStr">
        <is>
          <t>LULEÅ</t>
        </is>
      </c>
      <c r="G503" t="n">
        <v>2.1</v>
      </c>
      <c r="H503" t="n">
        <v>0</v>
      </c>
      <c r="I503" t="n">
        <v>0</v>
      </c>
      <c r="J503" t="n">
        <v>0</v>
      </c>
      <c r="K503" t="n">
        <v>0</v>
      </c>
      <c r="L503" t="n">
        <v>0</v>
      </c>
      <c r="M503" t="n">
        <v>0</v>
      </c>
      <c r="N503" t="n">
        <v>0</v>
      </c>
      <c r="O503" t="n">
        <v>0</v>
      </c>
      <c r="P503" t="n">
        <v>0</v>
      </c>
      <c r="Q503" t="n">
        <v>0</v>
      </c>
      <c r="R503" s="2" t="inlineStr"/>
    </row>
    <row r="504" ht="15" customHeight="1">
      <c r="A504" t="inlineStr">
        <is>
          <t>A 30120-2025</t>
        </is>
      </c>
      <c r="B504" s="1" t="n">
        <v>45826</v>
      </c>
      <c r="C504" s="1" t="n">
        <v>45910</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c r="U504">
        <f>HYPERLINK("https://klasma.github.io/Logging_2580/knärot/A 30120-2025 karta knärot.png", "A 30120-2025")</f>
        <v/>
      </c>
      <c r="V504">
        <f>HYPERLINK("https://klasma.github.io/Logging_2580/klagomål/A 30120-2025 FSC-klagomål.docx", "A 30120-2025")</f>
        <v/>
      </c>
      <c r="W504">
        <f>HYPERLINK("https://klasma.github.io/Logging_2580/klagomålsmail/A 30120-2025 FSC-klagomål mail.docx", "A 30120-2025")</f>
        <v/>
      </c>
      <c r="X504">
        <f>HYPERLINK("https://klasma.github.io/Logging_2580/tillsyn/A 30120-2025 tillsynsbegäran.docx", "A 30120-2025")</f>
        <v/>
      </c>
      <c r="Y504">
        <f>HYPERLINK("https://klasma.github.io/Logging_2580/tillsynsmail/A 30120-2025 tillsynsbegäran mail.docx", "A 30120-2025")</f>
        <v/>
      </c>
    </row>
    <row r="505" ht="15" customHeight="1">
      <c r="A505" t="inlineStr">
        <is>
          <t>A 9449-2023</t>
        </is>
      </c>
      <c r="B505" s="1" t="n">
        <v>44981</v>
      </c>
      <c r="C505" s="1" t="n">
        <v>45910</v>
      </c>
      <c r="D505" t="inlineStr">
        <is>
          <t>NORRBOTTENS LÄN</t>
        </is>
      </c>
      <c r="E505" t="inlineStr">
        <is>
          <t>LULEÅ</t>
        </is>
      </c>
      <c r="G505" t="n">
        <v>6.1</v>
      </c>
      <c r="H505" t="n">
        <v>0</v>
      </c>
      <c r="I505" t="n">
        <v>0</v>
      </c>
      <c r="J505" t="n">
        <v>0</v>
      </c>
      <c r="K505" t="n">
        <v>0</v>
      </c>
      <c r="L505" t="n">
        <v>0</v>
      </c>
      <c r="M505" t="n">
        <v>0</v>
      </c>
      <c r="N505" t="n">
        <v>0</v>
      </c>
      <c r="O505" t="n">
        <v>0</v>
      </c>
      <c r="P505" t="n">
        <v>0</v>
      </c>
      <c r="Q505" t="n">
        <v>0</v>
      </c>
      <c r="R505" s="2" t="inlineStr"/>
    </row>
    <row r="506" ht="15" customHeight="1">
      <c r="A506" t="inlineStr">
        <is>
          <t>A 35902-2025</t>
        </is>
      </c>
      <c r="B506" s="1" t="n">
        <v>45862.48990740741</v>
      </c>
      <c r="C506" s="1" t="n">
        <v>45910</v>
      </c>
      <c r="D506" t="inlineStr">
        <is>
          <t>NORRBOTTENS LÄN</t>
        </is>
      </c>
      <c r="E506" t="inlineStr">
        <is>
          <t>LULEÅ</t>
        </is>
      </c>
      <c r="G506" t="n">
        <v>2.1</v>
      </c>
      <c r="H506" t="n">
        <v>0</v>
      </c>
      <c r="I506" t="n">
        <v>0</v>
      </c>
      <c r="J506" t="n">
        <v>0</v>
      </c>
      <c r="K506" t="n">
        <v>0</v>
      </c>
      <c r="L506" t="n">
        <v>0</v>
      </c>
      <c r="M506" t="n">
        <v>0</v>
      </c>
      <c r="N506" t="n">
        <v>0</v>
      </c>
      <c r="O506" t="n">
        <v>0</v>
      </c>
      <c r="P506" t="n">
        <v>0</v>
      </c>
      <c r="Q506" t="n">
        <v>0</v>
      </c>
      <c r="R506" s="2" t="inlineStr"/>
    </row>
    <row r="507" ht="15" customHeight="1">
      <c r="A507" t="inlineStr">
        <is>
          <t>A 52854-2022</t>
        </is>
      </c>
      <c r="B507" s="1" t="n">
        <v>44872</v>
      </c>
      <c r="C507" s="1" t="n">
        <v>45910</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43112-2025</t>
        </is>
      </c>
      <c r="B508" s="1" t="n">
        <v>45909.66228009259</v>
      </c>
      <c r="C508" s="1" t="n">
        <v>45910</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43113-2025</t>
        </is>
      </c>
      <c r="B509" s="1" t="n">
        <v>45909.6640625</v>
      </c>
      <c r="C509" s="1" t="n">
        <v>45910</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43116-2025</t>
        </is>
      </c>
      <c r="B510" s="1" t="n">
        <v>45909.66799768519</v>
      </c>
      <c r="C510" s="1" t="n">
        <v>45910</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6841-2024</t>
        </is>
      </c>
      <c r="B511" s="1" t="n">
        <v>45342</v>
      </c>
      <c r="C511" s="1" t="n">
        <v>45910</v>
      </c>
      <c r="D511" t="inlineStr">
        <is>
          <t>NORRBOTTENS LÄN</t>
        </is>
      </c>
      <c r="E511" t="inlineStr">
        <is>
          <t>LULEÅ</t>
        </is>
      </c>
      <c r="G511" t="n">
        <v>2.8</v>
      </c>
      <c r="H511" t="n">
        <v>0</v>
      </c>
      <c r="I511" t="n">
        <v>0</v>
      </c>
      <c r="J511" t="n">
        <v>0</v>
      </c>
      <c r="K511" t="n">
        <v>0</v>
      </c>
      <c r="L511" t="n">
        <v>0</v>
      </c>
      <c r="M511" t="n">
        <v>0</v>
      </c>
      <c r="N511" t="n">
        <v>0</v>
      </c>
      <c r="O511" t="n">
        <v>0</v>
      </c>
      <c r="P511" t="n">
        <v>0</v>
      </c>
      <c r="Q511" t="n">
        <v>0</v>
      </c>
      <c r="R511" s="2" t="inlineStr"/>
    </row>
    <row r="512" ht="15" customHeight="1">
      <c r="A512" t="inlineStr">
        <is>
          <t>A 43115-2025</t>
        </is>
      </c>
      <c r="B512" s="1" t="n">
        <v>45909.66664351852</v>
      </c>
      <c r="C512" s="1" t="n">
        <v>45910</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10903-2023</t>
        </is>
      </c>
      <c r="B513" s="1" t="n">
        <v>44985</v>
      </c>
      <c r="C513" s="1" t="n">
        <v>45910</v>
      </c>
      <c r="D513" t="inlineStr">
        <is>
          <t>NORRBOTTENS LÄN</t>
        </is>
      </c>
      <c r="E513" t="inlineStr">
        <is>
          <t>LULEÅ</t>
        </is>
      </c>
      <c r="G513" t="n">
        <v>0.6</v>
      </c>
      <c r="H513" t="n">
        <v>0</v>
      </c>
      <c r="I513" t="n">
        <v>0</v>
      </c>
      <c r="J513" t="n">
        <v>0</v>
      </c>
      <c r="K513" t="n">
        <v>0</v>
      </c>
      <c r="L513" t="n">
        <v>0</v>
      </c>
      <c r="M513" t="n">
        <v>0</v>
      </c>
      <c r="N513" t="n">
        <v>0</v>
      </c>
      <c r="O513" t="n">
        <v>0</v>
      </c>
      <c r="P513" t="n">
        <v>0</v>
      </c>
      <c r="Q513" t="n">
        <v>0</v>
      </c>
      <c r="R513" s="2" t="inlineStr"/>
    </row>
    <row r="514" ht="15" customHeight="1">
      <c r="A514" t="inlineStr">
        <is>
          <t>A 35685-2025</t>
        </is>
      </c>
      <c r="B514" s="1" t="n">
        <v>45859.921875</v>
      </c>
      <c r="C514" s="1" t="n">
        <v>45910</v>
      </c>
      <c r="D514" t="inlineStr">
        <is>
          <t>NORRBOTTENS LÄN</t>
        </is>
      </c>
      <c r="E514" t="inlineStr">
        <is>
          <t>LULEÅ</t>
        </is>
      </c>
      <c r="G514" t="n">
        <v>4.7</v>
      </c>
      <c r="H514" t="n">
        <v>0</v>
      </c>
      <c r="I514" t="n">
        <v>0</v>
      </c>
      <c r="J514" t="n">
        <v>0</v>
      </c>
      <c r="K514" t="n">
        <v>0</v>
      </c>
      <c r="L514" t="n">
        <v>0</v>
      </c>
      <c r="M514" t="n">
        <v>0</v>
      </c>
      <c r="N514" t="n">
        <v>0</v>
      </c>
      <c r="O514" t="n">
        <v>0</v>
      </c>
      <c r="P514" t="n">
        <v>0</v>
      </c>
      <c r="Q514" t="n">
        <v>0</v>
      </c>
      <c r="R514" s="2" t="inlineStr"/>
    </row>
    <row r="515" ht="15" customHeight="1">
      <c r="A515" t="inlineStr">
        <is>
          <t>A 35686-2025</t>
        </is>
      </c>
      <c r="B515" s="1" t="n">
        <v>45859.92579861111</v>
      </c>
      <c r="C515" s="1" t="n">
        <v>45910</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35595-2025</t>
        </is>
      </c>
      <c r="B516" s="1" t="n">
        <v>45858.32641203704</v>
      </c>
      <c r="C516" s="1" t="n">
        <v>45910</v>
      </c>
      <c r="D516" t="inlineStr">
        <is>
          <t>NORRBOTTENS LÄN</t>
        </is>
      </c>
      <c r="E516" t="inlineStr">
        <is>
          <t>LULEÅ</t>
        </is>
      </c>
      <c r="G516" t="n">
        <v>13.1</v>
      </c>
      <c r="H516" t="n">
        <v>0</v>
      </c>
      <c r="I516" t="n">
        <v>0</v>
      </c>
      <c r="J516" t="n">
        <v>0</v>
      </c>
      <c r="K516" t="n">
        <v>0</v>
      </c>
      <c r="L516" t="n">
        <v>0</v>
      </c>
      <c r="M516" t="n">
        <v>0</v>
      </c>
      <c r="N516" t="n">
        <v>0</v>
      </c>
      <c r="O516" t="n">
        <v>0</v>
      </c>
      <c r="P516" t="n">
        <v>0</v>
      </c>
      <c r="Q516" t="n">
        <v>0</v>
      </c>
      <c r="R516" s="2" t="inlineStr"/>
    </row>
    <row r="517" ht="15" customHeight="1">
      <c r="A517" t="inlineStr">
        <is>
          <t>A 57823-2022</t>
        </is>
      </c>
      <c r="B517" s="1" t="n">
        <v>44897</v>
      </c>
      <c r="C517" s="1" t="n">
        <v>45910</v>
      </c>
      <c r="D517" t="inlineStr">
        <is>
          <t>NORRBOTTENS LÄN</t>
        </is>
      </c>
      <c r="E517" t="inlineStr">
        <is>
          <t>LULEÅ</t>
        </is>
      </c>
      <c r="G517" t="n">
        <v>6.7</v>
      </c>
      <c r="H517" t="n">
        <v>0</v>
      </c>
      <c r="I517" t="n">
        <v>0</v>
      </c>
      <c r="J517" t="n">
        <v>0</v>
      </c>
      <c r="K517" t="n">
        <v>0</v>
      </c>
      <c r="L517" t="n">
        <v>0</v>
      </c>
      <c r="M517" t="n">
        <v>0</v>
      </c>
      <c r="N517" t="n">
        <v>0</v>
      </c>
      <c r="O517" t="n">
        <v>0</v>
      </c>
      <c r="P517" t="n">
        <v>0</v>
      </c>
      <c r="Q517" t="n">
        <v>0</v>
      </c>
      <c r="R517" s="2" t="inlineStr"/>
    </row>
    <row r="518" ht="15" customHeight="1">
      <c r="A518" t="inlineStr">
        <is>
          <t>A 57825-2022</t>
        </is>
      </c>
      <c r="B518" s="1" t="n">
        <v>44897</v>
      </c>
      <c r="C518" s="1" t="n">
        <v>45910</v>
      </c>
      <c r="D518" t="inlineStr">
        <is>
          <t>NORRBOTTENS LÄN</t>
        </is>
      </c>
      <c r="E518" t="inlineStr">
        <is>
          <t>LULEÅ</t>
        </is>
      </c>
      <c r="G518" t="n">
        <v>2.2</v>
      </c>
      <c r="H518" t="n">
        <v>0</v>
      </c>
      <c r="I518" t="n">
        <v>0</v>
      </c>
      <c r="J518" t="n">
        <v>0</v>
      </c>
      <c r="K518" t="n">
        <v>0</v>
      </c>
      <c r="L518" t="n">
        <v>0</v>
      </c>
      <c r="M518" t="n">
        <v>0</v>
      </c>
      <c r="N518" t="n">
        <v>0</v>
      </c>
      <c r="O518" t="n">
        <v>0</v>
      </c>
      <c r="P518" t="n">
        <v>0</v>
      </c>
      <c r="Q518" t="n">
        <v>0</v>
      </c>
      <c r="R518" s="2" t="inlineStr"/>
    </row>
    <row r="519" ht="15" customHeight="1">
      <c r="A519" t="inlineStr">
        <is>
          <t>A 6018-2021</t>
        </is>
      </c>
      <c r="B519" s="1" t="n">
        <v>44231.9415625</v>
      </c>
      <c r="C519" s="1" t="n">
        <v>45910</v>
      </c>
      <c r="D519" t="inlineStr">
        <is>
          <t>NORRBOTTENS LÄN</t>
        </is>
      </c>
      <c r="E519" t="inlineStr">
        <is>
          <t>LULEÅ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40641-2025</t>
        </is>
      </c>
      <c r="B520" s="1" t="n">
        <v>45896</v>
      </c>
      <c r="C520" s="1" t="n">
        <v>45910</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27303-2022</t>
        </is>
      </c>
      <c r="B521" s="1" t="n">
        <v>44741</v>
      </c>
      <c r="C521" s="1" t="n">
        <v>45910</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10885-2023</t>
        </is>
      </c>
      <c r="B522" s="1" t="n">
        <v>44985</v>
      </c>
      <c r="C522" s="1" t="n">
        <v>45910</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20723-2021</t>
        </is>
      </c>
      <c r="B523" s="1" t="n">
        <v>44316.52800925926</v>
      </c>
      <c r="C523" s="1" t="n">
        <v>45910</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19983-2025</t>
        </is>
      </c>
      <c r="B524" s="1" t="n">
        <v>45771.71908564815</v>
      </c>
      <c r="C524" s="1" t="n">
        <v>45910</v>
      </c>
      <c r="D524" t="inlineStr">
        <is>
          <t>NORRBOTTENS LÄN</t>
        </is>
      </c>
      <c r="E524" t="inlineStr">
        <is>
          <t>LULEÅ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806-2025</t>
        </is>
      </c>
      <c r="B525" s="1" t="n">
        <v>45664</v>
      </c>
      <c r="C525" s="1" t="n">
        <v>45910</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817-2025</t>
        </is>
      </c>
      <c r="B526" s="1" t="n">
        <v>45664</v>
      </c>
      <c r="C526" s="1" t="n">
        <v>45910</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14193-2025</t>
        </is>
      </c>
      <c r="B527" s="1" t="n">
        <v>45740.56127314815</v>
      </c>
      <c r="C527" s="1" t="n">
        <v>45910</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14195-2025</t>
        </is>
      </c>
      <c r="B528" s="1" t="n">
        <v>45740.56263888889</v>
      </c>
      <c r="C528" s="1" t="n">
        <v>45910</v>
      </c>
      <c r="D528" t="inlineStr">
        <is>
          <t>NORRBOTTENS LÄN</t>
        </is>
      </c>
      <c r="E528" t="inlineStr">
        <is>
          <t>LULEÅ</t>
        </is>
      </c>
      <c r="G528" t="n">
        <v>0.8</v>
      </c>
      <c r="H528" t="n">
        <v>0</v>
      </c>
      <c r="I528" t="n">
        <v>0</v>
      </c>
      <c r="J528" t="n">
        <v>0</v>
      </c>
      <c r="K528" t="n">
        <v>0</v>
      </c>
      <c r="L528" t="n">
        <v>0</v>
      </c>
      <c r="M528" t="n">
        <v>0</v>
      </c>
      <c r="N528" t="n">
        <v>0</v>
      </c>
      <c r="O528" t="n">
        <v>0</v>
      </c>
      <c r="P528" t="n">
        <v>0</v>
      </c>
      <c r="Q528" t="n">
        <v>0</v>
      </c>
      <c r="R528" s="2" t="inlineStr"/>
    </row>
    <row r="529" ht="15" customHeight="1">
      <c r="A529" t="inlineStr">
        <is>
          <t>A 61557-2024</t>
        </is>
      </c>
      <c r="B529" s="1" t="n">
        <v>45646.61081018519</v>
      </c>
      <c r="C529" s="1" t="n">
        <v>45910</v>
      </c>
      <c r="D529" t="inlineStr">
        <is>
          <t>NORRBOTTENS LÄN</t>
        </is>
      </c>
      <c r="E529" t="inlineStr">
        <is>
          <t>LULEÅ</t>
        </is>
      </c>
      <c r="G529" t="n">
        <v>2</v>
      </c>
      <c r="H529" t="n">
        <v>0</v>
      </c>
      <c r="I529" t="n">
        <v>0</v>
      </c>
      <c r="J529" t="n">
        <v>0</v>
      </c>
      <c r="K529" t="n">
        <v>0</v>
      </c>
      <c r="L529" t="n">
        <v>0</v>
      </c>
      <c r="M529" t="n">
        <v>0</v>
      </c>
      <c r="N529" t="n">
        <v>0</v>
      </c>
      <c r="O529" t="n">
        <v>0</v>
      </c>
      <c r="P529" t="n">
        <v>0</v>
      </c>
      <c r="Q529" t="n">
        <v>0</v>
      </c>
      <c r="R529" s="2" t="inlineStr"/>
    </row>
    <row r="530" ht="15" customHeight="1">
      <c r="A530" t="inlineStr">
        <is>
          <t>A 62701-2022</t>
        </is>
      </c>
      <c r="B530" s="1" t="n">
        <v>44917</v>
      </c>
      <c r="C530" s="1" t="n">
        <v>45910</v>
      </c>
      <c r="D530" t="inlineStr">
        <is>
          <t>NORRBOTTENS LÄN</t>
        </is>
      </c>
      <c r="E530" t="inlineStr">
        <is>
          <t>LULEÅ</t>
        </is>
      </c>
      <c r="G530" t="n">
        <v>0.5</v>
      </c>
      <c r="H530" t="n">
        <v>0</v>
      </c>
      <c r="I530" t="n">
        <v>0</v>
      </c>
      <c r="J530" t="n">
        <v>0</v>
      </c>
      <c r="K530" t="n">
        <v>0</v>
      </c>
      <c r="L530" t="n">
        <v>0</v>
      </c>
      <c r="M530" t="n">
        <v>0</v>
      </c>
      <c r="N530" t="n">
        <v>0</v>
      </c>
      <c r="O530" t="n">
        <v>0</v>
      </c>
      <c r="P530" t="n">
        <v>0</v>
      </c>
      <c r="Q530" t="n">
        <v>0</v>
      </c>
      <c r="R530" s="2" t="inlineStr"/>
    </row>
    <row r="531" ht="15" customHeight="1">
      <c r="A531" t="inlineStr">
        <is>
          <t>A 43861-2023</t>
        </is>
      </c>
      <c r="B531" s="1" t="n">
        <v>45187</v>
      </c>
      <c r="C531" s="1" t="n">
        <v>45910</v>
      </c>
      <c r="D531" t="inlineStr">
        <is>
          <t>NORRBOTTENS LÄN</t>
        </is>
      </c>
      <c r="E531" t="inlineStr">
        <is>
          <t>LULEÅ</t>
        </is>
      </c>
      <c r="G531" t="n">
        <v>5.1</v>
      </c>
      <c r="H531" t="n">
        <v>0</v>
      </c>
      <c r="I531" t="n">
        <v>0</v>
      </c>
      <c r="J531" t="n">
        <v>0</v>
      </c>
      <c r="K531" t="n">
        <v>0</v>
      </c>
      <c r="L531" t="n">
        <v>0</v>
      </c>
      <c r="M531" t="n">
        <v>0</v>
      </c>
      <c r="N531" t="n">
        <v>0</v>
      </c>
      <c r="O531" t="n">
        <v>0</v>
      </c>
      <c r="P531" t="n">
        <v>0</v>
      </c>
      <c r="Q531" t="n">
        <v>0</v>
      </c>
      <c r="R531" s="2" t="inlineStr"/>
    </row>
    <row r="532" ht="15" customHeight="1">
      <c r="A532" t="inlineStr">
        <is>
          <t>A 9286-2023</t>
        </is>
      </c>
      <c r="B532" s="1" t="n">
        <v>44977</v>
      </c>
      <c r="C532" s="1" t="n">
        <v>45910</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9289-2023</t>
        </is>
      </c>
      <c r="B533" s="1" t="n">
        <v>44977</v>
      </c>
      <c r="C533" s="1" t="n">
        <v>45910</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9706-2022</t>
        </is>
      </c>
      <c r="B534" s="1" t="n">
        <v>44617</v>
      </c>
      <c r="C534" s="1" t="n">
        <v>45910</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9274-2023</t>
        </is>
      </c>
      <c r="B535" s="1" t="n">
        <v>44977</v>
      </c>
      <c r="C535" s="1" t="n">
        <v>45910</v>
      </c>
      <c r="D535" t="inlineStr">
        <is>
          <t>NORRBOTTENS LÄN</t>
        </is>
      </c>
      <c r="E535" t="inlineStr">
        <is>
          <t>LULEÅ</t>
        </is>
      </c>
      <c r="G535" t="n">
        <v>1.1</v>
      </c>
      <c r="H535" t="n">
        <v>0</v>
      </c>
      <c r="I535" t="n">
        <v>0</v>
      </c>
      <c r="J535" t="n">
        <v>0</v>
      </c>
      <c r="K535" t="n">
        <v>0</v>
      </c>
      <c r="L535" t="n">
        <v>0</v>
      </c>
      <c r="M535" t="n">
        <v>0</v>
      </c>
      <c r="N535" t="n">
        <v>0</v>
      </c>
      <c r="O535" t="n">
        <v>0</v>
      </c>
      <c r="P535" t="n">
        <v>0</v>
      </c>
      <c r="Q535" t="n">
        <v>0</v>
      </c>
      <c r="R535" s="2" t="inlineStr"/>
    </row>
    <row r="536" ht="15" customHeight="1">
      <c r="A536" t="inlineStr">
        <is>
          <t>A 9278-2023</t>
        </is>
      </c>
      <c r="B536" s="1" t="n">
        <v>44977</v>
      </c>
      <c r="C536" s="1" t="n">
        <v>45910</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42822-2024</t>
        </is>
      </c>
      <c r="B537" s="1" t="n">
        <v>45566.59611111111</v>
      </c>
      <c r="C537" s="1" t="n">
        <v>45910</v>
      </c>
      <c r="D537" t="inlineStr">
        <is>
          <t>NORRBOTTENS LÄN</t>
        </is>
      </c>
      <c r="E537" t="inlineStr">
        <is>
          <t>LULEÅ</t>
        </is>
      </c>
      <c r="G537" t="n">
        <v>2.3</v>
      </c>
      <c r="H537" t="n">
        <v>0</v>
      </c>
      <c r="I537" t="n">
        <v>0</v>
      </c>
      <c r="J537" t="n">
        <v>0</v>
      </c>
      <c r="K537" t="n">
        <v>0</v>
      </c>
      <c r="L537" t="n">
        <v>0</v>
      </c>
      <c r="M537" t="n">
        <v>0</v>
      </c>
      <c r="N537" t="n">
        <v>0</v>
      </c>
      <c r="O537" t="n">
        <v>0</v>
      </c>
      <c r="P537" t="n">
        <v>0</v>
      </c>
      <c r="Q537" t="n">
        <v>0</v>
      </c>
      <c r="R537" s="2" t="inlineStr"/>
    </row>
    <row r="538" ht="15" customHeight="1">
      <c r="A538" t="inlineStr">
        <is>
          <t>A 15848-2022</t>
        </is>
      </c>
      <c r="B538" s="1" t="n">
        <v>44664</v>
      </c>
      <c r="C538" s="1" t="n">
        <v>45910</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41707-2024</t>
        </is>
      </c>
      <c r="B539" s="1" t="n">
        <v>45560.69846064815</v>
      </c>
      <c r="C539" s="1" t="n">
        <v>45910</v>
      </c>
      <c r="D539" t="inlineStr">
        <is>
          <t>NORRBOTTENS LÄN</t>
        </is>
      </c>
      <c r="E539" t="inlineStr">
        <is>
          <t>LULEÅ</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41708-2024</t>
        </is>
      </c>
      <c r="B540" s="1" t="n">
        <v>45560.6984837963</v>
      </c>
      <c r="C540" s="1" t="n">
        <v>45910</v>
      </c>
      <c r="D540" t="inlineStr">
        <is>
          <t>NORRBOTTENS LÄN</t>
        </is>
      </c>
      <c r="E540" t="inlineStr">
        <is>
          <t>LULEÅ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28498-2024</t>
        </is>
      </c>
      <c r="B541" s="1" t="n">
        <v>45477.92725694444</v>
      </c>
      <c r="C541" s="1" t="n">
        <v>45910</v>
      </c>
      <c r="D541" t="inlineStr">
        <is>
          <t>NORRBOTTENS LÄN</t>
        </is>
      </c>
      <c r="E541" t="inlineStr">
        <is>
          <t>LULEÅ</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2748-2022</t>
        </is>
      </c>
      <c r="B542" s="1" t="n">
        <v>44580</v>
      </c>
      <c r="C542" s="1" t="n">
        <v>45910</v>
      </c>
      <c r="D542" t="inlineStr">
        <is>
          <t>NORRBOTTENS LÄN</t>
        </is>
      </c>
      <c r="E542" t="inlineStr">
        <is>
          <t>LULEÅ</t>
        </is>
      </c>
      <c r="G542" t="n">
        <v>4.7</v>
      </c>
      <c r="H542" t="n">
        <v>0</v>
      </c>
      <c r="I542" t="n">
        <v>0</v>
      </c>
      <c r="J542" t="n">
        <v>0</v>
      </c>
      <c r="K542" t="n">
        <v>0</v>
      </c>
      <c r="L542" t="n">
        <v>0</v>
      </c>
      <c r="M542" t="n">
        <v>0</v>
      </c>
      <c r="N542" t="n">
        <v>0</v>
      </c>
      <c r="O542" t="n">
        <v>0</v>
      </c>
      <c r="P542" t="n">
        <v>0</v>
      </c>
      <c r="Q542" t="n">
        <v>0</v>
      </c>
      <c r="R542" s="2" t="inlineStr"/>
    </row>
    <row r="543" ht="15" customHeight="1">
      <c r="A543" t="inlineStr">
        <is>
          <t>A 705-2025</t>
        </is>
      </c>
      <c r="B543" s="1" t="n">
        <v>45663</v>
      </c>
      <c r="C543" s="1" t="n">
        <v>45910</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2208-2024</t>
        </is>
      </c>
      <c r="B544" s="1" t="n">
        <v>45309</v>
      </c>
      <c r="C544" s="1" t="n">
        <v>45910</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29537-2023</t>
        </is>
      </c>
      <c r="B545" s="1" t="n">
        <v>45098</v>
      </c>
      <c r="C545" s="1" t="n">
        <v>45910</v>
      </c>
      <c r="D545" t="inlineStr">
        <is>
          <t>NORRBOTTENS LÄN</t>
        </is>
      </c>
      <c r="E545" t="inlineStr">
        <is>
          <t>LULEÅ</t>
        </is>
      </c>
      <c r="G545" t="n">
        <v>0.3</v>
      </c>
      <c r="H545" t="n">
        <v>0</v>
      </c>
      <c r="I545" t="n">
        <v>0</v>
      </c>
      <c r="J545" t="n">
        <v>0</v>
      </c>
      <c r="K545" t="n">
        <v>0</v>
      </c>
      <c r="L545" t="n">
        <v>0</v>
      </c>
      <c r="M545" t="n">
        <v>0</v>
      </c>
      <c r="N545" t="n">
        <v>0</v>
      </c>
      <c r="O545" t="n">
        <v>0</v>
      </c>
      <c r="P545" t="n">
        <v>0</v>
      </c>
      <c r="Q545" t="n">
        <v>0</v>
      </c>
      <c r="R545" s="2" t="inlineStr"/>
    </row>
    <row r="546" ht="15" customHeight="1">
      <c r="A546" t="inlineStr">
        <is>
          <t>A 49018-2023</t>
        </is>
      </c>
      <c r="B546" s="1" t="n">
        <v>45204</v>
      </c>
      <c r="C546" s="1" t="n">
        <v>45910</v>
      </c>
      <c r="D546" t="inlineStr">
        <is>
          <t>NORRBOTTENS LÄN</t>
        </is>
      </c>
      <c r="E546" t="inlineStr">
        <is>
          <t>LULEÅ</t>
        </is>
      </c>
      <c r="G546" t="n">
        <v>2.8</v>
      </c>
      <c r="H546" t="n">
        <v>0</v>
      </c>
      <c r="I546" t="n">
        <v>0</v>
      </c>
      <c r="J546" t="n">
        <v>0</v>
      </c>
      <c r="K546" t="n">
        <v>0</v>
      </c>
      <c r="L546" t="n">
        <v>0</v>
      </c>
      <c r="M546" t="n">
        <v>0</v>
      </c>
      <c r="N546" t="n">
        <v>0</v>
      </c>
      <c r="O546" t="n">
        <v>0</v>
      </c>
      <c r="P546" t="n">
        <v>0</v>
      </c>
      <c r="Q546" t="n">
        <v>0</v>
      </c>
      <c r="R546" s="2" t="inlineStr"/>
    </row>
    <row r="547" ht="15" customHeight="1">
      <c r="A547" t="inlineStr">
        <is>
          <t>A 59682-2023</t>
        </is>
      </c>
      <c r="B547" s="1" t="n">
        <v>45255</v>
      </c>
      <c r="C547" s="1" t="n">
        <v>45910</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60727-2024</t>
        </is>
      </c>
      <c r="B548" s="1" t="n">
        <v>45644.54008101852</v>
      </c>
      <c r="C548" s="1" t="n">
        <v>45910</v>
      </c>
      <c r="D548" t="inlineStr">
        <is>
          <t>NORRBOTTENS LÄN</t>
        </is>
      </c>
      <c r="E548" t="inlineStr">
        <is>
          <t>LULEÅ</t>
        </is>
      </c>
      <c r="G548" t="n">
        <v>18.7</v>
      </c>
      <c r="H548" t="n">
        <v>0</v>
      </c>
      <c r="I548" t="n">
        <v>0</v>
      </c>
      <c r="J548" t="n">
        <v>0</v>
      </c>
      <c r="K548" t="n">
        <v>0</v>
      </c>
      <c r="L548" t="n">
        <v>0</v>
      </c>
      <c r="M548" t="n">
        <v>0</v>
      </c>
      <c r="N548" t="n">
        <v>0</v>
      </c>
      <c r="O548" t="n">
        <v>0</v>
      </c>
      <c r="P548" t="n">
        <v>0</v>
      </c>
      <c r="Q548" t="n">
        <v>0</v>
      </c>
      <c r="R548" s="2" t="inlineStr"/>
    </row>
    <row r="549" ht="15" customHeight="1">
      <c r="A549" t="inlineStr">
        <is>
          <t>A 11294-2024</t>
        </is>
      </c>
      <c r="B549" s="1" t="n">
        <v>45371</v>
      </c>
      <c r="C549" s="1" t="n">
        <v>45910</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35158-2024</t>
        </is>
      </c>
      <c r="B550" s="1" t="n">
        <v>45530.39005787037</v>
      </c>
      <c r="C550" s="1" t="n">
        <v>45910</v>
      </c>
      <c r="D550" t="inlineStr">
        <is>
          <t>NORRBOTTENS LÄN</t>
        </is>
      </c>
      <c r="E550" t="inlineStr">
        <is>
          <t>LULEÅ</t>
        </is>
      </c>
      <c r="G550" t="n">
        <v>2.1</v>
      </c>
      <c r="H550" t="n">
        <v>0</v>
      </c>
      <c r="I550" t="n">
        <v>0</v>
      </c>
      <c r="J550" t="n">
        <v>0</v>
      </c>
      <c r="K550" t="n">
        <v>0</v>
      </c>
      <c r="L550" t="n">
        <v>0</v>
      </c>
      <c r="M550" t="n">
        <v>0</v>
      </c>
      <c r="N550" t="n">
        <v>0</v>
      </c>
      <c r="O550" t="n">
        <v>0</v>
      </c>
      <c r="P550" t="n">
        <v>0</v>
      </c>
      <c r="Q550" t="n">
        <v>0</v>
      </c>
      <c r="R550" s="2" t="inlineStr"/>
    </row>
    <row r="551" ht="15" customHeight="1">
      <c r="A551" t="inlineStr">
        <is>
          <t>A 17020-2024</t>
        </is>
      </c>
      <c r="B551" s="1" t="n">
        <v>45411</v>
      </c>
      <c r="C551" s="1" t="n">
        <v>45910</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17031-2024</t>
        </is>
      </c>
      <c r="B552" s="1" t="n">
        <v>45411</v>
      </c>
      <c r="C552" s="1" t="n">
        <v>45910</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40899-2024</t>
        </is>
      </c>
      <c r="B553" s="1" t="n">
        <v>45558.62070601852</v>
      </c>
      <c r="C553" s="1" t="n">
        <v>45910</v>
      </c>
      <c r="D553" t="inlineStr">
        <is>
          <t>NORRBOTTENS LÄN</t>
        </is>
      </c>
      <c r="E553" t="inlineStr">
        <is>
          <t>LULEÅ</t>
        </is>
      </c>
      <c r="F553" t="inlineStr">
        <is>
          <t>Övriga Aktiebolag</t>
        </is>
      </c>
      <c r="G553" t="n">
        <v>2.6</v>
      </c>
      <c r="H553" t="n">
        <v>0</v>
      </c>
      <c r="I553" t="n">
        <v>0</v>
      </c>
      <c r="J553" t="n">
        <v>0</v>
      </c>
      <c r="K553" t="n">
        <v>0</v>
      </c>
      <c r="L553" t="n">
        <v>0</v>
      </c>
      <c r="M553" t="n">
        <v>0</v>
      </c>
      <c r="N553" t="n">
        <v>0</v>
      </c>
      <c r="O553" t="n">
        <v>0</v>
      </c>
      <c r="P553" t="n">
        <v>0</v>
      </c>
      <c r="Q553" t="n">
        <v>0</v>
      </c>
      <c r="R553" s="2" t="inlineStr"/>
    </row>
    <row r="554" ht="15" customHeight="1">
      <c r="A554" t="inlineStr">
        <is>
          <t>A 31347-2023</t>
        </is>
      </c>
      <c r="B554" s="1" t="n">
        <v>45104</v>
      </c>
      <c r="C554" s="1" t="n">
        <v>45910</v>
      </c>
      <c r="D554" t="inlineStr">
        <is>
          <t>NORRBOTTENS LÄN</t>
        </is>
      </c>
      <c r="E554" t="inlineStr">
        <is>
          <t>LULEÅ</t>
        </is>
      </c>
      <c r="G554" t="n">
        <v>1.4</v>
      </c>
      <c r="H554" t="n">
        <v>0</v>
      </c>
      <c r="I554" t="n">
        <v>0</v>
      </c>
      <c r="J554" t="n">
        <v>0</v>
      </c>
      <c r="K554" t="n">
        <v>0</v>
      </c>
      <c r="L554" t="n">
        <v>0</v>
      </c>
      <c r="M554" t="n">
        <v>0</v>
      </c>
      <c r="N554" t="n">
        <v>0</v>
      </c>
      <c r="O554" t="n">
        <v>0</v>
      </c>
      <c r="P554" t="n">
        <v>0</v>
      </c>
      <c r="Q554" t="n">
        <v>0</v>
      </c>
      <c r="R554" s="2" t="inlineStr"/>
    </row>
    <row r="555" ht="15" customHeight="1">
      <c r="A555" t="inlineStr">
        <is>
          <t>A 11242-2021</t>
        </is>
      </c>
      <c r="B555" s="1" t="n">
        <v>44263.39423611111</v>
      </c>
      <c r="C555" s="1" t="n">
        <v>45910</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4123-2024</t>
        </is>
      </c>
      <c r="B556" s="1" t="n">
        <v>45323</v>
      </c>
      <c r="C556" s="1" t="n">
        <v>45910</v>
      </c>
      <c r="D556" t="inlineStr">
        <is>
          <t>NORRBOTTENS LÄN</t>
        </is>
      </c>
      <c r="E556" t="inlineStr">
        <is>
          <t>LULEÅ</t>
        </is>
      </c>
      <c r="G556" t="n">
        <v>5.3</v>
      </c>
      <c r="H556" t="n">
        <v>0</v>
      </c>
      <c r="I556" t="n">
        <v>0</v>
      </c>
      <c r="J556" t="n">
        <v>0</v>
      </c>
      <c r="K556" t="n">
        <v>0</v>
      </c>
      <c r="L556" t="n">
        <v>0</v>
      </c>
      <c r="M556" t="n">
        <v>0</v>
      </c>
      <c r="N556" t="n">
        <v>0</v>
      </c>
      <c r="O556" t="n">
        <v>0</v>
      </c>
      <c r="P556" t="n">
        <v>0</v>
      </c>
      <c r="Q556" t="n">
        <v>0</v>
      </c>
      <c r="R556" s="2" t="inlineStr"/>
    </row>
    <row r="557" ht="15" customHeight="1">
      <c r="A557" t="inlineStr">
        <is>
          <t>A 60584-2024</t>
        </is>
      </c>
      <c r="B557" s="1" t="n">
        <v>45644.34611111111</v>
      </c>
      <c r="C557" s="1" t="n">
        <v>45910</v>
      </c>
      <c r="D557" t="inlineStr">
        <is>
          <t>NORRBOTTENS LÄN</t>
        </is>
      </c>
      <c r="E557" t="inlineStr">
        <is>
          <t>LULEÅ</t>
        </is>
      </c>
      <c r="G557" t="n">
        <v>0.6</v>
      </c>
      <c r="H557" t="n">
        <v>0</v>
      </c>
      <c r="I557" t="n">
        <v>0</v>
      </c>
      <c r="J557" t="n">
        <v>0</v>
      </c>
      <c r="K557" t="n">
        <v>0</v>
      </c>
      <c r="L557" t="n">
        <v>0</v>
      </c>
      <c r="M557" t="n">
        <v>0</v>
      </c>
      <c r="N557" t="n">
        <v>0</v>
      </c>
      <c r="O557" t="n">
        <v>0</v>
      </c>
      <c r="P557" t="n">
        <v>0</v>
      </c>
      <c r="Q557" t="n">
        <v>0</v>
      </c>
      <c r="R557" s="2" t="inlineStr"/>
    </row>
    <row r="558" ht="15" customHeight="1">
      <c r="A558" t="inlineStr">
        <is>
          <t>A 57815-2022</t>
        </is>
      </c>
      <c r="B558" s="1" t="n">
        <v>44897.92459490741</v>
      </c>
      <c r="C558" s="1" t="n">
        <v>45910</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17425-2023</t>
        </is>
      </c>
      <c r="B559" s="1" t="n">
        <v>45035</v>
      </c>
      <c r="C559" s="1" t="n">
        <v>45910</v>
      </c>
      <c r="D559" t="inlineStr">
        <is>
          <t>NORRBOTTENS LÄN</t>
        </is>
      </c>
      <c r="E559" t="inlineStr">
        <is>
          <t>LULEÅ</t>
        </is>
      </c>
      <c r="G559" t="n">
        <v>2.7</v>
      </c>
      <c r="H559" t="n">
        <v>0</v>
      </c>
      <c r="I559" t="n">
        <v>0</v>
      </c>
      <c r="J559" t="n">
        <v>0</v>
      </c>
      <c r="K559" t="n">
        <v>0</v>
      </c>
      <c r="L559" t="n">
        <v>0</v>
      </c>
      <c r="M559" t="n">
        <v>0</v>
      </c>
      <c r="N559" t="n">
        <v>0</v>
      </c>
      <c r="O559" t="n">
        <v>0</v>
      </c>
      <c r="P559" t="n">
        <v>0</v>
      </c>
      <c r="Q559" t="n">
        <v>0</v>
      </c>
      <c r="R559" s="2" t="inlineStr"/>
    </row>
    <row r="560" ht="15" customHeight="1">
      <c r="A560" t="inlineStr">
        <is>
          <t>A 6986-2025</t>
        </is>
      </c>
      <c r="B560" s="1" t="n">
        <v>45701</v>
      </c>
      <c r="C560" s="1" t="n">
        <v>45910</v>
      </c>
      <c r="D560" t="inlineStr">
        <is>
          <t>NORRBOTTENS LÄN</t>
        </is>
      </c>
      <c r="E560" t="inlineStr">
        <is>
          <t>LULEÅ</t>
        </is>
      </c>
      <c r="G560" t="n">
        <v>2</v>
      </c>
      <c r="H560" t="n">
        <v>0</v>
      </c>
      <c r="I560" t="n">
        <v>0</v>
      </c>
      <c r="J560" t="n">
        <v>0</v>
      </c>
      <c r="K560" t="n">
        <v>0</v>
      </c>
      <c r="L560" t="n">
        <v>0</v>
      </c>
      <c r="M560" t="n">
        <v>0</v>
      </c>
      <c r="N560" t="n">
        <v>0</v>
      </c>
      <c r="O560" t="n">
        <v>0</v>
      </c>
      <c r="P560" t="n">
        <v>0</v>
      </c>
      <c r="Q560" t="n">
        <v>0</v>
      </c>
      <c r="R560" s="2" t="inlineStr"/>
    </row>
    <row r="561" ht="15" customHeight="1">
      <c r="A561" t="inlineStr">
        <is>
          <t>A 54769-2024</t>
        </is>
      </c>
      <c r="B561" s="1" t="n">
        <v>45618.47244212963</v>
      </c>
      <c r="C561" s="1" t="n">
        <v>45910</v>
      </c>
      <c r="D561" t="inlineStr">
        <is>
          <t>NORRBOTTENS LÄN</t>
        </is>
      </c>
      <c r="E561" t="inlineStr">
        <is>
          <t>LULEÅ</t>
        </is>
      </c>
      <c r="G561" t="n">
        <v>8.4</v>
      </c>
      <c r="H561" t="n">
        <v>0</v>
      </c>
      <c r="I561" t="n">
        <v>0</v>
      </c>
      <c r="J561" t="n">
        <v>0</v>
      </c>
      <c r="K561" t="n">
        <v>0</v>
      </c>
      <c r="L561" t="n">
        <v>0</v>
      </c>
      <c r="M561" t="n">
        <v>0</v>
      </c>
      <c r="N561" t="n">
        <v>0</v>
      </c>
      <c r="O561" t="n">
        <v>0</v>
      </c>
      <c r="P561" t="n">
        <v>0</v>
      </c>
      <c r="Q561" t="n">
        <v>0</v>
      </c>
      <c r="R561" s="2" t="inlineStr"/>
    </row>
    <row r="562" ht="15" customHeight="1">
      <c r="A562" t="inlineStr">
        <is>
          <t>A 12782-2023</t>
        </is>
      </c>
      <c r="B562" s="1" t="n">
        <v>45000</v>
      </c>
      <c r="C562" s="1" t="n">
        <v>45910</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57518-2024</t>
        </is>
      </c>
      <c r="B563" s="1" t="n">
        <v>45629</v>
      </c>
      <c r="C563" s="1" t="n">
        <v>45910</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4558-2024</t>
        </is>
      </c>
      <c r="B564" s="1" t="n">
        <v>45327</v>
      </c>
      <c r="C564" s="1" t="n">
        <v>45910</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11855-2025</t>
        </is>
      </c>
      <c r="B565" s="1" t="n">
        <v>45727</v>
      </c>
      <c r="C565" s="1" t="n">
        <v>45910</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433-2022</t>
        </is>
      </c>
      <c r="B566" s="1" t="n">
        <v>44565.92903935185</v>
      </c>
      <c r="C566" s="1" t="n">
        <v>45910</v>
      </c>
      <c r="D566" t="inlineStr">
        <is>
          <t>NORRBOTTENS LÄN</t>
        </is>
      </c>
      <c r="E566" t="inlineStr">
        <is>
          <t>LULEÅ</t>
        </is>
      </c>
      <c r="G566" t="n">
        <v>1.3</v>
      </c>
      <c r="H566" t="n">
        <v>0</v>
      </c>
      <c r="I566" t="n">
        <v>0</v>
      </c>
      <c r="J566" t="n">
        <v>0</v>
      </c>
      <c r="K566" t="n">
        <v>0</v>
      </c>
      <c r="L566" t="n">
        <v>0</v>
      </c>
      <c r="M566" t="n">
        <v>0</v>
      </c>
      <c r="N566" t="n">
        <v>0</v>
      </c>
      <c r="O566" t="n">
        <v>0</v>
      </c>
      <c r="P566" t="n">
        <v>0</v>
      </c>
      <c r="Q566" t="n">
        <v>0</v>
      </c>
      <c r="R566" s="2" t="inlineStr"/>
    </row>
    <row r="567" ht="15" customHeight="1">
      <c r="A567" t="inlineStr">
        <is>
          <t>A 61488-2024</t>
        </is>
      </c>
      <c r="B567" s="1" t="n">
        <v>45646.54873842592</v>
      </c>
      <c r="C567" s="1" t="n">
        <v>45910</v>
      </c>
      <c r="D567" t="inlineStr">
        <is>
          <t>NORRBOTTENS LÄN</t>
        </is>
      </c>
      <c r="E567" t="inlineStr">
        <is>
          <t>LULEÅ</t>
        </is>
      </c>
      <c r="G567" t="n">
        <v>3.4</v>
      </c>
      <c r="H567" t="n">
        <v>0</v>
      </c>
      <c r="I567" t="n">
        <v>0</v>
      </c>
      <c r="J567" t="n">
        <v>0</v>
      </c>
      <c r="K567" t="n">
        <v>0</v>
      </c>
      <c r="L567" t="n">
        <v>0</v>
      </c>
      <c r="M567" t="n">
        <v>0</v>
      </c>
      <c r="N567" t="n">
        <v>0</v>
      </c>
      <c r="O567" t="n">
        <v>0</v>
      </c>
      <c r="P567" t="n">
        <v>0</v>
      </c>
      <c r="Q567" t="n">
        <v>0</v>
      </c>
      <c r="R567" s="2" t="inlineStr"/>
    </row>
    <row r="568" ht="15" customHeight="1">
      <c r="A568" t="inlineStr">
        <is>
          <t>A 55720-2024</t>
        </is>
      </c>
      <c r="B568" s="1" t="n">
        <v>45622.7453125</v>
      </c>
      <c r="C568" s="1" t="n">
        <v>45910</v>
      </c>
      <c r="D568" t="inlineStr">
        <is>
          <t>NORRBOTTENS LÄN</t>
        </is>
      </c>
      <c r="E568" t="inlineStr">
        <is>
          <t>LULEÅ</t>
        </is>
      </c>
      <c r="G568" t="n">
        <v>11.6</v>
      </c>
      <c r="H568" t="n">
        <v>0</v>
      </c>
      <c r="I568" t="n">
        <v>0</v>
      </c>
      <c r="J568" t="n">
        <v>0</v>
      </c>
      <c r="K568" t="n">
        <v>0</v>
      </c>
      <c r="L568" t="n">
        <v>0</v>
      </c>
      <c r="M568" t="n">
        <v>0</v>
      </c>
      <c r="N568" t="n">
        <v>0</v>
      </c>
      <c r="O568" t="n">
        <v>0</v>
      </c>
      <c r="P568" t="n">
        <v>0</v>
      </c>
      <c r="Q568" t="n">
        <v>0</v>
      </c>
      <c r="R568" s="2" t="inlineStr"/>
    </row>
    <row r="569" ht="15" customHeight="1">
      <c r="A569" t="inlineStr">
        <is>
          <t>A 8764-2025</t>
        </is>
      </c>
      <c r="B569" s="1" t="n">
        <v>45712.58021990741</v>
      </c>
      <c r="C569" s="1" t="n">
        <v>45910</v>
      </c>
      <c r="D569" t="inlineStr">
        <is>
          <t>NORRBOTTENS LÄN</t>
        </is>
      </c>
      <c r="E569" t="inlineStr">
        <is>
          <t>LULEÅ</t>
        </is>
      </c>
      <c r="G569" t="n">
        <v>2.3</v>
      </c>
      <c r="H569" t="n">
        <v>0</v>
      </c>
      <c r="I569" t="n">
        <v>0</v>
      </c>
      <c r="J569" t="n">
        <v>0</v>
      </c>
      <c r="K569" t="n">
        <v>0</v>
      </c>
      <c r="L569" t="n">
        <v>0</v>
      </c>
      <c r="M569" t="n">
        <v>0</v>
      </c>
      <c r="N569" t="n">
        <v>0</v>
      </c>
      <c r="O569" t="n">
        <v>0</v>
      </c>
      <c r="P569" t="n">
        <v>0</v>
      </c>
      <c r="Q569" t="n">
        <v>0</v>
      </c>
      <c r="R569" s="2" t="inlineStr"/>
    </row>
    <row r="570" ht="15" customHeight="1">
      <c r="A570" t="inlineStr">
        <is>
          <t>A 52400-2023</t>
        </is>
      </c>
      <c r="B570" s="1" t="n">
        <v>45224</v>
      </c>
      <c r="C570" s="1" t="n">
        <v>45910</v>
      </c>
      <c r="D570" t="inlineStr">
        <is>
          <t>NORRBOTTENS LÄN</t>
        </is>
      </c>
      <c r="E570" t="inlineStr">
        <is>
          <t>LULEÅ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53185-2022</t>
        </is>
      </c>
      <c r="B571" s="1" t="n">
        <v>44876.57346064815</v>
      </c>
      <c r="C571" s="1" t="n">
        <v>45910</v>
      </c>
      <c r="D571" t="inlineStr">
        <is>
          <t>NORRBOTTENS LÄN</t>
        </is>
      </c>
      <c r="E571" t="inlineStr">
        <is>
          <t>LULEÅ</t>
        </is>
      </c>
      <c r="G571" t="n">
        <v>2.6</v>
      </c>
      <c r="H571" t="n">
        <v>0</v>
      </c>
      <c r="I571" t="n">
        <v>0</v>
      </c>
      <c r="J571" t="n">
        <v>0</v>
      </c>
      <c r="K571" t="n">
        <v>0</v>
      </c>
      <c r="L571" t="n">
        <v>0</v>
      </c>
      <c r="M571" t="n">
        <v>0</v>
      </c>
      <c r="N571" t="n">
        <v>0</v>
      </c>
      <c r="O571" t="n">
        <v>0</v>
      </c>
      <c r="P571" t="n">
        <v>0</v>
      </c>
      <c r="Q571" t="n">
        <v>0</v>
      </c>
      <c r="R571" s="2" t="inlineStr"/>
    </row>
    <row r="572" ht="15" customHeight="1">
      <c r="A572" t="inlineStr">
        <is>
          <t>A 31039-2024</t>
        </is>
      </c>
      <c r="B572" s="1" t="n">
        <v>45501.91951388889</v>
      </c>
      <c r="C572" s="1" t="n">
        <v>45910</v>
      </c>
      <c r="D572" t="inlineStr">
        <is>
          <t>NORRBOTTENS LÄN</t>
        </is>
      </c>
      <c r="E572" t="inlineStr">
        <is>
          <t>LULEÅ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700-2025</t>
        </is>
      </c>
      <c r="B573" s="1" t="n">
        <v>45663</v>
      </c>
      <c r="C573" s="1" t="n">
        <v>45910</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702-2025</t>
        </is>
      </c>
      <c r="B574" s="1" t="n">
        <v>45663</v>
      </c>
      <c r="C574" s="1" t="n">
        <v>45910</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12549-2024</t>
        </is>
      </c>
      <c r="B575" s="1" t="n">
        <v>45379</v>
      </c>
      <c r="C575" s="1" t="n">
        <v>45910</v>
      </c>
      <c r="D575" t="inlineStr">
        <is>
          <t>NORRBOTTENS LÄN</t>
        </is>
      </c>
      <c r="E575" t="inlineStr">
        <is>
          <t>LULEÅ</t>
        </is>
      </c>
      <c r="G575" t="n">
        <v>1.4</v>
      </c>
      <c r="H575" t="n">
        <v>0</v>
      </c>
      <c r="I575" t="n">
        <v>0</v>
      </c>
      <c r="J575" t="n">
        <v>0</v>
      </c>
      <c r="K575" t="n">
        <v>0</v>
      </c>
      <c r="L575" t="n">
        <v>0</v>
      </c>
      <c r="M575" t="n">
        <v>0</v>
      </c>
      <c r="N575" t="n">
        <v>0</v>
      </c>
      <c r="O575" t="n">
        <v>0</v>
      </c>
      <c r="P575" t="n">
        <v>0</v>
      </c>
      <c r="Q575" t="n">
        <v>0</v>
      </c>
      <c r="R575" s="2" t="inlineStr"/>
    </row>
    <row r="576" ht="15" customHeight="1">
      <c r="A576" t="inlineStr">
        <is>
          <t>A 12685-2023</t>
        </is>
      </c>
      <c r="B576" s="1" t="n">
        <v>44999</v>
      </c>
      <c r="C576" s="1" t="n">
        <v>45910</v>
      </c>
      <c r="D576" t="inlineStr">
        <is>
          <t>NORRBOTTENS LÄN</t>
        </is>
      </c>
      <c r="E576" t="inlineStr">
        <is>
          <t>LULEÅ</t>
        </is>
      </c>
      <c r="G576" t="n">
        <v>1.3</v>
      </c>
      <c r="H576" t="n">
        <v>0</v>
      </c>
      <c r="I576" t="n">
        <v>0</v>
      </c>
      <c r="J576" t="n">
        <v>0</v>
      </c>
      <c r="K576" t="n">
        <v>0</v>
      </c>
      <c r="L576" t="n">
        <v>0</v>
      </c>
      <c r="M576" t="n">
        <v>0</v>
      </c>
      <c r="N576" t="n">
        <v>0</v>
      </c>
      <c r="O576" t="n">
        <v>0</v>
      </c>
      <c r="P576" t="n">
        <v>0</v>
      </c>
      <c r="Q576" t="n">
        <v>0</v>
      </c>
      <c r="R576" s="2" t="inlineStr"/>
    </row>
    <row r="577" ht="15" customHeight="1">
      <c r="A577" t="inlineStr">
        <is>
          <t>A 44005-2024</t>
        </is>
      </c>
      <c r="B577" s="1" t="n">
        <v>45572.54814814815</v>
      </c>
      <c r="C577" s="1" t="n">
        <v>45910</v>
      </c>
      <c r="D577" t="inlineStr">
        <is>
          <t>NORRBOTTENS LÄN</t>
        </is>
      </c>
      <c r="E577" t="inlineStr">
        <is>
          <t>LULEÅ</t>
        </is>
      </c>
      <c r="G577" t="n">
        <v>14.8</v>
      </c>
      <c r="H577" t="n">
        <v>0</v>
      </c>
      <c r="I577" t="n">
        <v>0</v>
      </c>
      <c r="J577" t="n">
        <v>0</v>
      </c>
      <c r="K577" t="n">
        <v>0</v>
      </c>
      <c r="L577" t="n">
        <v>0</v>
      </c>
      <c r="M577" t="n">
        <v>0</v>
      </c>
      <c r="N577" t="n">
        <v>0</v>
      </c>
      <c r="O577" t="n">
        <v>0</v>
      </c>
      <c r="P577" t="n">
        <v>0</v>
      </c>
      <c r="Q577" t="n">
        <v>0</v>
      </c>
      <c r="R577" s="2" t="inlineStr"/>
    </row>
    <row r="578" ht="15" customHeight="1">
      <c r="A578" t="inlineStr">
        <is>
          <t>A 39816-2024</t>
        </is>
      </c>
      <c r="B578" s="1" t="n">
        <v>45553.3859837963</v>
      </c>
      <c r="C578" s="1" t="n">
        <v>45910</v>
      </c>
      <c r="D578" t="inlineStr">
        <is>
          <t>NORRBOTTENS LÄN</t>
        </is>
      </c>
      <c r="E578" t="inlineStr">
        <is>
          <t>LULEÅ</t>
        </is>
      </c>
      <c r="F578" t="inlineStr">
        <is>
          <t>Naturvårdsverket</t>
        </is>
      </c>
      <c r="G578" t="n">
        <v>11.1</v>
      </c>
      <c r="H578" t="n">
        <v>0</v>
      </c>
      <c r="I578" t="n">
        <v>0</v>
      </c>
      <c r="J578" t="n">
        <v>0</v>
      </c>
      <c r="K578" t="n">
        <v>0</v>
      </c>
      <c r="L578" t="n">
        <v>0</v>
      </c>
      <c r="M578" t="n">
        <v>0</v>
      </c>
      <c r="N578" t="n">
        <v>0</v>
      </c>
      <c r="O578" t="n">
        <v>0</v>
      </c>
      <c r="P578" t="n">
        <v>0</v>
      </c>
      <c r="Q578" t="n">
        <v>0</v>
      </c>
      <c r="R578" s="2" t="inlineStr"/>
    </row>
    <row r="579" ht="15" customHeight="1">
      <c r="A579" t="inlineStr">
        <is>
          <t>A 7429-2021</t>
        </is>
      </c>
      <c r="B579" s="1" t="n">
        <v>44239</v>
      </c>
      <c r="C579" s="1" t="n">
        <v>45910</v>
      </c>
      <c r="D579" t="inlineStr">
        <is>
          <t>NORRBOTTENS LÄN</t>
        </is>
      </c>
      <c r="E579" t="inlineStr">
        <is>
          <t>LULEÅ</t>
        </is>
      </c>
      <c r="G579" t="n">
        <v>3.4</v>
      </c>
      <c r="H579" t="n">
        <v>0</v>
      </c>
      <c r="I579" t="n">
        <v>0</v>
      </c>
      <c r="J579" t="n">
        <v>0</v>
      </c>
      <c r="K579" t="n">
        <v>0</v>
      </c>
      <c r="L579" t="n">
        <v>0</v>
      </c>
      <c r="M579" t="n">
        <v>0</v>
      </c>
      <c r="N579" t="n">
        <v>0</v>
      </c>
      <c r="O579" t="n">
        <v>0</v>
      </c>
      <c r="P579" t="n">
        <v>0</v>
      </c>
      <c r="Q579" t="n">
        <v>0</v>
      </c>
      <c r="R579" s="2" t="inlineStr"/>
    </row>
    <row r="580" ht="15" customHeight="1">
      <c r="A580" t="inlineStr">
        <is>
          <t>A 38358-2023</t>
        </is>
      </c>
      <c r="B580" s="1" t="n">
        <v>45161.94293981481</v>
      </c>
      <c r="C580" s="1" t="n">
        <v>45910</v>
      </c>
      <c r="D580" t="inlineStr">
        <is>
          <t>NORRBOTTENS LÄN</t>
        </is>
      </c>
      <c r="E580" t="inlineStr">
        <is>
          <t>LULEÅ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58760-2023</t>
        </is>
      </c>
      <c r="B581" s="1" t="n">
        <v>45251</v>
      </c>
      <c r="C581" s="1" t="n">
        <v>45910</v>
      </c>
      <c r="D581" t="inlineStr">
        <is>
          <t>NORRBOTTENS LÄN</t>
        </is>
      </c>
      <c r="E581" t="inlineStr">
        <is>
          <t>LULEÅ</t>
        </is>
      </c>
      <c r="G581" t="n">
        <v>5.4</v>
      </c>
      <c r="H581" t="n">
        <v>0</v>
      </c>
      <c r="I581" t="n">
        <v>0</v>
      </c>
      <c r="J581" t="n">
        <v>0</v>
      </c>
      <c r="K581" t="n">
        <v>0</v>
      </c>
      <c r="L581" t="n">
        <v>0</v>
      </c>
      <c r="M581" t="n">
        <v>0</v>
      </c>
      <c r="N581" t="n">
        <v>0</v>
      </c>
      <c r="O581" t="n">
        <v>0</v>
      </c>
      <c r="P581" t="n">
        <v>0</v>
      </c>
      <c r="Q581" t="n">
        <v>0</v>
      </c>
      <c r="R581" s="2" t="inlineStr"/>
    </row>
    <row r="582" ht="15" customHeight="1">
      <c r="A582" t="inlineStr">
        <is>
          <t>A 8816-2023</t>
        </is>
      </c>
      <c r="B582" s="1" t="n">
        <v>44973</v>
      </c>
      <c r="C582" s="1" t="n">
        <v>45910</v>
      </c>
      <c r="D582" t="inlineStr">
        <is>
          <t>NORRBOTTENS LÄN</t>
        </is>
      </c>
      <c r="E582" t="inlineStr">
        <is>
          <t>LULEÅ</t>
        </is>
      </c>
      <c r="G582" t="n">
        <v>7.4</v>
      </c>
      <c r="H582" t="n">
        <v>0</v>
      </c>
      <c r="I582" t="n">
        <v>0</v>
      </c>
      <c r="J582" t="n">
        <v>0</v>
      </c>
      <c r="K582" t="n">
        <v>0</v>
      </c>
      <c r="L582" t="n">
        <v>0</v>
      </c>
      <c r="M582" t="n">
        <v>0</v>
      </c>
      <c r="N582" t="n">
        <v>0</v>
      </c>
      <c r="O582" t="n">
        <v>0</v>
      </c>
      <c r="P582" t="n">
        <v>0</v>
      </c>
      <c r="Q582" t="n">
        <v>0</v>
      </c>
      <c r="R582" s="2" t="inlineStr"/>
    </row>
    <row r="583" ht="15" customHeight="1">
      <c r="A583" t="inlineStr">
        <is>
          <t>A 10377-2025</t>
        </is>
      </c>
      <c r="B583" s="1" t="n">
        <v>45720.5630787037</v>
      </c>
      <c r="C583" s="1" t="n">
        <v>45910</v>
      </c>
      <c r="D583" t="inlineStr">
        <is>
          <t>NORRBOTTENS LÄN</t>
        </is>
      </c>
      <c r="E583" t="inlineStr">
        <is>
          <t>LULEÅ</t>
        </is>
      </c>
      <c r="G583" t="n">
        <v>3</v>
      </c>
      <c r="H583" t="n">
        <v>0</v>
      </c>
      <c r="I583" t="n">
        <v>0</v>
      </c>
      <c r="J583" t="n">
        <v>0</v>
      </c>
      <c r="K583" t="n">
        <v>0</v>
      </c>
      <c r="L583" t="n">
        <v>0</v>
      </c>
      <c r="M583" t="n">
        <v>0</v>
      </c>
      <c r="N583" t="n">
        <v>0</v>
      </c>
      <c r="O583" t="n">
        <v>0</v>
      </c>
      <c r="P583" t="n">
        <v>0</v>
      </c>
      <c r="Q583" t="n">
        <v>0</v>
      </c>
      <c r="R583" s="2" t="inlineStr"/>
    </row>
    <row r="584" ht="15" customHeight="1">
      <c r="A584" t="inlineStr">
        <is>
          <t>A 8068-2023</t>
        </is>
      </c>
      <c r="B584" s="1" t="n">
        <v>44974.36233796296</v>
      </c>
      <c r="C584" s="1" t="n">
        <v>45910</v>
      </c>
      <c r="D584" t="inlineStr">
        <is>
          <t>NORRBOTTENS LÄN</t>
        </is>
      </c>
      <c r="E584" t="inlineStr">
        <is>
          <t>LULEÅ</t>
        </is>
      </c>
      <c r="G584" t="n">
        <v>5.4</v>
      </c>
      <c r="H584" t="n">
        <v>0</v>
      </c>
      <c r="I584" t="n">
        <v>0</v>
      </c>
      <c r="J584" t="n">
        <v>0</v>
      </c>
      <c r="K584" t="n">
        <v>0</v>
      </c>
      <c r="L584" t="n">
        <v>0</v>
      </c>
      <c r="M584" t="n">
        <v>0</v>
      </c>
      <c r="N584" t="n">
        <v>0</v>
      </c>
      <c r="O584" t="n">
        <v>0</v>
      </c>
      <c r="P584" t="n">
        <v>0</v>
      </c>
      <c r="Q584" t="n">
        <v>0</v>
      </c>
      <c r="R584" s="2" t="inlineStr"/>
    </row>
    <row r="585" ht="15" customHeight="1">
      <c r="A585" t="inlineStr">
        <is>
          <t>A 16052-2025</t>
        </is>
      </c>
      <c r="B585" s="1" t="n">
        <v>45749.64261574074</v>
      </c>
      <c r="C585" s="1" t="n">
        <v>45910</v>
      </c>
      <c r="D585" t="inlineStr">
        <is>
          <t>NORRBOTTENS LÄN</t>
        </is>
      </c>
      <c r="E585" t="inlineStr">
        <is>
          <t>LULEÅ</t>
        </is>
      </c>
      <c r="G585" t="n">
        <v>4.3</v>
      </c>
      <c r="H585" t="n">
        <v>0</v>
      </c>
      <c r="I585" t="n">
        <v>0</v>
      </c>
      <c r="J585" t="n">
        <v>0</v>
      </c>
      <c r="K585" t="n">
        <v>0</v>
      </c>
      <c r="L585" t="n">
        <v>0</v>
      </c>
      <c r="M585" t="n">
        <v>0</v>
      </c>
      <c r="N585" t="n">
        <v>0</v>
      </c>
      <c r="O585" t="n">
        <v>0</v>
      </c>
      <c r="P585" t="n">
        <v>0</v>
      </c>
      <c r="Q585" t="n">
        <v>0</v>
      </c>
      <c r="R585" s="2" t="inlineStr"/>
    </row>
    <row r="586" ht="15" customHeight="1">
      <c r="A586" t="inlineStr">
        <is>
          <t>A 49746-2022</t>
        </is>
      </c>
      <c r="B586" s="1" t="n">
        <v>44859</v>
      </c>
      <c r="C586" s="1" t="n">
        <v>45910</v>
      </c>
      <c r="D586" t="inlineStr">
        <is>
          <t>NORRBOTTENS LÄN</t>
        </is>
      </c>
      <c r="E586" t="inlineStr">
        <is>
          <t>LULEÅ</t>
        </is>
      </c>
      <c r="G586" t="n">
        <v>1.6</v>
      </c>
      <c r="H586" t="n">
        <v>0</v>
      </c>
      <c r="I586" t="n">
        <v>0</v>
      </c>
      <c r="J586" t="n">
        <v>0</v>
      </c>
      <c r="K586" t="n">
        <v>0</v>
      </c>
      <c r="L586" t="n">
        <v>0</v>
      </c>
      <c r="M586" t="n">
        <v>0</v>
      </c>
      <c r="N586" t="n">
        <v>0</v>
      </c>
      <c r="O586" t="n">
        <v>0</v>
      </c>
      <c r="P586" t="n">
        <v>0</v>
      </c>
      <c r="Q586" t="n">
        <v>0</v>
      </c>
      <c r="R586" s="2" t="inlineStr"/>
    </row>
    <row r="587" ht="15" customHeight="1">
      <c r="A587" t="inlineStr">
        <is>
          <t>A 12602-2024</t>
        </is>
      </c>
      <c r="B587" s="1" t="n">
        <v>45381</v>
      </c>
      <c r="C587" s="1" t="n">
        <v>45910</v>
      </c>
      <c r="D587" t="inlineStr">
        <is>
          <t>NORRBOTTENS LÄN</t>
        </is>
      </c>
      <c r="E587" t="inlineStr">
        <is>
          <t>LULEÅ</t>
        </is>
      </c>
      <c r="G587" t="n">
        <v>5.6</v>
      </c>
      <c r="H587" t="n">
        <v>0</v>
      </c>
      <c r="I587" t="n">
        <v>0</v>
      </c>
      <c r="J587" t="n">
        <v>0</v>
      </c>
      <c r="K587" t="n">
        <v>0</v>
      </c>
      <c r="L587" t="n">
        <v>0</v>
      </c>
      <c r="M587" t="n">
        <v>0</v>
      </c>
      <c r="N587" t="n">
        <v>0</v>
      </c>
      <c r="O587" t="n">
        <v>0</v>
      </c>
      <c r="P587" t="n">
        <v>0</v>
      </c>
      <c r="Q587" t="n">
        <v>0</v>
      </c>
      <c r="R587" s="2" t="inlineStr"/>
    </row>
    <row r="588" ht="15" customHeight="1">
      <c r="A588" t="inlineStr">
        <is>
          <t>A 5058-2025</t>
        </is>
      </c>
      <c r="B588" s="1" t="n">
        <v>45691.46903935185</v>
      </c>
      <c r="C588" s="1" t="n">
        <v>45910</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62697-2022</t>
        </is>
      </c>
      <c r="B589" s="1" t="n">
        <v>44917</v>
      </c>
      <c r="C589" s="1" t="n">
        <v>45910</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9502-2025</t>
        </is>
      </c>
      <c r="B590" s="1" t="n">
        <v>45714</v>
      </c>
      <c r="C590" s="1" t="n">
        <v>45910</v>
      </c>
      <c r="D590" t="inlineStr">
        <is>
          <t>NORRBOTTENS LÄN</t>
        </is>
      </c>
      <c r="E590" t="inlineStr">
        <is>
          <t>LULEÅ</t>
        </is>
      </c>
      <c r="G590" t="n">
        <v>5.6</v>
      </c>
      <c r="H590" t="n">
        <v>0</v>
      </c>
      <c r="I590" t="n">
        <v>0</v>
      </c>
      <c r="J590" t="n">
        <v>0</v>
      </c>
      <c r="K590" t="n">
        <v>0</v>
      </c>
      <c r="L590" t="n">
        <v>0</v>
      </c>
      <c r="M590" t="n">
        <v>0</v>
      </c>
      <c r="N590" t="n">
        <v>0</v>
      </c>
      <c r="O590" t="n">
        <v>0</v>
      </c>
      <c r="P590" t="n">
        <v>0</v>
      </c>
      <c r="Q590" t="n">
        <v>0</v>
      </c>
      <c r="R590" s="2" t="inlineStr"/>
    </row>
    <row r="591" ht="15" customHeight="1">
      <c r="A591" t="inlineStr">
        <is>
          <t>A 61315-2022</t>
        </is>
      </c>
      <c r="B591" s="1" t="n">
        <v>44909</v>
      </c>
      <c r="C591" s="1" t="n">
        <v>45910</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45910</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8521-2022</t>
        </is>
      </c>
      <c r="B593" s="1" t="n">
        <v>44610</v>
      </c>
      <c r="C593" s="1" t="n">
        <v>45910</v>
      </c>
      <c r="D593" t="inlineStr">
        <is>
          <t>NORRBOTTENS LÄN</t>
        </is>
      </c>
      <c r="E593" t="inlineStr">
        <is>
          <t>LULEÅ</t>
        </is>
      </c>
      <c r="G593" t="n">
        <v>2.2</v>
      </c>
      <c r="H593" t="n">
        <v>0</v>
      </c>
      <c r="I593" t="n">
        <v>0</v>
      </c>
      <c r="J593" t="n">
        <v>0</v>
      </c>
      <c r="K593" t="n">
        <v>0</v>
      </c>
      <c r="L593" t="n">
        <v>0</v>
      </c>
      <c r="M593" t="n">
        <v>0</v>
      </c>
      <c r="N593" t="n">
        <v>0</v>
      </c>
      <c r="O593" t="n">
        <v>0</v>
      </c>
      <c r="P593" t="n">
        <v>0</v>
      </c>
      <c r="Q593" t="n">
        <v>0</v>
      </c>
      <c r="R593" s="2" t="inlineStr"/>
    </row>
    <row r="594" ht="15" customHeight="1">
      <c r="A594" t="inlineStr">
        <is>
          <t>A 14159-2024</t>
        </is>
      </c>
      <c r="B594" s="1" t="n">
        <v>45392.92930555555</v>
      </c>
      <c r="C594" s="1" t="n">
        <v>45910</v>
      </c>
      <c r="D594" t="inlineStr">
        <is>
          <t>NORRBOTTENS LÄN</t>
        </is>
      </c>
      <c r="E594" t="inlineStr">
        <is>
          <t>LULEÅ</t>
        </is>
      </c>
      <c r="G594" t="n">
        <v>33.9</v>
      </c>
      <c r="H594" t="n">
        <v>0</v>
      </c>
      <c r="I594" t="n">
        <v>0</v>
      </c>
      <c r="J594" t="n">
        <v>0</v>
      </c>
      <c r="K594" t="n">
        <v>0</v>
      </c>
      <c r="L594" t="n">
        <v>0</v>
      </c>
      <c r="M594" t="n">
        <v>0</v>
      </c>
      <c r="N594" t="n">
        <v>0</v>
      </c>
      <c r="O594" t="n">
        <v>0</v>
      </c>
      <c r="P594" t="n">
        <v>0</v>
      </c>
      <c r="Q594" t="n">
        <v>0</v>
      </c>
      <c r="R594" s="2" t="inlineStr"/>
    </row>
    <row r="595" ht="15" customHeight="1">
      <c r="A595" t="inlineStr">
        <is>
          <t>A 54879-2021</t>
        </is>
      </c>
      <c r="B595" s="1" t="n">
        <v>44473</v>
      </c>
      <c r="C595" s="1" t="n">
        <v>45910</v>
      </c>
      <c r="D595" t="inlineStr">
        <is>
          <t>NORRBOTTENS LÄN</t>
        </is>
      </c>
      <c r="E595" t="inlineStr">
        <is>
          <t>LULEÅ</t>
        </is>
      </c>
      <c r="G595" t="n">
        <v>1.2</v>
      </c>
      <c r="H595" t="n">
        <v>0</v>
      </c>
      <c r="I595" t="n">
        <v>0</v>
      </c>
      <c r="J595" t="n">
        <v>0</v>
      </c>
      <c r="K595" t="n">
        <v>0</v>
      </c>
      <c r="L595" t="n">
        <v>0</v>
      </c>
      <c r="M595" t="n">
        <v>0</v>
      </c>
      <c r="N595" t="n">
        <v>0</v>
      </c>
      <c r="O595" t="n">
        <v>0</v>
      </c>
      <c r="P595" t="n">
        <v>0</v>
      </c>
      <c r="Q595" t="n">
        <v>0</v>
      </c>
      <c r="R595" s="2" t="inlineStr"/>
    </row>
    <row r="596" ht="15" customHeight="1">
      <c r="A596" t="inlineStr">
        <is>
          <t>A 57816-2022</t>
        </is>
      </c>
      <c r="B596" s="1" t="n">
        <v>44897.92487268519</v>
      </c>
      <c r="C596" s="1" t="n">
        <v>45910</v>
      </c>
      <c r="D596" t="inlineStr">
        <is>
          <t>NORRBOTTENS LÄN</t>
        </is>
      </c>
      <c r="E596" t="inlineStr">
        <is>
          <t>LULEÅ</t>
        </is>
      </c>
      <c r="G596" t="n">
        <v>3.4</v>
      </c>
      <c r="H596" t="n">
        <v>0</v>
      </c>
      <c r="I596" t="n">
        <v>0</v>
      </c>
      <c r="J596" t="n">
        <v>0</v>
      </c>
      <c r="K596" t="n">
        <v>0</v>
      </c>
      <c r="L596" t="n">
        <v>0</v>
      </c>
      <c r="M596" t="n">
        <v>0</v>
      </c>
      <c r="N596" t="n">
        <v>0</v>
      </c>
      <c r="O596" t="n">
        <v>0</v>
      </c>
      <c r="P596" t="n">
        <v>0</v>
      </c>
      <c r="Q596" t="n">
        <v>0</v>
      </c>
      <c r="R596" s="2" t="inlineStr"/>
    </row>
    <row r="597" ht="15" customHeight="1">
      <c r="A597" t="inlineStr">
        <is>
          <t>A 50632-2021</t>
        </is>
      </c>
      <c r="B597" s="1" t="n">
        <v>44459</v>
      </c>
      <c r="C597" s="1" t="n">
        <v>45910</v>
      </c>
      <c r="D597" t="inlineStr">
        <is>
          <t>NORRBOTTENS LÄN</t>
        </is>
      </c>
      <c r="E597" t="inlineStr">
        <is>
          <t>LULEÅ</t>
        </is>
      </c>
      <c r="G597" t="n">
        <v>3.5</v>
      </c>
      <c r="H597" t="n">
        <v>0</v>
      </c>
      <c r="I597" t="n">
        <v>0</v>
      </c>
      <c r="J597" t="n">
        <v>0</v>
      </c>
      <c r="K597" t="n">
        <v>0</v>
      </c>
      <c r="L597" t="n">
        <v>0</v>
      </c>
      <c r="M597" t="n">
        <v>0</v>
      </c>
      <c r="N597" t="n">
        <v>0</v>
      </c>
      <c r="O597" t="n">
        <v>0</v>
      </c>
      <c r="P597" t="n">
        <v>0</v>
      </c>
      <c r="Q597" t="n">
        <v>0</v>
      </c>
      <c r="R597" s="2" t="inlineStr"/>
    </row>
    <row r="598" ht="15" customHeight="1">
      <c r="A598" t="inlineStr">
        <is>
          <t>A 57911-2023</t>
        </is>
      </c>
      <c r="B598" s="1" t="n">
        <v>45247</v>
      </c>
      <c r="C598" s="1" t="n">
        <v>45910</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7390-2023</t>
        </is>
      </c>
      <c r="B599" s="1" t="n">
        <v>44966</v>
      </c>
      <c r="C599" s="1" t="n">
        <v>45910</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35918-2024</t>
        </is>
      </c>
      <c r="B600" s="1" t="n">
        <v>45533</v>
      </c>
      <c r="C600" s="1" t="n">
        <v>45910</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49712-2022</t>
        </is>
      </c>
      <c r="B601" s="1" t="n">
        <v>44859</v>
      </c>
      <c r="C601" s="1" t="n">
        <v>45910</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8767-2025</t>
        </is>
      </c>
      <c r="B602" s="1" t="n">
        <v>45712.58931712963</v>
      </c>
      <c r="C602" s="1" t="n">
        <v>45910</v>
      </c>
      <c r="D602" t="inlineStr">
        <is>
          <t>NORRBOTTENS LÄN</t>
        </is>
      </c>
      <c r="E602" t="inlineStr">
        <is>
          <t>LULEÅ</t>
        </is>
      </c>
      <c r="G602" t="n">
        <v>3.4</v>
      </c>
      <c r="H602" t="n">
        <v>0</v>
      </c>
      <c r="I602" t="n">
        <v>0</v>
      </c>
      <c r="J602" t="n">
        <v>0</v>
      </c>
      <c r="K602" t="n">
        <v>0</v>
      </c>
      <c r="L602" t="n">
        <v>0</v>
      </c>
      <c r="M602" t="n">
        <v>0</v>
      </c>
      <c r="N602" t="n">
        <v>0</v>
      </c>
      <c r="O602" t="n">
        <v>0</v>
      </c>
      <c r="P602" t="n">
        <v>0</v>
      </c>
      <c r="Q602" t="n">
        <v>0</v>
      </c>
      <c r="R602" s="2" t="inlineStr"/>
    </row>
    <row r="603" ht="15" customHeight="1">
      <c r="A603" t="inlineStr">
        <is>
          <t>A 6958-2025</t>
        </is>
      </c>
      <c r="B603" s="1" t="n">
        <v>45701.49054398148</v>
      </c>
      <c r="C603" s="1" t="n">
        <v>45910</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12552-2024</t>
        </is>
      </c>
      <c r="B604" s="1" t="n">
        <v>45379</v>
      </c>
      <c r="C604" s="1" t="n">
        <v>45910</v>
      </c>
      <c r="D604" t="inlineStr">
        <is>
          <t>NORRBOTTENS LÄN</t>
        </is>
      </c>
      <c r="E604" t="inlineStr">
        <is>
          <t>LULEÅ</t>
        </is>
      </c>
      <c r="G604" t="n">
        <v>0.6</v>
      </c>
      <c r="H604" t="n">
        <v>0</v>
      </c>
      <c r="I604" t="n">
        <v>0</v>
      </c>
      <c r="J604" t="n">
        <v>0</v>
      </c>
      <c r="K604" t="n">
        <v>0</v>
      </c>
      <c r="L604" t="n">
        <v>0</v>
      </c>
      <c r="M604" t="n">
        <v>0</v>
      </c>
      <c r="N604" t="n">
        <v>0</v>
      </c>
      <c r="O604" t="n">
        <v>0</v>
      </c>
      <c r="P604" t="n">
        <v>0</v>
      </c>
      <c r="Q604" t="n">
        <v>0</v>
      </c>
      <c r="R604" s="2" t="inlineStr"/>
    </row>
    <row r="605" ht="15" customHeight="1">
      <c r="A605" t="inlineStr">
        <is>
          <t>A 60121-2024</t>
        </is>
      </c>
      <c r="B605" s="1" t="n">
        <v>45642.58465277778</v>
      </c>
      <c r="C605" s="1" t="n">
        <v>45910</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8903-2025</t>
        </is>
      </c>
      <c r="B606" s="1" t="n">
        <v>45712</v>
      </c>
      <c r="C606" s="1" t="n">
        <v>45910</v>
      </c>
      <c r="D606" t="inlineStr">
        <is>
          <t>NORRBOTTENS LÄN</t>
        </is>
      </c>
      <c r="E606" t="inlineStr">
        <is>
          <t>LULEÅ</t>
        </is>
      </c>
      <c r="G606" t="n">
        <v>1.8</v>
      </c>
      <c r="H606" t="n">
        <v>0</v>
      </c>
      <c r="I606" t="n">
        <v>0</v>
      </c>
      <c r="J606" t="n">
        <v>0</v>
      </c>
      <c r="K606" t="n">
        <v>0</v>
      </c>
      <c r="L606" t="n">
        <v>0</v>
      </c>
      <c r="M606" t="n">
        <v>0</v>
      </c>
      <c r="N606" t="n">
        <v>0</v>
      </c>
      <c r="O606" t="n">
        <v>0</v>
      </c>
      <c r="P606" t="n">
        <v>0</v>
      </c>
      <c r="Q606" t="n">
        <v>0</v>
      </c>
      <c r="R606" s="2" t="inlineStr"/>
    </row>
    <row r="607" ht="15" customHeight="1">
      <c r="A607" t="inlineStr">
        <is>
          <t>A 29490-2023</t>
        </is>
      </c>
      <c r="B607" s="1" t="n">
        <v>45098</v>
      </c>
      <c r="C607" s="1" t="n">
        <v>45910</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29510-2023</t>
        </is>
      </c>
      <c r="B608" s="1" t="n">
        <v>45098</v>
      </c>
      <c r="C608" s="1" t="n">
        <v>45910</v>
      </c>
      <c r="D608" t="inlineStr">
        <is>
          <t>NORRBOTTENS LÄN</t>
        </is>
      </c>
      <c r="E608" t="inlineStr">
        <is>
          <t>LULEÅ</t>
        </is>
      </c>
      <c r="G608" t="n">
        <v>3.8</v>
      </c>
      <c r="H608" t="n">
        <v>0</v>
      </c>
      <c r="I608" t="n">
        <v>0</v>
      </c>
      <c r="J608" t="n">
        <v>0</v>
      </c>
      <c r="K608" t="n">
        <v>0</v>
      </c>
      <c r="L608" t="n">
        <v>0</v>
      </c>
      <c r="M608" t="n">
        <v>0</v>
      </c>
      <c r="N608" t="n">
        <v>0</v>
      </c>
      <c r="O608" t="n">
        <v>0</v>
      </c>
      <c r="P608" t="n">
        <v>0</v>
      </c>
      <c r="Q608" t="n">
        <v>0</v>
      </c>
      <c r="R608" s="2" t="inlineStr"/>
    </row>
    <row r="609" ht="15" customHeight="1">
      <c r="A609" t="inlineStr">
        <is>
          <t>A 7880-2025</t>
        </is>
      </c>
      <c r="B609" s="1" t="n">
        <v>45706.785</v>
      </c>
      <c r="C609" s="1" t="n">
        <v>45910</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14803-2023</t>
        </is>
      </c>
      <c r="B610" s="1" t="n">
        <v>45013</v>
      </c>
      <c r="C610" s="1" t="n">
        <v>45910</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2659-2025</t>
        </is>
      </c>
      <c r="B611" s="1" t="n">
        <v>45676.8134375</v>
      </c>
      <c r="C611" s="1" t="n">
        <v>45910</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8928-2025</t>
        </is>
      </c>
      <c r="B612" s="1" t="n">
        <v>45712</v>
      </c>
      <c r="C612" s="1" t="n">
        <v>45910</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13063-2024</t>
        </is>
      </c>
      <c r="B613" s="1" t="n">
        <v>45385</v>
      </c>
      <c r="C613" s="1" t="n">
        <v>45910</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13065-2024</t>
        </is>
      </c>
      <c r="B614" s="1" t="n">
        <v>45385</v>
      </c>
      <c r="C614" s="1" t="n">
        <v>45910</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61942-2024</t>
        </is>
      </c>
      <c r="B615" s="1" t="n">
        <v>45653.48405092592</v>
      </c>
      <c r="C615" s="1" t="n">
        <v>45910</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11845-2025</t>
        </is>
      </c>
      <c r="B616" s="1" t="n">
        <v>45727</v>
      </c>
      <c r="C616" s="1" t="n">
        <v>45910</v>
      </c>
      <c r="D616" t="inlineStr">
        <is>
          <t>NORRBOTTENS LÄN</t>
        </is>
      </c>
      <c r="E616" t="inlineStr">
        <is>
          <t>LULEÅ</t>
        </is>
      </c>
      <c r="G616" t="n">
        <v>9.6</v>
      </c>
      <c r="H616" t="n">
        <v>0</v>
      </c>
      <c r="I616" t="n">
        <v>0</v>
      </c>
      <c r="J616" t="n">
        <v>0</v>
      </c>
      <c r="K616" t="n">
        <v>0</v>
      </c>
      <c r="L616" t="n">
        <v>0</v>
      </c>
      <c r="M616" t="n">
        <v>0</v>
      </c>
      <c r="N616" t="n">
        <v>0</v>
      </c>
      <c r="O616" t="n">
        <v>0</v>
      </c>
      <c r="P616" t="n">
        <v>0</v>
      </c>
      <c r="Q616" t="n">
        <v>0</v>
      </c>
      <c r="R616" s="2" t="inlineStr"/>
    </row>
    <row r="617" ht="15" customHeight="1">
      <c r="A617" t="inlineStr">
        <is>
          <t>A 17898-2025</t>
        </is>
      </c>
      <c r="B617" s="1" t="n">
        <v>45758</v>
      </c>
      <c r="C617" s="1" t="n">
        <v>45910</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17900-2025</t>
        </is>
      </c>
      <c r="B618" s="1" t="n">
        <v>45758.69837962963</v>
      </c>
      <c r="C618" s="1" t="n">
        <v>45910</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58759-2023</t>
        </is>
      </c>
      <c r="B619" s="1" t="n">
        <v>45251</v>
      </c>
      <c r="C619" s="1" t="n">
        <v>45910</v>
      </c>
      <c r="D619" t="inlineStr">
        <is>
          <t>NORRBOTTENS LÄN</t>
        </is>
      </c>
      <c r="E619" t="inlineStr">
        <is>
          <t>LULEÅ</t>
        </is>
      </c>
      <c r="G619" t="n">
        <v>2.6</v>
      </c>
      <c r="H619" t="n">
        <v>0</v>
      </c>
      <c r="I619" t="n">
        <v>0</v>
      </c>
      <c r="J619" t="n">
        <v>0</v>
      </c>
      <c r="K619" t="n">
        <v>0</v>
      </c>
      <c r="L619" t="n">
        <v>0</v>
      </c>
      <c r="M619" t="n">
        <v>0</v>
      </c>
      <c r="N619" t="n">
        <v>0</v>
      </c>
      <c r="O619" t="n">
        <v>0</v>
      </c>
      <c r="P619" t="n">
        <v>0</v>
      </c>
      <c r="Q619" t="n">
        <v>0</v>
      </c>
      <c r="R619" s="2" t="inlineStr"/>
    </row>
    <row r="620" ht="15" customHeight="1">
      <c r="A620" t="inlineStr">
        <is>
          <t>A 4771-2024</t>
        </is>
      </c>
      <c r="B620" s="1" t="n">
        <v>45328</v>
      </c>
      <c r="C620" s="1" t="n">
        <v>45910</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21597-2024</t>
        </is>
      </c>
      <c r="B621" s="1" t="n">
        <v>45441.9291087963</v>
      </c>
      <c r="C621" s="1" t="n">
        <v>45910</v>
      </c>
      <c r="D621" t="inlineStr">
        <is>
          <t>NORRBOTTENS LÄN</t>
        </is>
      </c>
      <c r="E621" t="inlineStr">
        <is>
          <t>LULEÅ</t>
        </is>
      </c>
      <c r="G621" t="n">
        <v>3.7</v>
      </c>
      <c r="H621" t="n">
        <v>0</v>
      </c>
      <c r="I621" t="n">
        <v>0</v>
      </c>
      <c r="J621" t="n">
        <v>0</v>
      </c>
      <c r="K621" t="n">
        <v>0</v>
      </c>
      <c r="L621" t="n">
        <v>0</v>
      </c>
      <c r="M621" t="n">
        <v>0</v>
      </c>
      <c r="N621" t="n">
        <v>0</v>
      </c>
      <c r="O621" t="n">
        <v>0</v>
      </c>
      <c r="P621" t="n">
        <v>0</v>
      </c>
      <c r="Q621" t="n">
        <v>0</v>
      </c>
      <c r="R621" s="2" t="inlineStr"/>
    </row>
    <row r="622">
      <c r="A622" t="inlineStr">
        <is>
          <t>A 59656-2024</t>
        </is>
      </c>
      <c r="B622" s="1" t="n">
        <v>45639</v>
      </c>
      <c r="C622" s="1" t="n">
        <v>45910</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2025-09-10T18:20:08Z</dcterms:created>
  <dcterms:modified xmlns:dcterms="http://purl.org/dc/terms/" xmlns:xsi="http://www.w3.org/2001/XMLSchema-instance" xsi:type="dcterms:W3CDTF">2025-09-10T18:20:08Z</dcterms:modified>
</cp:coreProperties>
</file>