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46088</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46088</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46088</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46088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46088</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46088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46088</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46088</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46088</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46088</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46088</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46088</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46088</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46088</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46088</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46088</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46088</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46088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46088</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46088</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46088</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46088</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46088</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46088</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46088</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46088</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46088</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46088</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46088</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43978-2025</t>
        </is>
      </c>
      <c r="B35" s="1" t="n">
        <v>45915</v>
      </c>
      <c r="C35" s="1" t="n">
        <v>46088</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46088</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46088</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46088</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46088</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8990-2026</t>
        </is>
      </c>
      <c r="B40" s="1" t="n">
        <v>46069</v>
      </c>
      <c r="C40" s="1" t="n">
        <v>46088</v>
      </c>
      <c r="D40" t="inlineStr">
        <is>
          <t>NORRBOTTENS LÄN</t>
        </is>
      </c>
      <c r="E40" t="inlineStr">
        <is>
          <t>LULEÅ</t>
        </is>
      </c>
      <c r="G40" t="n">
        <v>30</v>
      </c>
      <c r="H40" t="n">
        <v>0</v>
      </c>
      <c r="I40" t="n">
        <v>0</v>
      </c>
      <c r="J40" t="n">
        <v>1</v>
      </c>
      <c r="K40" t="n">
        <v>0</v>
      </c>
      <c r="L40" t="n">
        <v>0</v>
      </c>
      <c r="M40" t="n">
        <v>0</v>
      </c>
      <c r="N40" t="n">
        <v>0</v>
      </c>
      <c r="O40" t="n">
        <v>1</v>
      </c>
      <c r="P40" t="n">
        <v>0</v>
      </c>
      <c r="Q40" t="n">
        <v>1</v>
      </c>
      <c r="R40" s="2" t="inlineStr">
        <is>
          <t>Blå taggsvamp</t>
        </is>
      </c>
      <c r="S40">
        <f>HYPERLINK("https://klasma.github.io/Logging_2580/artfynd/A 8990-2026 artfynd.xlsx", "A 8990-2026")</f>
        <v/>
      </c>
      <c r="T40">
        <f>HYPERLINK("https://klasma.github.io/Logging_2580/kartor/A 8990-2026 karta.png", "A 8990-2026")</f>
        <v/>
      </c>
      <c r="V40">
        <f>HYPERLINK("https://klasma.github.io/Logging_2580/klagomål/A 8990-2026 FSC-klagomål.docx", "A 8990-2026")</f>
        <v/>
      </c>
      <c r="W40">
        <f>HYPERLINK("https://klasma.github.io/Logging_2580/klagomålsmail/A 8990-2026 FSC-klagomål mail.docx", "A 8990-2026")</f>
        <v/>
      </c>
      <c r="X40">
        <f>HYPERLINK("https://klasma.github.io/Logging_2580/tillsyn/A 8990-2026 tillsynsbegäran.docx", "A 8990-2026")</f>
        <v/>
      </c>
      <c r="Y40">
        <f>HYPERLINK("https://klasma.github.io/Logging_2580/tillsynsmail/A 8990-2026 tillsynsbegäran mail.docx", "A 8990-2026")</f>
        <v/>
      </c>
    </row>
    <row r="41" ht="15" customHeight="1">
      <c r="A41" t="inlineStr">
        <is>
          <t>A 49423-2025</t>
        </is>
      </c>
      <c r="B41" s="1" t="n">
        <v>45938</v>
      </c>
      <c r="C41" s="1" t="n">
        <v>46088</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216-2026</t>
        </is>
      </c>
      <c r="B42" s="1" t="n">
        <v>46026.65243055556</v>
      </c>
      <c r="C42" s="1" t="n">
        <v>46088</v>
      </c>
      <c r="D42" t="inlineStr">
        <is>
          <t>NORRBOTTENS LÄN</t>
        </is>
      </c>
      <c r="E42" t="inlineStr">
        <is>
          <t>LULEÅ</t>
        </is>
      </c>
      <c r="G42" t="n">
        <v>3.8</v>
      </c>
      <c r="H42" t="n">
        <v>1</v>
      </c>
      <c r="I42" t="n">
        <v>0</v>
      </c>
      <c r="J42" t="n">
        <v>1</v>
      </c>
      <c r="K42" t="n">
        <v>0</v>
      </c>
      <c r="L42" t="n">
        <v>0</v>
      </c>
      <c r="M42" t="n">
        <v>0</v>
      </c>
      <c r="N42" t="n">
        <v>0</v>
      </c>
      <c r="O42" t="n">
        <v>1</v>
      </c>
      <c r="P42" t="n">
        <v>0</v>
      </c>
      <c r="Q42" t="n">
        <v>1</v>
      </c>
      <c r="R42" s="2" t="inlineStr">
        <is>
          <t>Spillkråka</t>
        </is>
      </c>
      <c r="S42">
        <f>HYPERLINK("https://klasma.github.io/Logging_2580/artfynd/A 216-2026 artfynd.xlsx", "A 216-2026")</f>
        <v/>
      </c>
      <c r="T42">
        <f>HYPERLINK("https://klasma.github.io/Logging_2580/kartor/A 216-2026 karta.png", "A 216-2026")</f>
        <v/>
      </c>
      <c r="V42">
        <f>HYPERLINK("https://klasma.github.io/Logging_2580/klagomål/A 216-2026 FSC-klagomål.docx", "A 216-2026")</f>
        <v/>
      </c>
      <c r="W42">
        <f>HYPERLINK("https://klasma.github.io/Logging_2580/klagomålsmail/A 216-2026 FSC-klagomål mail.docx", "A 216-2026")</f>
        <v/>
      </c>
      <c r="X42">
        <f>HYPERLINK("https://klasma.github.io/Logging_2580/tillsyn/A 216-2026 tillsynsbegäran.docx", "A 216-2026")</f>
        <v/>
      </c>
      <c r="Y42">
        <f>HYPERLINK("https://klasma.github.io/Logging_2580/tillsynsmail/A 216-2026 tillsynsbegäran mail.docx", "A 216-2026")</f>
        <v/>
      </c>
      <c r="Z42">
        <f>HYPERLINK("https://klasma.github.io/Logging_2580/fåglar/A 216-2026 prioriterade fågelarter.docx", "A 216-2026")</f>
        <v/>
      </c>
    </row>
    <row r="43" ht="15" customHeight="1">
      <c r="A43" t="inlineStr">
        <is>
          <t>A 59466-2023</t>
        </is>
      </c>
      <c r="B43" s="1" t="n">
        <v>45254.4122337963</v>
      </c>
      <c r="C43" s="1" t="n">
        <v>46088</v>
      </c>
      <c r="D43" t="inlineStr">
        <is>
          <t>NORRBOTTENS LÄN</t>
        </is>
      </c>
      <c r="E43" t="inlineStr">
        <is>
          <t>LULEÅ</t>
        </is>
      </c>
      <c r="F43" t="inlineStr">
        <is>
          <t>Sveaskog</t>
        </is>
      </c>
      <c r="G43" t="n">
        <v>0.4</v>
      </c>
      <c r="H43" t="n">
        <v>0</v>
      </c>
      <c r="I43" t="n">
        <v>0</v>
      </c>
      <c r="J43" t="n">
        <v>1</v>
      </c>
      <c r="K43" t="n">
        <v>0</v>
      </c>
      <c r="L43" t="n">
        <v>0</v>
      </c>
      <c r="M43" t="n">
        <v>0</v>
      </c>
      <c r="N43" t="n">
        <v>0</v>
      </c>
      <c r="O43" t="n">
        <v>1</v>
      </c>
      <c r="P43" t="n">
        <v>0</v>
      </c>
      <c r="Q43" t="n">
        <v>1</v>
      </c>
      <c r="R43" s="2" t="inlineStr">
        <is>
          <t>Motaggsvamp</t>
        </is>
      </c>
      <c r="S43">
        <f>HYPERLINK("https://klasma.github.io/Logging_2580/artfynd/A 59466-2023 artfynd.xlsx", "A 59466-2023")</f>
        <v/>
      </c>
      <c r="T43">
        <f>HYPERLINK("https://klasma.github.io/Logging_2580/kartor/A 59466-2023 karta.png", "A 59466-2023")</f>
        <v/>
      </c>
      <c r="V43">
        <f>HYPERLINK("https://klasma.github.io/Logging_2580/klagomål/A 59466-2023 FSC-klagomål.docx", "A 59466-2023")</f>
        <v/>
      </c>
      <c r="W43">
        <f>HYPERLINK("https://klasma.github.io/Logging_2580/klagomålsmail/A 59466-2023 FSC-klagomål mail.docx", "A 59466-2023")</f>
        <v/>
      </c>
      <c r="X43">
        <f>HYPERLINK("https://klasma.github.io/Logging_2580/tillsyn/A 59466-2023 tillsynsbegäran.docx", "A 59466-2023")</f>
        <v/>
      </c>
      <c r="Y43">
        <f>HYPERLINK("https://klasma.github.io/Logging_2580/tillsynsmail/A 59466-2023 tillsynsbegäran mail.docx", "A 59466-2023")</f>
        <v/>
      </c>
    </row>
    <row r="44" ht="15" customHeight="1">
      <c r="A44" t="inlineStr">
        <is>
          <t>A 59395-2024</t>
        </is>
      </c>
      <c r="B44" s="1" t="n">
        <v>45638</v>
      </c>
      <c r="C44" s="1" t="n">
        <v>46088</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60002-2024</t>
        </is>
      </c>
      <c r="B45" s="1" t="n">
        <v>45642.41423611111</v>
      </c>
      <c r="C45" s="1" t="n">
        <v>46088</v>
      </c>
      <c r="D45" t="inlineStr">
        <is>
          <t>NORRBOTTENS LÄN</t>
        </is>
      </c>
      <c r="E45" t="inlineStr">
        <is>
          <t>LULEÅ</t>
        </is>
      </c>
      <c r="G45" t="n">
        <v>5</v>
      </c>
      <c r="H45" t="n">
        <v>1</v>
      </c>
      <c r="I45" t="n">
        <v>0</v>
      </c>
      <c r="J45" t="n">
        <v>0</v>
      </c>
      <c r="K45" t="n">
        <v>0</v>
      </c>
      <c r="L45" t="n">
        <v>0</v>
      </c>
      <c r="M45" t="n">
        <v>0</v>
      </c>
      <c r="N45" t="n">
        <v>0</v>
      </c>
      <c r="O45" t="n">
        <v>0</v>
      </c>
      <c r="P45" t="n">
        <v>0</v>
      </c>
      <c r="Q45" t="n">
        <v>1</v>
      </c>
      <c r="R45" s="2" t="inlineStr">
        <is>
          <t>Fläcknycklar</t>
        </is>
      </c>
      <c r="S45">
        <f>HYPERLINK("https://klasma.github.io/Logging_2580/artfynd/A 60002-2024 artfynd.xlsx", "A 60002-2024")</f>
        <v/>
      </c>
      <c r="T45">
        <f>HYPERLINK("https://klasma.github.io/Logging_2580/kartor/A 60002-2024 karta.png", "A 60002-2024")</f>
        <v/>
      </c>
      <c r="V45">
        <f>HYPERLINK("https://klasma.github.io/Logging_2580/klagomål/A 60002-2024 FSC-klagomål.docx", "A 60002-2024")</f>
        <v/>
      </c>
      <c r="W45">
        <f>HYPERLINK("https://klasma.github.io/Logging_2580/klagomålsmail/A 60002-2024 FSC-klagomål mail.docx", "A 60002-2024")</f>
        <v/>
      </c>
      <c r="X45">
        <f>HYPERLINK("https://klasma.github.io/Logging_2580/tillsyn/A 60002-2024 tillsynsbegäran.docx", "A 60002-2024")</f>
        <v/>
      </c>
      <c r="Y45">
        <f>HYPERLINK("https://klasma.github.io/Logging_2580/tillsynsmail/A 60002-2024 tillsynsbegäran mail.docx", "A 60002-2024")</f>
        <v/>
      </c>
    </row>
    <row r="46" ht="15" customHeight="1">
      <c r="A46" t="inlineStr">
        <is>
          <t>A 52681-2025</t>
        </is>
      </c>
      <c r="B46" s="1" t="n">
        <v>45956.34490740741</v>
      </c>
      <c r="C46" s="1" t="n">
        <v>46088</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46088</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51900-2025</t>
        </is>
      </c>
      <c r="B48" s="1" t="n">
        <v>45952</v>
      </c>
      <c r="C48" s="1" t="n">
        <v>46088</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38889-2025</t>
        </is>
      </c>
      <c r="B49" s="1" t="n">
        <v>45887.58668981482</v>
      </c>
      <c r="C49" s="1" t="n">
        <v>46088</v>
      </c>
      <c r="D49" t="inlineStr">
        <is>
          <t>NORRBOTTENS LÄN</t>
        </is>
      </c>
      <c r="E49" t="inlineStr">
        <is>
          <t>LULEÅ</t>
        </is>
      </c>
      <c r="G49" t="n">
        <v>5.5</v>
      </c>
      <c r="H49" t="n">
        <v>1</v>
      </c>
      <c r="I49" t="n">
        <v>0</v>
      </c>
      <c r="J49" t="n">
        <v>1</v>
      </c>
      <c r="K49" t="n">
        <v>0</v>
      </c>
      <c r="L49" t="n">
        <v>0</v>
      </c>
      <c r="M49" t="n">
        <v>0</v>
      </c>
      <c r="N49" t="n">
        <v>0</v>
      </c>
      <c r="O49" t="n">
        <v>1</v>
      </c>
      <c r="P49" t="n">
        <v>0</v>
      </c>
      <c r="Q49" t="n">
        <v>1</v>
      </c>
      <c r="R49" s="2" t="inlineStr">
        <is>
          <t>Svartvit flugsnappare</t>
        </is>
      </c>
      <c r="S49">
        <f>HYPERLINK("https://klasma.github.io/Logging_2580/artfynd/A 38889-2025 artfynd.xlsx", "A 38889-2025")</f>
        <v/>
      </c>
      <c r="T49">
        <f>HYPERLINK("https://klasma.github.io/Logging_2580/kartor/A 38889-2025 karta.png", "A 38889-2025")</f>
        <v/>
      </c>
      <c r="V49">
        <f>HYPERLINK("https://klasma.github.io/Logging_2580/klagomål/A 38889-2025 FSC-klagomål.docx", "A 38889-2025")</f>
        <v/>
      </c>
      <c r="W49">
        <f>HYPERLINK("https://klasma.github.io/Logging_2580/klagomålsmail/A 38889-2025 FSC-klagomål mail.docx", "A 38889-2025")</f>
        <v/>
      </c>
      <c r="X49">
        <f>HYPERLINK("https://klasma.github.io/Logging_2580/tillsyn/A 38889-2025 tillsynsbegäran.docx", "A 38889-2025")</f>
        <v/>
      </c>
      <c r="Y49">
        <f>HYPERLINK("https://klasma.github.io/Logging_2580/tillsynsmail/A 38889-2025 tillsynsbegäran mail.docx", "A 38889-2025")</f>
        <v/>
      </c>
      <c r="Z49">
        <f>HYPERLINK("https://klasma.github.io/Logging_2580/fåglar/A 38889-2025 prioriterade fågelarter.docx", "A 38889-2025")</f>
        <v/>
      </c>
    </row>
    <row r="50" ht="15" customHeight="1">
      <c r="A50" t="inlineStr">
        <is>
          <t>A 2650-2026</t>
        </is>
      </c>
      <c r="B50" s="1" t="n">
        <v>46037.62674768519</v>
      </c>
      <c r="C50" s="1" t="n">
        <v>46088</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11855-2025</t>
        </is>
      </c>
      <c r="B51" s="1" t="n">
        <v>45727</v>
      </c>
      <c r="C51" s="1" t="n">
        <v>46088</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46088</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62753-2025</t>
        </is>
      </c>
      <c r="B53" s="1" t="n">
        <v>46008.58657407408</v>
      </c>
      <c r="C53" s="1" t="n">
        <v>46088</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60585-2024</t>
        </is>
      </c>
      <c r="B54" s="1" t="n">
        <v>45644</v>
      </c>
      <c r="C54" s="1" t="n">
        <v>46088</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46088</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4561-2023</t>
        </is>
      </c>
      <c r="B56" s="1" t="n">
        <v>44951</v>
      </c>
      <c r="C56" s="1" t="n">
        <v>46088</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46088</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46088</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46088</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46088</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46088</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46088</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46088</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46088</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46088</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46088</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46088</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46088</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46088</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46088</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46088</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46088</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46088</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46088</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46088</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46088</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46088</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46088</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46088</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46088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46088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46088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46088</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46088</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46088</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46088</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46088</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46088</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46088</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46088</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46088</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46088</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46088</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46088</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46088</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46088</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46088</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46088</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46088</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46088</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46088</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46088</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46088</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46088</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46088</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46088</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46088</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46088</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46088</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46088</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46088</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46088</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46088</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46088</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46088</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46088</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46088</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46088</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46088</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46088</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46088</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46088</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46088</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46088</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9282-2023</t>
        </is>
      </c>
      <c r="B134" s="1" t="n">
        <v>44977</v>
      </c>
      <c r="C134" s="1" t="n">
        <v>46088</v>
      </c>
      <c r="D134" t="inlineStr">
        <is>
          <t>NORRBOTTENS LÄN</t>
        </is>
      </c>
      <c r="E134" t="inlineStr">
        <is>
          <t>LULEÅ</t>
        </is>
      </c>
      <c r="G134" t="n">
        <v>1.1</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46088</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46088</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4768-2024</t>
        </is>
      </c>
      <c r="B137" s="1" t="n">
        <v>45328</v>
      </c>
      <c r="C137" s="1" t="n">
        <v>46088</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46088</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46088</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46088</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46088</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46088</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46088</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42422-2024</t>
        </is>
      </c>
      <c r="B144" s="1" t="n">
        <v>45565.38912037037</v>
      </c>
      <c r="C144" s="1" t="n">
        <v>46088</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42426-2024</t>
        </is>
      </c>
      <c r="B145" s="1" t="n">
        <v>45565.39958333333</v>
      </c>
      <c r="C145" s="1" t="n">
        <v>46088</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10608-2025</t>
        </is>
      </c>
      <c r="B146" s="1" t="n">
        <v>45721</v>
      </c>
      <c r="C146" s="1" t="n">
        <v>46088</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16296-2025</t>
        </is>
      </c>
      <c r="B147" s="1" t="n">
        <v>45751.34513888889</v>
      </c>
      <c r="C147" s="1" t="n">
        <v>46088</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11716-2023</t>
        </is>
      </c>
      <c r="B148" s="1" t="n">
        <v>44992</v>
      </c>
      <c r="C148" s="1" t="n">
        <v>46088</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46088</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46088</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46088</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46088</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54739-2024</t>
        </is>
      </c>
      <c r="B153" s="1" t="n">
        <v>45618.44335648148</v>
      </c>
      <c r="C153" s="1" t="n">
        <v>46088</v>
      </c>
      <c r="D153" t="inlineStr">
        <is>
          <t>NORRBOTTENS LÄN</t>
        </is>
      </c>
      <c r="E153" t="inlineStr">
        <is>
          <t>LULEÅ</t>
        </is>
      </c>
      <c r="G153" t="n">
        <v>4.8</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46088</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13846-2024</t>
        </is>
      </c>
      <c r="B155" s="1" t="n">
        <v>45390</v>
      </c>
      <c r="C155" s="1" t="n">
        <v>46088</v>
      </c>
      <c r="D155" t="inlineStr">
        <is>
          <t>NORRBOTTENS LÄN</t>
        </is>
      </c>
      <c r="E155" t="inlineStr">
        <is>
          <t>LULEÅ</t>
        </is>
      </c>
      <c r="G155" t="n">
        <v>16.4</v>
      </c>
      <c r="H155" t="n">
        <v>0</v>
      </c>
      <c r="I155" t="n">
        <v>0</v>
      </c>
      <c r="J155" t="n">
        <v>0</v>
      </c>
      <c r="K155" t="n">
        <v>0</v>
      </c>
      <c r="L155" t="n">
        <v>0</v>
      </c>
      <c r="M155" t="n">
        <v>0</v>
      </c>
      <c r="N155" t="n">
        <v>0</v>
      </c>
      <c r="O155" t="n">
        <v>0</v>
      </c>
      <c r="P155" t="n">
        <v>0</v>
      </c>
      <c r="Q155" t="n">
        <v>0</v>
      </c>
      <c r="R155" s="2" t="inlineStr"/>
    </row>
    <row r="156" ht="15" customHeight="1">
      <c r="A156" t="inlineStr">
        <is>
          <t>A 63801-2023</t>
        </is>
      </c>
      <c r="B156" s="1" t="n">
        <v>45278.42126157408</v>
      </c>
      <c r="C156" s="1" t="n">
        <v>46088</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11178-2023</t>
        </is>
      </c>
      <c r="B157" s="1" t="n">
        <v>44987</v>
      </c>
      <c r="C157" s="1" t="n">
        <v>46088</v>
      </c>
      <c r="D157" t="inlineStr">
        <is>
          <t>NORRBOTTENS LÄN</t>
        </is>
      </c>
      <c r="E157" t="inlineStr">
        <is>
          <t>LULEÅ</t>
        </is>
      </c>
      <c r="G157" t="n">
        <v>4.7</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46088</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25340-2024</t>
        </is>
      </c>
      <c r="B159" s="1" t="n">
        <v>45462</v>
      </c>
      <c r="C159" s="1" t="n">
        <v>46088</v>
      </c>
      <c r="D159" t="inlineStr">
        <is>
          <t>NORRBOTTENS LÄN</t>
        </is>
      </c>
      <c r="E159" t="inlineStr">
        <is>
          <t>LULEÅ</t>
        </is>
      </c>
      <c r="G159" t="n">
        <v>3.6</v>
      </c>
      <c r="H159" t="n">
        <v>0</v>
      </c>
      <c r="I159" t="n">
        <v>0</v>
      </c>
      <c r="J159" t="n">
        <v>0</v>
      </c>
      <c r="K159" t="n">
        <v>0</v>
      </c>
      <c r="L159" t="n">
        <v>0</v>
      </c>
      <c r="M159" t="n">
        <v>0</v>
      </c>
      <c r="N159" t="n">
        <v>0</v>
      </c>
      <c r="O159" t="n">
        <v>0</v>
      </c>
      <c r="P159" t="n">
        <v>0</v>
      </c>
      <c r="Q159" t="n">
        <v>0</v>
      </c>
      <c r="R159" s="2" t="inlineStr"/>
    </row>
    <row r="160" ht="15" customHeight="1">
      <c r="A160" t="inlineStr">
        <is>
          <t>A 44324-2024</t>
        </is>
      </c>
      <c r="B160" s="1" t="n">
        <v>45573.59376157408</v>
      </c>
      <c r="C160" s="1" t="n">
        <v>46088</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30787-2024</t>
        </is>
      </c>
      <c r="B161" s="1" t="n">
        <v>45496.95108796296</v>
      </c>
      <c r="C161" s="1" t="n">
        <v>46088</v>
      </c>
      <c r="D161" t="inlineStr">
        <is>
          <t>NORRBOTTENS LÄN</t>
        </is>
      </c>
      <c r="E161" t="inlineStr">
        <is>
          <t>LULEÅ</t>
        </is>
      </c>
      <c r="F161" t="inlineStr">
        <is>
          <t>Naturvårdsverket</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46088</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48409-2023</t>
        </is>
      </c>
      <c r="B163" s="1" t="n">
        <v>45205</v>
      </c>
      <c r="C163" s="1" t="n">
        <v>46088</v>
      </c>
      <c r="D163" t="inlineStr">
        <is>
          <t>NORRBOTTENS LÄN</t>
        </is>
      </c>
      <c r="E163" t="inlineStr">
        <is>
          <t>LULEÅ</t>
        </is>
      </c>
      <c r="G163" t="n">
        <v>7.9</v>
      </c>
      <c r="H163" t="n">
        <v>0</v>
      </c>
      <c r="I163" t="n">
        <v>0</v>
      </c>
      <c r="J163" t="n">
        <v>0</v>
      </c>
      <c r="K163" t="n">
        <v>0</v>
      </c>
      <c r="L163" t="n">
        <v>0</v>
      </c>
      <c r="M163" t="n">
        <v>0</v>
      </c>
      <c r="N163" t="n">
        <v>0</v>
      </c>
      <c r="O163" t="n">
        <v>0</v>
      </c>
      <c r="P163" t="n">
        <v>0</v>
      </c>
      <c r="Q163" t="n">
        <v>0</v>
      </c>
      <c r="R163" s="2" t="inlineStr"/>
    </row>
    <row r="164" ht="15" customHeight="1">
      <c r="A164" t="inlineStr">
        <is>
          <t>A 48410-2023</t>
        </is>
      </c>
      <c r="B164" s="1" t="n">
        <v>45205</v>
      </c>
      <c r="C164" s="1" t="n">
        <v>46088</v>
      </c>
      <c r="D164" t="inlineStr">
        <is>
          <t>NORRBOTTENS LÄN</t>
        </is>
      </c>
      <c r="E164" t="inlineStr">
        <is>
          <t>LULEÅ</t>
        </is>
      </c>
      <c r="G164" t="n">
        <v>6.7</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46088</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46088</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46088</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53836-2024</t>
        </is>
      </c>
      <c r="B168" s="1" t="n">
        <v>45615.62185185185</v>
      </c>
      <c r="C168" s="1" t="n">
        <v>46088</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23520-2025</t>
        </is>
      </c>
      <c r="B169" s="1" t="n">
        <v>45792.51074074074</v>
      </c>
      <c r="C169" s="1" t="n">
        <v>46088</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23524-2025</t>
        </is>
      </c>
      <c r="B170" s="1" t="n">
        <v>45792</v>
      </c>
      <c r="C170" s="1" t="n">
        <v>46088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23505-2025</t>
        </is>
      </c>
      <c r="B171" s="1" t="n">
        <v>45792</v>
      </c>
      <c r="C171" s="1" t="n">
        <v>46088</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48379-2022</t>
        </is>
      </c>
      <c r="B172" s="1" t="n">
        <v>44854</v>
      </c>
      <c r="C172" s="1" t="n">
        <v>46088</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30950-2024</t>
        </is>
      </c>
      <c r="B173" s="1" t="n">
        <v>45499</v>
      </c>
      <c r="C173" s="1" t="n">
        <v>46088</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25798-2024</t>
        </is>
      </c>
      <c r="B174" s="1" t="n">
        <v>45463</v>
      </c>
      <c r="C174" s="1" t="n">
        <v>46088</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63910-2025</t>
        </is>
      </c>
      <c r="B175" s="1" t="n">
        <v>46010</v>
      </c>
      <c r="C175" s="1" t="n">
        <v>46088</v>
      </c>
      <c r="D175" t="inlineStr">
        <is>
          <t>NORRBOTTENS LÄN</t>
        </is>
      </c>
      <c r="E175" t="inlineStr">
        <is>
          <t>LULEÅ</t>
        </is>
      </c>
      <c r="G175" t="n">
        <v>2.3</v>
      </c>
      <c r="H175" t="n">
        <v>0</v>
      </c>
      <c r="I175" t="n">
        <v>0</v>
      </c>
      <c r="J175" t="n">
        <v>0</v>
      </c>
      <c r="K175" t="n">
        <v>0</v>
      </c>
      <c r="L175" t="n">
        <v>0</v>
      </c>
      <c r="M175" t="n">
        <v>0</v>
      </c>
      <c r="N175" t="n">
        <v>0</v>
      </c>
      <c r="O175" t="n">
        <v>0</v>
      </c>
      <c r="P175" t="n">
        <v>0</v>
      </c>
      <c r="Q175" t="n">
        <v>0</v>
      </c>
      <c r="R175" s="2" t="inlineStr"/>
    </row>
    <row r="176" ht="15" customHeight="1">
      <c r="A176" t="inlineStr">
        <is>
          <t>A 34680-2023</t>
        </is>
      </c>
      <c r="B176" s="1" t="n">
        <v>45140</v>
      </c>
      <c r="C176" s="1" t="n">
        <v>46088</v>
      </c>
      <c r="D176" t="inlineStr">
        <is>
          <t>NORRBOTTENS LÄN</t>
        </is>
      </c>
      <c r="E176" t="inlineStr">
        <is>
          <t>LULEÅ</t>
        </is>
      </c>
      <c r="G176" t="n">
        <v>4.9</v>
      </c>
      <c r="H176" t="n">
        <v>0</v>
      </c>
      <c r="I176" t="n">
        <v>0</v>
      </c>
      <c r="J176" t="n">
        <v>0</v>
      </c>
      <c r="K176" t="n">
        <v>0</v>
      </c>
      <c r="L176" t="n">
        <v>0</v>
      </c>
      <c r="M176" t="n">
        <v>0</v>
      </c>
      <c r="N176" t="n">
        <v>0</v>
      </c>
      <c r="O176" t="n">
        <v>0</v>
      </c>
      <c r="P176" t="n">
        <v>0</v>
      </c>
      <c r="Q176" t="n">
        <v>0</v>
      </c>
      <c r="R176" s="2" t="inlineStr"/>
    </row>
    <row r="177" ht="15" customHeight="1">
      <c r="A177" t="inlineStr">
        <is>
          <t>A 6459-2025</t>
        </is>
      </c>
      <c r="B177" s="1" t="n">
        <v>45699.56368055556</v>
      </c>
      <c r="C177" s="1" t="n">
        <v>46088</v>
      </c>
      <c r="D177" t="inlineStr">
        <is>
          <t>NORRBOTTENS LÄN</t>
        </is>
      </c>
      <c r="E177" t="inlineStr">
        <is>
          <t>LULEÅ</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49721-2022</t>
        </is>
      </c>
      <c r="B178" s="1" t="n">
        <v>44859</v>
      </c>
      <c r="C178" s="1" t="n">
        <v>46088</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46088</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804-2025</t>
        </is>
      </c>
      <c r="B180" s="1" t="n">
        <v>45664</v>
      </c>
      <c r="C180" s="1" t="n">
        <v>46088</v>
      </c>
      <c r="D180" t="inlineStr">
        <is>
          <t>NORRBOTTENS LÄN</t>
        </is>
      </c>
      <c r="E180" t="inlineStr">
        <is>
          <t>LULEÅ</t>
        </is>
      </c>
      <c r="G180" t="n">
        <v>2.1</v>
      </c>
      <c r="H180" t="n">
        <v>0</v>
      </c>
      <c r="I180" t="n">
        <v>0</v>
      </c>
      <c r="J180" t="n">
        <v>0</v>
      </c>
      <c r="K180" t="n">
        <v>0</v>
      </c>
      <c r="L180" t="n">
        <v>0</v>
      </c>
      <c r="M180" t="n">
        <v>0</v>
      </c>
      <c r="N180" t="n">
        <v>0</v>
      </c>
      <c r="O180" t="n">
        <v>0</v>
      </c>
      <c r="P180" t="n">
        <v>0</v>
      </c>
      <c r="Q180" t="n">
        <v>0</v>
      </c>
      <c r="R180" s="2" t="inlineStr"/>
    </row>
    <row r="181" ht="15" customHeight="1">
      <c r="A181" t="inlineStr">
        <is>
          <t>A 814-2025</t>
        </is>
      </c>
      <c r="B181" s="1" t="n">
        <v>45664</v>
      </c>
      <c r="C181" s="1" t="n">
        <v>46088</v>
      </c>
      <c r="D181" t="inlineStr">
        <is>
          <t>NORRBOTTENS LÄN</t>
        </is>
      </c>
      <c r="E181" t="inlineStr">
        <is>
          <t>LULEÅ</t>
        </is>
      </c>
      <c r="G181" t="n">
        <v>3.4</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46088</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86-2025</t>
        </is>
      </c>
      <c r="B183" s="1" t="n">
        <v>45659.45902777778</v>
      </c>
      <c r="C183" s="1" t="n">
        <v>46088</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59825-2024</t>
        </is>
      </c>
      <c r="B184" s="1" t="n">
        <v>45639.64152777778</v>
      </c>
      <c r="C184" s="1" t="n">
        <v>46088</v>
      </c>
      <c r="D184" t="inlineStr">
        <is>
          <t>NORRBOTTENS LÄN</t>
        </is>
      </c>
      <c r="E184" t="inlineStr">
        <is>
          <t>LULEÅ</t>
        </is>
      </c>
      <c r="G184" t="n">
        <v>1.1</v>
      </c>
      <c r="H184" t="n">
        <v>0</v>
      </c>
      <c r="I184" t="n">
        <v>0</v>
      </c>
      <c r="J184" t="n">
        <v>0</v>
      </c>
      <c r="K184" t="n">
        <v>0</v>
      </c>
      <c r="L184" t="n">
        <v>0</v>
      </c>
      <c r="M184" t="n">
        <v>0</v>
      </c>
      <c r="N184" t="n">
        <v>0</v>
      </c>
      <c r="O184" t="n">
        <v>0</v>
      </c>
      <c r="P184" t="n">
        <v>0</v>
      </c>
      <c r="Q184" t="n">
        <v>0</v>
      </c>
      <c r="R184" s="2" t="inlineStr"/>
    </row>
    <row r="185" ht="15" customHeight="1">
      <c r="A185" t="inlineStr">
        <is>
          <t>A 42854-2024</t>
        </is>
      </c>
      <c r="B185" s="1" t="n">
        <v>45566.64958333333</v>
      </c>
      <c r="C185" s="1" t="n">
        <v>46088</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46088</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4919-2025</t>
        </is>
      </c>
      <c r="B187" s="1" t="n">
        <v>45688.68407407407</v>
      </c>
      <c r="C187" s="1" t="n">
        <v>46088</v>
      </c>
      <c r="D187" t="inlineStr">
        <is>
          <t>NORRBOTTENS LÄN</t>
        </is>
      </c>
      <c r="E187" t="inlineStr">
        <is>
          <t>LULEÅ</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7505-2026</t>
        </is>
      </c>
      <c r="B188" s="1" t="n">
        <v>46059.57208333333</v>
      </c>
      <c r="C188" s="1" t="n">
        <v>46088</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6731-2025</t>
        </is>
      </c>
      <c r="B189" s="1" t="n">
        <v>45700.59357638889</v>
      </c>
      <c r="C189" s="1" t="n">
        <v>46088</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49401-2022</t>
        </is>
      </c>
      <c r="B190" s="1" t="n">
        <v>44861</v>
      </c>
      <c r="C190" s="1" t="n">
        <v>46088</v>
      </c>
      <c r="D190" t="inlineStr">
        <is>
          <t>NORRBOTTENS LÄN</t>
        </is>
      </c>
      <c r="E190" t="inlineStr">
        <is>
          <t>LULEÅ</t>
        </is>
      </c>
      <c r="G190" t="n">
        <v>8.4</v>
      </c>
      <c r="H190" t="n">
        <v>0</v>
      </c>
      <c r="I190" t="n">
        <v>0</v>
      </c>
      <c r="J190" t="n">
        <v>0</v>
      </c>
      <c r="K190" t="n">
        <v>0</v>
      </c>
      <c r="L190" t="n">
        <v>0</v>
      </c>
      <c r="M190" t="n">
        <v>0</v>
      </c>
      <c r="N190" t="n">
        <v>0</v>
      </c>
      <c r="O190" t="n">
        <v>0</v>
      </c>
      <c r="P190" t="n">
        <v>0</v>
      </c>
      <c r="Q190" t="n">
        <v>0</v>
      </c>
      <c r="R190" s="2" t="inlineStr"/>
    </row>
    <row r="191" ht="15" customHeight="1">
      <c r="A191" t="inlineStr">
        <is>
          <t>A 49727-2022</t>
        </is>
      </c>
      <c r="B191" s="1" t="n">
        <v>44859</v>
      </c>
      <c r="C191" s="1" t="n">
        <v>46088</v>
      </c>
      <c r="D191" t="inlineStr">
        <is>
          <t>NORRBOTTENS LÄN</t>
        </is>
      </c>
      <c r="E191" t="inlineStr">
        <is>
          <t>LULEÅ</t>
        </is>
      </c>
      <c r="G191" t="n">
        <v>3.5</v>
      </c>
      <c r="H191" t="n">
        <v>0</v>
      </c>
      <c r="I191" t="n">
        <v>0</v>
      </c>
      <c r="J191" t="n">
        <v>0</v>
      </c>
      <c r="K191" t="n">
        <v>0</v>
      </c>
      <c r="L191" t="n">
        <v>0</v>
      </c>
      <c r="M191" t="n">
        <v>0</v>
      </c>
      <c r="N191" t="n">
        <v>0</v>
      </c>
      <c r="O191" t="n">
        <v>0</v>
      </c>
      <c r="P191" t="n">
        <v>0</v>
      </c>
      <c r="Q191" t="n">
        <v>0</v>
      </c>
      <c r="R191" s="2" t="inlineStr"/>
    </row>
    <row r="192" ht="15" customHeight="1">
      <c r="A192" t="inlineStr">
        <is>
          <t>A 24979-2024</t>
        </is>
      </c>
      <c r="B192" s="1" t="n">
        <v>45461</v>
      </c>
      <c r="C192" s="1" t="n">
        <v>46088</v>
      </c>
      <c r="D192" t="inlineStr">
        <is>
          <t>NORRBOTTENS LÄN</t>
        </is>
      </c>
      <c r="E192" t="inlineStr">
        <is>
          <t>LULEÅ</t>
        </is>
      </c>
      <c r="G192" t="n">
        <v>16.3</v>
      </c>
      <c r="H192" t="n">
        <v>0</v>
      </c>
      <c r="I192" t="n">
        <v>0</v>
      </c>
      <c r="J192" t="n">
        <v>0</v>
      </c>
      <c r="K192" t="n">
        <v>0</v>
      </c>
      <c r="L192" t="n">
        <v>0</v>
      </c>
      <c r="M192" t="n">
        <v>0</v>
      </c>
      <c r="N192" t="n">
        <v>0</v>
      </c>
      <c r="O192" t="n">
        <v>0</v>
      </c>
      <c r="P192" t="n">
        <v>0</v>
      </c>
      <c r="Q192" t="n">
        <v>0</v>
      </c>
      <c r="R192" s="2" t="inlineStr"/>
    </row>
    <row r="193" ht="15" customHeight="1">
      <c r="A193" t="inlineStr">
        <is>
          <t>A 4921-2025</t>
        </is>
      </c>
      <c r="B193" s="1" t="n">
        <v>45688.68416666667</v>
      </c>
      <c r="C193" s="1" t="n">
        <v>46088</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339-2025</t>
        </is>
      </c>
      <c r="B194" s="1" t="n">
        <v>45660.6911574074</v>
      </c>
      <c r="C194" s="1" t="n">
        <v>46088</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38685-2025</t>
        </is>
      </c>
      <c r="B195" s="1" t="n">
        <v>45884.65607638889</v>
      </c>
      <c r="C195" s="1" t="n">
        <v>46088</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46088</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63766-2025</t>
        </is>
      </c>
      <c r="B197" s="1" t="n">
        <v>46018.78116898148</v>
      </c>
      <c r="C197" s="1" t="n">
        <v>46088</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38683-2025</t>
        </is>
      </c>
      <c r="B198" s="1" t="n">
        <v>45884.65483796296</v>
      </c>
      <c r="C198" s="1" t="n">
        <v>46088</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35090-2023</t>
        </is>
      </c>
      <c r="B199" s="1" t="n">
        <v>45145</v>
      </c>
      <c r="C199" s="1" t="n">
        <v>46088</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39269-2025</t>
        </is>
      </c>
      <c r="B200" s="1" t="n">
        <v>45889.38579861111</v>
      </c>
      <c r="C200" s="1" t="n">
        <v>46088</v>
      </c>
      <c r="D200" t="inlineStr">
        <is>
          <t>NORRBOTTENS LÄN</t>
        </is>
      </c>
      <c r="E200" t="inlineStr">
        <is>
          <t>LULEÅ</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29417-2025</t>
        </is>
      </c>
      <c r="B201" s="1" t="n">
        <v>45824.63576388889</v>
      </c>
      <c r="C201" s="1" t="n">
        <v>46088</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46088</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52698-2024</t>
        </is>
      </c>
      <c r="B203" s="1" t="n">
        <v>45610</v>
      </c>
      <c r="C203" s="1" t="n">
        <v>46088</v>
      </c>
      <c r="D203" t="inlineStr">
        <is>
          <t>NORRBOTTENS LÄN</t>
        </is>
      </c>
      <c r="E203" t="inlineStr">
        <is>
          <t>LULEÅ</t>
        </is>
      </c>
      <c r="G203" t="n">
        <v>8.9</v>
      </c>
      <c r="H203" t="n">
        <v>0</v>
      </c>
      <c r="I203" t="n">
        <v>0</v>
      </c>
      <c r="J203" t="n">
        <v>0</v>
      </c>
      <c r="K203" t="n">
        <v>0</v>
      </c>
      <c r="L203" t="n">
        <v>0</v>
      </c>
      <c r="M203" t="n">
        <v>0</v>
      </c>
      <c r="N203" t="n">
        <v>0</v>
      </c>
      <c r="O203" t="n">
        <v>0</v>
      </c>
      <c r="P203" t="n">
        <v>0</v>
      </c>
      <c r="Q203" t="n">
        <v>0</v>
      </c>
      <c r="R203" s="2" t="inlineStr"/>
    </row>
    <row r="204" ht="15" customHeight="1">
      <c r="A204" t="inlineStr">
        <is>
          <t>A 4920-2025</t>
        </is>
      </c>
      <c r="B204" s="1" t="n">
        <v>45688.68412037037</v>
      </c>
      <c r="C204" s="1" t="n">
        <v>46088</v>
      </c>
      <c r="D204" t="inlineStr">
        <is>
          <t>NORRBOTTENS LÄN</t>
        </is>
      </c>
      <c r="E204" t="inlineStr">
        <is>
          <t>LULEÅ</t>
        </is>
      </c>
      <c r="G204" t="n">
        <v>6.4</v>
      </c>
      <c r="H204" t="n">
        <v>0</v>
      </c>
      <c r="I204" t="n">
        <v>0</v>
      </c>
      <c r="J204" t="n">
        <v>0</v>
      </c>
      <c r="K204" t="n">
        <v>0</v>
      </c>
      <c r="L204" t="n">
        <v>0</v>
      </c>
      <c r="M204" t="n">
        <v>0</v>
      </c>
      <c r="N204" t="n">
        <v>0</v>
      </c>
      <c r="O204" t="n">
        <v>0</v>
      </c>
      <c r="P204" t="n">
        <v>0</v>
      </c>
      <c r="Q204" t="n">
        <v>0</v>
      </c>
      <c r="R204" s="2" t="inlineStr"/>
    </row>
    <row r="205" ht="15" customHeight="1">
      <c r="A205" t="inlineStr">
        <is>
          <t>A 137-2026</t>
        </is>
      </c>
      <c r="B205" s="1" t="n">
        <v>46020</v>
      </c>
      <c r="C205" s="1" t="n">
        <v>46088</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5137-2024</t>
        </is>
      </c>
      <c r="B206" s="1" t="n">
        <v>45330.46430555556</v>
      </c>
      <c r="C206" s="1" t="n">
        <v>46088</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46088</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8229-2024</t>
        </is>
      </c>
      <c r="B208" s="1" t="n">
        <v>45351</v>
      </c>
      <c r="C208" s="1" t="n">
        <v>46088</v>
      </c>
      <c r="D208" t="inlineStr">
        <is>
          <t>NORRBOTTENS LÄN</t>
        </is>
      </c>
      <c r="E208" t="inlineStr">
        <is>
          <t>LULEÅ</t>
        </is>
      </c>
      <c r="G208" t="n">
        <v>14.8</v>
      </c>
      <c r="H208" t="n">
        <v>0</v>
      </c>
      <c r="I208" t="n">
        <v>0</v>
      </c>
      <c r="J208" t="n">
        <v>0</v>
      </c>
      <c r="K208" t="n">
        <v>0</v>
      </c>
      <c r="L208" t="n">
        <v>0</v>
      </c>
      <c r="M208" t="n">
        <v>0</v>
      </c>
      <c r="N208" t="n">
        <v>0</v>
      </c>
      <c r="O208" t="n">
        <v>0</v>
      </c>
      <c r="P208" t="n">
        <v>0</v>
      </c>
      <c r="Q208" t="n">
        <v>0</v>
      </c>
      <c r="R208" s="2" t="inlineStr"/>
    </row>
    <row r="209" ht="15" customHeight="1">
      <c r="A209" t="inlineStr">
        <is>
          <t>A 51668-2022</t>
        </is>
      </c>
      <c r="B209" s="1" t="n">
        <v>44867</v>
      </c>
      <c r="C209" s="1" t="n">
        <v>46088</v>
      </c>
      <c r="D209" t="inlineStr">
        <is>
          <t>NORRBOTTENS LÄN</t>
        </is>
      </c>
      <c r="E209" t="inlineStr">
        <is>
          <t>LULEÅ</t>
        </is>
      </c>
      <c r="G209" t="n">
        <v>2.6</v>
      </c>
      <c r="H209" t="n">
        <v>0</v>
      </c>
      <c r="I209" t="n">
        <v>0</v>
      </c>
      <c r="J209" t="n">
        <v>0</v>
      </c>
      <c r="K209" t="n">
        <v>0</v>
      </c>
      <c r="L209" t="n">
        <v>0</v>
      </c>
      <c r="M209" t="n">
        <v>0</v>
      </c>
      <c r="N209" t="n">
        <v>0</v>
      </c>
      <c r="O209" t="n">
        <v>0</v>
      </c>
      <c r="P209" t="n">
        <v>0</v>
      </c>
      <c r="Q209" t="n">
        <v>0</v>
      </c>
      <c r="R209" s="2" t="inlineStr"/>
    </row>
    <row r="210" ht="15" customHeight="1">
      <c r="A210" t="inlineStr">
        <is>
          <t>A 39550-2025</t>
        </is>
      </c>
      <c r="B210" s="1" t="n">
        <v>45890</v>
      </c>
      <c r="C210" s="1" t="n">
        <v>46088</v>
      </c>
      <c r="D210" t="inlineStr">
        <is>
          <t>NORRBOTTENS LÄN</t>
        </is>
      </c>
      <c r="E210" t="inlineStr">
        <is>
          <t>LULEÅ</t>
        </is>
      </c>
      <c r="G210" t="n">
        <v>7.4</v>
      </c>
      <c r="H210" t="n">
        <v>0</v>
      </c>
      <c r="I210" t="n">
        <v>0</v>
      </c>
      <c r="J210" t="n">
        <v>0</v>
      </c>
      <c r="K210" t="n">
        <v>0</v>
      </c>
      <c r="L210" t="n">
        <v>0</v>
      </c>
      <c r="M210" t="n">
        <v>0</v>
      </c>
      <c r="N210" t="n">
        <v>0</v>
      </c>
      <c r="O210" t="n">
        <v>0</v>
      </c>
      <c r="P210" t="n">
        <v>0</v>
      </c>
      <c r="Q210" t="n">
        <v>0</v>
      </c>
      <c r="R210" s="2" t="inlineStr"/>
    </row>
    <row r="211" ht="15" customHeight="1">
      <c r="A211" t="inlineStr">
        <is>
          <t>A 39531-2025</t>
        </is>
      </c>
      <c r="B211" s="1" t="n">
        <v>45890.44831018519</v>
      </c>
      <c r="C211" s="1" t="n">
        <v>46088</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53754-2023</t>
        </is>
      </c>
      <c r="B212" s="1" t="n">
        <v>45230</v>
      </c>
      <c r="C212" s="1" t="n">
        <v>46088</v>
      </c>
      <c r="D212" t="inlineStr">
        <is>
          <t>NORRBOTTENS LÄN</t>
        </is>
      </c>
      <c r="E212" t="inlineStr">
        <is>
          <t>LULEÅ</t>
        </is>
      </c>
      <c r="G212" t="n">
        <v>2.5</v>
      </c>
      <c r="H212" t="n">
        <v>0</v>
      </c>
      <c r="I212" t="n">
        <v>0</v>
      </c>
      <c r="J212" t="n">
        <v>0</v>
      </c>
      <c r="K212" t="n">
        <v>0</v>
      </c>
      <c r="L212" t="n">
        <v>0</v>
      </c>
      <c r="M212" t="n">
        <v>0</v>
      </c>
      <c r="N212" t="n">
        <v>0</v>
      </c>
      <c r="O212" t="n">
        <v>0</v>
      </c>
      <c r="P212" t="n">
        <v>0</v>
      </c>
      <c r="Q212" t="n">
        <v>0</v>
      </c>
      <c r="R212" s="2" t="inlineStr"/>
    </row>
    <row r="213" ht="15" customHeight="1">
      <c r="A213" t="inlineStr">
        <is>
          <t>A 63854-2025</t>
        </is>
      </c>
      <c r="B213" s="1" t="n">
        <v>46020.47179398148</v>
      </c>
      <c r="C213" s="1" t="n">
        <v>46088</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46587-2023</t>
        </is>
      </c>
      <c r="B214" s="1" t="n">
        <v>45194</v>
      </c>
      <c r="C214" s="1" t="n">
        <v>46088</v>
      </c>
      <c r="D214" t="inlineStr">
        <is>
          <t>NORRBOTTENS LÄN</t>
        </is>
      </c>
      <c r="E214" t="inlineStr">
        <is>
          <t>LULEÅ</t>
        </is>
      </c>
      <c r="G214" t="n">
        <v>15.3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46088</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59609-2024</t>
        </is>
      </c>
      <c r="B216" s="1" t="n">
        <v>45638.75081018519</v>
      </c>
      <c r="C216" s="1" t="n">
        <v>46088</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64021-2025</t>
        </is>
      </c>
      <c r="B217" s="1" t="n">
        <v>46021.46907407408</v>
      </c>
      <c r="C217" s="1" t="n">
        <v>46088</v>
      </c>
      <c r="D217" t="inlineStr">
        <is>
          <t>NORRBOTTENS LÄN</t>
        </is>
      </c>
      <c r="E217" t="inlineStr">
        <is>
          <t>LULEÅ</t>
        </is>
      </c>
      <c r="G217" t="n">
        <v>7.8</v>
      </c>
      <c r="H217" t="n">
        <v>0</v>
      </c>
      <c r="I217" t="n">
        <v>0</v>
      </c>
      <c r="J217" t="n">
        <v>0</v>
      </c>
      <c r="K217" t="n">
        <v>0</v>
      </c>
      <c r="L217" t="n">
        <v>0</v>
      </c>
      <c r="M217" t="n">
        <v>0</v>
      </c>
      <c r="N217" t="n">
        <v>0</v>
      </c>
      <c r="O217" t="n">
        <v>0</v>
      </c>
      <c r="P217" t="n">
        <v>0</v>
      </c>
      <c r="Q217" t="n">
        <v>0</v>
      </c>
      <c r="R217" s="2" t="inlineStr"/>
    </row>
    <row r="218" ht="15" customHeight="1">
      <c r="A218" t="inlineStr">
        <is>
          <t>A 7037-2025</t>
        </is>
      </c>
      <c r="B218" s="1" t="n">
        <v>45701.63607638889</v>
      </c>
      <c r="C218" s="1" t="n">
        <v>46088</v>
      </c>
      <c r="D218" t="inlineStr">
        <is>
          <t>NORRBOTTENS LÄN</t>
        </is>
      </c>
      <c r="E218" t="inlineStr">
        <is>
          <t>LULEÅ</t>
        </is>
      </c>
      <c r="G218" t="n">
        <v>1.9</v>
      </c>
      <c r="H218" t="n">
        <v>0</v>
      </c>
      <c r="I218" t="n">
        <v>0</v>
      </c>
      <c r="J218" t="n">
        <v>0</v>
      </c>
      <c r="K218" t="n">
        <v>0</v>
      </c>
      <c r="L218" t="n">
        <v>0</v>
      </c>
      <c r="M218" t="n">
        <v>0</v>
      </c>
      <c r="N218" t="n">
        <v>0</v>
      </c>
      <c r="O218" t="n">
        <v>0</v>
      </c>
      <c r="P218" t="n">
        <v>0</v>
      </c>
      <c r="Q218" t="n">
        <v>0</v>
      </c>
      <c r="R218" s="2" t="inlineStr"/>
    </row>
    <row r="219" ht="15" customHeight="1">
      <c r="A219" t="inlineStr">
        <is>
          <t>A 4941-2025</t>
        </is>
      </c>
      <c r="B219" s="1" t="n">
        <v>45688.6995949074</v>
      </c>
      <c r="C219" s="1" t="n">
        <v>46088</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51277-2024</t>
        </is>
      </c>
      <c r="B220" s="1" t="n">
        <v>45603.74953703704</v>
      </c>
      <c r="C220" s="1" t="n">
        <v>46088</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40695-2025</t>
        </is>
      </c>
      <c r="B221" s="1" t="n">
        <v>45897.28637731481</v>
      </c>
      <c r="C221" s="1" t="n">
        <v>46088</v>
      </c>
      <c r="D221" t="inlineStr">
        <is>
          <t>NORRBOTTENS LÄN</t>
        </is>
      </c>
      <c r="E221" t="inlineStr">
        <is>
          <t>LULEÅ</t>
        </is>
      </c>
      <c r="G221" t="n">
        <v>2.4</v>
      </c>
      <c r="H221" t="n">
        <v>0</v>
      </c>
      <c r="I221" t="n">
        <v>0</v>
      </c>
      <c r="J221" t="n">
        <v>0</v>
      </c>
      <c r="K221" t="n">
        <v>0</v>
      </c>
      <c r="L221" t="n">
        <v>0</v>
      </c>
      <c r="M221" t="n">
        <v>0</v>
      </c>
      <c r="N221" t="n">
        <v>0</v>
      </c>
      <c r="O221" t="n">
        <v>0</v>
      </c>
      <c r="P221" t="n">
        <v>0</v>
      </c>
      <c r="Q221" t="n">
        <v>0</v>
      </c>
      <c r="R221" s="2" t="inlineStr"/>
    </row>
    <row r="222" ht="15" customHeight="1">
      <c r="A222" t="inlineStr">
        <is>
          <t>A 4547-2025</t>
        </is>
      </c>
      <c r="B222" s="1" t="n">
        <v>45687.40212962963</v>
      </c>
      <c r="C222" s="1" t="n">
        <v>46088</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40643-2025</t>
        </is>
      </c>
      <c r="B223" s="1" t="n">
        <v>45896.61263888889</v>
      </c>
      <c r="C223" s="1" t="n">
        <v>46088</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8504-2026</t>
        </is>
      </c>
      <c r="B224" s="1" t="n">
        <v>46065.5119212963</v>
      </c>
      <c r="C224" s="1" t="n">
        <v>46088</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8494-2026</t>
        </is>
      </c>
      <c r="B225" s="1" t="n">
        <v>46065.48962962963</v>
      </c>
      <c r="C225" s="1" t="n">
        <v>46088</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40641-2025</t>
        </is>
      </c>
      <c r="B226" s="1" t="n">
        <v>45896</v>
      </c>
      <c r="C226" s="1" t="n">
        <v>46088</v>
      </c>
      <c r="D226" t="inlineStr">
        <is>
          <t>NORRBOTTENS LÄN</t>
        </is>
      </c>
      <c r="E226" t="inlineStr">
        <is>
          <t>LULEÅ</t>
        </is>
      </c>
      <c r="G226" t="n">
        <v>4.2</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46088</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46088</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8501-2026</t>
        </is>
      </c>
      <c r="B229" s="1" t="n">
        <v>46065.50854166667</v>
      </c>
      <c r="C229" s="1" t="n">
        <v>46088</v>
      </c>
      <c r="D229" t="inlineStr">
        <is>
          <t>NORRBOTTENS LÄN</t>
        </is>
      </c>
      <c r="E229" t="inlineStr">
        <is>
          <t>LULEÅ</t>
        </is>
      </c>
      <c r="G229" t="n">
        <v>4</v>
      </c>
      <c r="H229" t="n">
        <v>0</v>
      </c>
      <c r="I229" t="n">
        <v>0</v>
      </c>
      <c r="J229" t="n">
        <v>0</v>
      </c>
      <c r="K229" t="n">
        <v>0</v>
      </c>
      <c r="L229" t="n">
        <v>0</v>
      </c>
      <c r="M229" t="n">
        <v>0</v>
      </c>
      <c r="N229" t="n">
        <v>0</v>
      </c>
      <c r="O229" t="n">
        <v>0</v>
      </c>
      <c r="P229" t="n">
        <v>0</v>
      </c>
      <c r="Q229" t="n">
        <v>0</v>
      </c>
      <c r="R229" s="2" t="inlineStr"/>
    </row>
    <row r="230" ht="15" customHeight="1">
      <c r="A230" t="inlineStr">
        <is>
          <t>A 8502-2026</t>
        </is>
      </c>
      <c r="B230" s="1" t="n">
        <v>46065.51049768519</v>
      </c>
      <c r="C230" s="1" t="n">
        <v>46088</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26513-2025</t>
        </is>
      </c>
      <c r="B231" s="1" t="n">
        <v>45807</v>
      </c>
      <c r="C231" s="1" t="n">
        <v>46088</v>
      </c>
      <c r="D231" t="inlineStr">
        <is>
          <t>NORRBOTTENS LÄN</t>
        </is>
      </c>
      <c r="E231" t="inlineStr">
        <is>
          <t>LULEÅ</t>
        </is>
      </c>
      <c r="G231" t="n">
        <v>5</v>
      </c>
      <c r="H231" t="n">
        <v>0</v>
      </c>
      <c r="I231" t="n">
        <v>0</v>
      </c>
      <c r="J231" t="n">
        <v>0</v>
      </c>
      <c r="K231" t="n">
        <v>0</v>
      </c>
      <c r="L231" t="n">
        <v>0</v>
      </c>
      <c r="M231" t="n">
        <v>0</v>
      </c>
      <c r="N231" t="n">
        <v>0</v>
      </c>
      <c r="O231" t="n">
        <v>0</v>
      </c>
      <c r="P231" t="n">
        <v>0</v>
      </c>
      <c r="Q231" t="n">
        <v>0</v>
      </c>
      <c r="R231" s="2" t="inlineStr"/>
    </row>
    <row r="232" ht="15" customHeight="1">
      <c r="A232" t="inlineStr">
        <is>
          <t>A 11901-2025</t>
        </is>
      </c>
      <c r="B232" s="1" t="n">
        <v>45727</v>
      </c>
      <c r="C232" s="1" t="n">
        <v>46088</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46088</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46088</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46088</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46088</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27107-2025</t>
        </is>
      </c>
      <c r="B237" s="1" t="n">
        <v>45811</v>
      </c>
      <c r="C237" s="1" t="n">
        <v>46088</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7393-2023</t>
        </is>
      </c>
      <c r="B238" s="1" t="n">
        <v>44966</v>
      </c>
      <c r="C238" s="1" t="n">
        <v>46088</v>
      </c>
      <c r="D238" t="inlineStr">
        <is>
          <t>NORRBOTTENS LÄN</t>
        </is>
      </c>
      <c r="E238" t="inlineStr">
        <is>
          <t>LULEÅ</t>
        </is>
      </c>
      <c r="G238" t="n">
        <v>1</v>
      </c>
      <c r="H238" t="n">
        <v>0</v>
      </c>
      <c r="I238" t="n">
        <v>0</v>
      </c>
      <c r="J238" t="n">
        <v>0</v>
      </c>
      <c r="K238" t="n">
        <v>0</v>
      </c>
      <c r="L238" t="n">
        <v>0</v>
      </c>
      <c r="M238" t="n">
        <v>0</v>
      </c>
      <c r="N238" t="n">
        <v>0</v>
      </c>
      <c r="O238" t="n">
        <v>0</v>
      </c>
      <c r="P238" t="n">
        <v>0</v>
      </c>
      <c r="Q238" t="n">
        <v>0</v>
      </c>
      <c r="R238" s="2" t="inlineStr"/>
    </row>
    <row r="239" ht="15" customHeight="1">
      <c r="A239" t="inlineStr">
        <is>
          <t>A 40977-2025</t>
        </is>
      </c>
      <c r="B239" s="1" t="n">
        <v>45897.93575231481</v>
      </c>
      <c r="C239" s="1" t="n">
        <v>46088</v>
      </c>
      <c r="D239" t="inlineStr">
        <is>
          <t>NORRBOTTENS LÄN</t>
        </is>
      </c>
      <c r="E239" t="inlineStr">
        <is>
          <t>LULEÅ</t>
        </is>
      </c>
      <c r="G239" t="n">
        <v>11.2</v>
      </c>
      <c r="H239" t="n">
        <v>0</v>
      </c>
      <c r="I239" t="n">
        <v>0</v>
      </c>
      <c r="J239" t="n">
        <v>0</v>
      </c>
      <c r="K239" t="n">
        <v>0</v>
      </c>
      <c r="L239" t="n">
        <v>0</v>
      </c>
      <c r="M239" t="n">
        <v>0</v>
      </c>
      <c r="N239" t="n">
        <v>0</v>
      </c>
      <c r="O239" t="n">
        <v>0</v>
      </c>
      <c r="P239" t="n">
        <v>0</v>
      </c>
      <c r="Q239" t="n">
        <v>0</v>
      </c>
      <c r="R239" s="2" t="inlineStr"/>
    </row>
    <row r="240" ht="15" customHeight="1">
      <c r="A240" t="inlineStr">
        <is>
          <t>A 27463-2025</t>
        </is>
      </c>
      <c r="B240" s="1" t="n">
        <v>45813.34618055556</v>
      </c>
      <c r="C240" s="1" t="n">
        <v>46088</v>
      </c>
      <c r="D240" t="inlineStr">
        <is>
          <t>NORRBOTTENS LÄN</t>
        </is>
      </c>
      <c r="E240" t="inlineStr">
        <is>
          <t>LULEÅ</t>
        </is>
      </c>
      <c r="F240" t="inlineStr">
        <is>
          <t>Naturvårdsverket</t>
        </is>
      </c>
      <c r="G240" t="n">
        <v>8.6</v>
      </c>
      <c r="H240" t="n">
        <v>0</v>
      </c>
      <c r="I240" t="n">
        <v>0</v>
      </c>
      <c r="J240" t="n">
        <v>0</v>
      </c>
      <c r="K240" t="n">
        <v>0</v>
      </c>
      <c r="L240" t="n">
        <v>0</v>
      </c>
      <c r="M240" t="n">
        <v>0</v>
      </c>
      <c r="N240" t="n">
        <v>0</v>
      </c>
      <c r="O240" t="n">
        <v>0</v>
      </c>
      <c r="P240" t="n">
        <v>0</v>
      </c>
      <c r="Q240" t="n">
        <v>0</v>
      </c>
      <c r="R240" s="2" t="inlineStr"/>
    </row>
    <row r="241" ht="15" customHeight="1">
      <c r="A241" t="inlineStr">
        <is>
          <t>A 13068-2024</t>
        </is>
      </c>
      <c r="B241" s="1" t="n">
        <v>45385</v>
      </c>
      <c r="C241" s="1" t="n">
        <v>46088</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46088</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47918-2024</t>
        </is>
      </c>
      <c r="B243" s="1" t="n">
        <v>45589.34434027778</v>
      </c>
      <c r="C243" s="1" t="n">
        <v>46088</v>
      </c>
      <c r="D243" t="inlineStr">
        <is>
          <t>NORRBOTTENS LÄN</t>
        </is>
      </c>
      <c r="E243" t="inlineStr">
        <is>
          <t>LULEÅ</t>
        </is>
      </c>
      <c r="F243" t="inlineStr">
        <is>
          <t>Naturvårdsverket</t>
        </is>
      </c>
      <c r="G243" t="n">
        <v>6.2</v>
      </c>
      <c r="H243" t="n">
        <v>0</v>
      </c>
      <c r="I243" t="n">
        <v>0</v>
      </c>
      <c r="J243" t="n">
        <v>0</v>
      </c>
      <c r="K243" t="n">
        <v>0</v>
      </c>
      <c r="L243" t="n">
        <v>0</v>
      </c>
      <c r="M243" t="n">
        <v>0</v>
      </c>
      <c r="N243" t="n">
        <v>0</v>
      </c>
      <c r="O243" t="n">
        <v>0</v>
      </c>
      <c r="P243" t="n">
        <v>0</v>
      </c>
      <c r="Q243" t="n">
        <v>0</v>
      </c>
      <c r="R243" s="2" t="inlineStr"/>
    </row>
    <row r="244" ht="15" customHeight="1">
      <c r="A244" t="inlineStr">
        <is>
          <t>A 25676-2024</t>
        </is>
      </c>
      <c r="B244" s="1" t="n">
        <v>45463</v>
      </c>
      <c r="C244" s="1" t="n">
        <v>46088</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26594-2024</t>
        </is>
      </c>
      <c r="B245" s="1" t="n">
        <v>45469.68552083334</v>
      </c>
      <c r="C245" s="1" t="n">
        <v>46088</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58547-2024</t>
        </is>
      </c>
      <c r="B246" s="1" t="n">
        <v>45635.45822916667</v>
      </c>
      <c r="C246" s="1" t="n">
        <v>46088</v>
      </c>
      <c r="D246" t="inlineStr">
        <is>
          <t>NORRBOTTENS LÄN</t>
        </is>
      </c>
      <c r="E246" t="inlineStr">
        <is>
          <t>LULEÅ</t>
        </is>
      </c>
      <c r="G246" t="n">
        <v>8</v>
      </c>
      <c r="H246" t="n">
        <v>0</v>
      </c>
      <c r="I246" t="n">
        <v>0</v>
      </c>
      <c r="J246" t="n">
        <v>0</v>
      </c>
      <c r="K246" t="n">
        <v>0</v>
      </c>
      <c r="L246" t="n">
        <v>0</v>
      </c>
      <c r="M246" t="n">
        <v>0</v>
      </c>
      <c r="N246" t="n">
        <v>0</v>
      </c>
      <c r="O246" t="n">
        <v>0</v>
      </c>
      <c r="P246" t="n">
        <v>0</v>
      </c>
      <c r="Q246" t="n">
        <v>0</v>
      </c>
      <c r="R246" s="2" t="inlineStr"/>
    </row>
    <row r="247" ht="15" customHeight="1">
      <c r="A247" t="inlineStr">
        <is>
          <t>A 28344-2025</t>
        </is>
      </c>
      <c r="B247" s="1" t="n">
        <v>45817</v>
      </c>
      <c r="C247" s="1" t="n">
        <v>46088</v>
      </c>
      <c r="D247" t="inlineStr">
        <is>
          <t>NORRBOTTENS LÄN</t>
        </is>
      </c>
      <c r="E247" t="inlineStr">
        <is>
          <t>LULEÅ</t>
        </is>
      </c>
      <c r="G247" t="n">
        <v>2.2</v>
      </c>
      <c r="H247" t="n">
        <v>0</v>
      </c>
      <c r="I247" t="n">
        <v>0</v>
      </c>
      <c r="J247" t="n">
        <v>0</v>
      </c>
      <c r="K247" t="n">
        <v>0</v>
      </c>
      <c r="L247" t="n">
        <v>0</v>
      </c>
      <c r="M247" t="n">
        <v>0</v>
      </c>
      <c r="N247" t="n">
        <v>0</v>
      </c>
      <c r="O247" t="n">
        <v>0</v>
      </c>
      <c r="P247" t="n">
        <v>0</v>
      </c>
      <c r="Q247" t="n">
        <v>0</v>
      </c>
      <c r="R247" s="2" t="inlineStr"/>
    </row>
    <row r="248" ht="15" customHeight="1">
      <c r="A248" t="inlineStr">
        <is>
          <t>A 11834-2025</t>
        </is>
      </c>
      <c r="B248" s="1" t="n">
        <v>45727</v>
      </c>
      <c r="C248" s="1" t="n">
        <v>46088</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c r="U248">
        <f>HYPERLINK("https://klasma.github.io/Logging_2580/knärot/A 11834-2025 karta knärot.png", "A 11834-2025")</f>
        <v/>
      </c>
      <c r="V248">
        <f>HYPERLINK("https://klasma.github.io/Logging_2580/klagomål/A 11834-2025 FSC-klagomål.docx", "A 11834-2025")</f>
        <v/>
      </c>
      <c r="W248">
        <f>HYPERLINK("https://klasma.github.io/Logging_2580/klagomålsmail/A 11834-2025 FSC-klagomål mail.docx", "A 11834-2025")</f>
        <v/>
      </c>
      <c r="X248">
        <f>HYPERLINK("https://klasma.github.io/Logging_2580/tillsyn/A 11834-2025 tillsynsbegäran.docx", "A 11834-2025")</f>
        <v/>
      </c>
      <c r="Y248">
        <f>HYPERLINK("https://klasma.github.io/Logging_2580/tillsynsmail/A 11834-2025 tillsynsbegäran mail.docx", "A 11834-2025")</f>
        <v/>
      </c>
    </row>
    <row r="249" ht="15" customHeight="1">
      <c r="A249" t="inlineStr">
        <is>
          <t>A 42024-2024</t>
        </is>
      </c>
      <c r="B249" s="1" t="n">
        <v>45561.72005787037</v>
      </c>
      <c r="C249" s="1" t="n">
        <v>46088</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42217-2025</t>
        </is>
      </c>
      <c r="B250" s="1" t="n">
        <v>45904.51274305556</v>
      </c>
      <c r="C250" s="1" t="n">
        <v>46088</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46088</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18166-2023</t>
        </is>
      </c>
      <c r="B252" s="1" t="n">
        <v>45040.94335648148</v>
      </c>
      <c r="C252" s="1" t="n">
        <v>46088</v>
      </c>
      <c r="D252" t="inlineStr">
        <is>
          <t>NORRBOTTENS LÄN</t>
        </is>
      </c>
      <c r="E252" t="inlineStr">
        <is>
          <t>LULEÅ</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17897-2025</t>
        </is>
      </c>
      <c r="B253" s="1" t="n">
        <v>45758.69814814815</v>
      </c>
      <c r="C253" s="1" t="n">
        <v>46088</v>
      </c>
      <c r="D253" t="inlineStr">
        <is>
          <t>NORRBOTTENS LÄN</t>
        </is>
      </c>
      <c r="E253" t="inlineStr">
        <is>
          <t>LULEÅ</t>
        </is>
      </c>
      <c r="G253" t="n">
        <v>9.9</v>
      </c>
      <c r="H253" t="n">
        <v>0</v>
      </c>
      <c r="I253" t="n">
        <v>0</v>
      </c>
      <c r="J253" t="n">
        <v>0</v>
      </c>
      <c r="K253" t="n">
        <v>0</v>
      </c>
      <c r="L253" t="n">
        <v>0</v>
      </c>
      <c r="M253" t="n">
        <v>0</v>
      </c>
      <c r="N253" t="n">
        <v>0</v>
      </c>
      <c r="O253" t="n">
        <v>0</v>
      </c>
      <c r="P253" t="n">
        <v>0</v>
      </c>
      <c r="Q253" t="n">
        <v>0</v>
      </c>
      <c r="R253" s="2" t="inlineStr"/>
    </row>
    <row r="254" ht="15" customHeight="1">
      <c r="A254" t="inlineStr">
        <is>
          <t>A 656-2025</t>
        </is>
      </c>
      <c r="B254" s="1" t="n">
        <v>45661</v>
      </c>
      <c r="C254" s="1" t="n">
        <v>46088</v>
      </c>
      <c r="D254" t="inlineStr">
        <is>
          <t>NORRBOTTENS LÄN</t>
        </is>
      </c>
      <c r="E254" t="inlineStr">
        <is>
          <t>LULEÅ</t>
        </is>
      </c>
      <c r="G254" t="n">
        <v>0.8</v>
      </c>
      <c r="H254" t="n">
        <v>0</v>
      </c>
      <c r="I254" t="n">
        <v>0</v>
      </c>
      <c r="J254" t="n">
        <v>0</v>
      </c>
      <c r="K254" t="n">
        <v>0</v>
      </c>
      <c r="L254" t="n">
        <v>0</v>
      </c>
      <c r="M254" t="n">
        <v>0</v>
      </c>
      <c r="N254" t="n">
        <v>0</v>
      </c>
      <c r="O254" t="n">
        <v>0</v>
      </c>
      <c r="P254" t="n">
        <v>0</v>
      </c>
      <c r="Q254" t="n">
        <v>0</v>
      </c>
      <c r="R254" s="2" t="inlineStr"/>
    </row>
    <row r="255" ht="15" customHeight="1">
      <c r="A255" t="inlineStr">
        <is>
          <t>A 1058-2025</t>
        </is>
      </c>
      <c r="B255" s="1" t="n">
        <v>45665</v>
      </c>
      <c r="C255" s="1" t="n">
        <v>46088</v>
      </c>
      <c r="D255" t="inlineStr">
        <is>
          <t>NORRBOTTENS LÄN</t>
        </is>
      </c>
      <c r="E255" t="inlineStr">
        <is>
          <t>LULEÅ</t>
        </is>
      </c>
      <c r="G255" t="n">
        <v>2.1</v>
      </c>
      <c r="H255" t="n">
        <v>0</v>
      </c>
      <c r="I255" t="n">
        <v>0</v>
      </c>
      <c r="J255" t="n">
        <v>0</v>
      </c>
      <c r="K255" t="n">
        <v>0</v>
      </c>
      <c r="L255" t="n">
        <v>0</v>
      </c>
      <c r="M255" t="n">
        <v>0</v>
      </c>
      <c r="N255" t="n">
        <v>0</v>
      </c>
      <c r="O255" t="n">
        <v>0</v>
      </c>
      <c r="P255" t="n">
        <v>0</v>
      </c>
      <c r="Q255" t="n">
        <v>0</v>
      </c>
      <c r="R255" s="2" t="inlineStr"/>
    </row>
    <row r="256" ht="15" customHeight="1">
      <c r="A256" t="inlineStr">
        <is>
          <t>A 19526-2025</t>
        </is>
      </c>
      <c r="B256" s="1" t="n">
        <v>45770.46388888889</v>
      </c>
      <c r="C256" s="1" t="n">
        <v>46088</v>
      </c>
      <c r="D256" t="inlineStr">
        <is>
          <t>NORRBOTTENS LÄN</t>
        </is>
      </c>
      <c r="E256" t="inlineStr">
        <is>
          <t>LULEÅ</t>
        </is>
      </c>
      <c r="G256" t="n">
        <v>10.6</v>
      </c>
      <c r="H256" t="n">
        <v>0</v>
      </c>
      <c r="I256" t="n">
        <v>0</v>
      </c>
      <c r="J256" t="n">
        <v>0</v>
      </c>
      <c r="K256" t="n">
        <v>0</v>
      </c>
      <c r="L256" t="n">
        <v>0</v>
      </c>
      <c r="M256" t="n">
        <v>0</v>
      </c>
      <c r="N256" t="n">
        <v>0</v>
      </c>
      <c r="O256" t="n">
        <v>0</v>
      </c>
      <c r="P256" t="n">
        <v>0</v>
      </c>
      <c r="Q256" t="n">
        <v>0</v>
      </c>
      <c r="R256" s="2" t="inlineStr"/>
    </row>
    <row r="257" ht="15" customHeight="1">
      <c r="A257" t="inlineStr">
        <is>
          <t>A 25578-2024</t>
        </is>
      </c>
      <c r="B257" s="1" t="n">
        <v>45463</v>
      </c>
      <c r="C257" s="1" t="n">
        <v>46088</v>
      </c>
      <c r="D257" t="inlineStr">
        <is>
          <t>NORRBOTTENS LÄN</t>
        </is>
      </c>
      <c r="E257" t="inlineStr">
        <is>
          <t>LULEÅ</t>
        </is>
      </c>
      <c r="G257" t="n">
        <v>7.9</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46088</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43115-2025</t>
        </is>
      </c>
      <c r="B259" s="1" t="n">
        <v>45909.66664351852</v>
      </c>
      <c r="C259" s="1" t="n">
        <v>46088</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43116-2025</t>
        </is>
      </c>
      <c r="B260" s="1" t="n">
        <v>45909.66799768519</v>
      </c>
      <c r="C260" s="1" t="n">
        <v>46088</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43112-2025</t>
        </is>
      </c>
      <c r="B261" s="1" t="n">
        <v>45909.66228009259</v>
      </c>
      <c r="C261" s="1" t="n">
        <v>46088</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43113-2025</t>
        </is>
      </c>
      <c r="B262" s="1" t="n">
        <v>45909.6640625</v>
      </c>
      <c r="C262" s="1" t="n">
        <v>46088</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42753-2022</t>
        </is>
      </c>
      <c r="B263" s="1" t="n">
        <v>44832</v>
      </c>
      <c r="C263" s="1" t="n">
        <v>46088</v>
      </c>
      <c r="D263" t="inlineStr">
        <is>
          <t>NORRBOTTENS LÄN</t>
        </is>
      </c>
      <c r="E263" t="inlineStr">
        <is>
          <t>LULEÅ</t>
        </is>
      </c>
      <c r="G263" t="n">
        <v>10.8</v>
      </c>
      <c r="H263" t="n">
        <v>0</v>
      </c>
      <c r="I263" t="n">
        <v>0</v>
      </c>
      <c r="J263" t="n">
        <v>0</v>
      </c>
      <c r="K263" t="n">
        <v>0</v>
      </c>
      <c r="L263" t="n">
        <v>0</v>
      </c>
      <c r="M263" t="n">
        <v>0</v>
      </c>
      <c r="N263" t="n">
        <v>0</v>
      </c>
      <c r="O263" t="n">
        <v>0</v>
      </c>
      <c r="P263" t="n">
        <v>0</v>
      </c>
      <c r="Q263" t="n">
        <v>0</v>
      </c>
      <c r="R263" s="2" t="inlineStr"/>
    </row>
    <row r="264" ht="15" customHeight="1">
      <c r="A264" t="inlineStr">
        <is>
          <t>A 51108-2024</t>
        </is>
      </c>
      <c r="B264" s="1" t="n">
        <v>45603.49142361111</v>
      </c>
      <c r="C264" s="1" t="n">
        <v>46088</v>
      </c>
      <c r="D264" t="inlineStr">
        <is>
          <t>NORRBOTTENS LÄN</t>
        </is>
      </c>
      <c r="E264" t="inlineStr">
        <is>
          <t>LULEÅ</t>
        </is>
      </c>
      <c r="G264" t="n">
        <v>3.8</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46088</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29550-2024</t>
        </is>
      </c>
      <c r="B266" s="1" t="n">
        <v>45484</v>
      </c>
      <c r="C266" s="1" t="n">
        <v>46088</v>
      </c>
      <c r="D266" t="inlineStr">
        <is>
          <t>NORRBOTTENS LÄN</t>
        </is>
      </c>
      <c r="E266" t="inlineStr">
        <is>
          <t>LULEÅ</t>
        </is>
      </c>
      <c r="G266" t="n">
        <v>0.8</v>
      </c>
      <c r="H266" t="n">
        <v>0</v>
      </c>
      <c r="I266" t="n">
        <v>0</v>
      </c>
      <c r="J266" t="n">
        <v>0</v>
      </c>
      <c r="K266" t="n">
        <v>0</v>
      </c>
      <c r="L266" t="n">
        <v>0</v>
      </c>
      <c r="M266" t="n">
        <v>0</v>
      </c>
      <c r="N266" t="n">
        <v>0</v>
      </c>
      <c r="O266" t="n">
        <v>0</v>
      </c>
      <c r="P266" t="n">
        <v>0</v>
      </c>
      <c r="Q266" t="n">
        <v>0</v>
      </c>
      <c r="R266" s="2" t="inlineStr"/>
    </row>
    <row r="267" ht="15" customHeight="1">
      <c r="A267" t="inlineStr">
        <is>
          <t>A 62732-2021</t>
        </is>
      </c>
      <c r="B267" s="1" t="n">
        <v>44503</v>
      </c>
      <c r="C267" s="1" t="n">
        <v>46088</v>
      </c>
      <c r="D267" t="inlineStr">
        <is>
          <t>NORRBOTTENS LÄN</t>
        </is>
      </c>
      <c r="E267" t="inlineStr">
        <is>
          <t>LULEÅ</t>
        </is>
      </c>
      <c r="G267" t="n">
        <v>2.5</v>
      </c>
      <c r="H267" t="n">
        <v>0</v>
      </c>
      <c r="I267" t="n">
        <v>0</v>
      </c>
      <c r="J267" t="n">
        <v>0</v>
      </c>
      <c r="K267" t="n">
        <v>0</v>
      </c>
      <c r="L267" t="n">
        <v>0</v>
      </c>
      <c r="M267" t="n">
        <v>0</v>
      </c>
      <c r="N267" t="n">
        <v>0</v>
      </c>
      <c r="O267" t="n">
        <v>0</v>
      </c>
      <c r="P267" t="n">
        <v>0</v>
      </c>
      <c r="Q267" t="n">
        <v>0</v>
      </c>
      <c r="R267" s="2" t="inlineStr"/>
    </row>
    <row r="268" ht="15" customHeight="1">
      <c r="A268" t="inlineStr">
        <is>
          <t>A 29332-2025</t>
        </is>
      </c>
      <c r="B268" s="1" t="n">
        <v>45824</v>
      </c>
      <c r="C268" s="1" t="n">
        <v>46088</v>
      </c>
      <c r="D268" t="inlineStr">
        <is>
          <t>NORRBOTTENS LÄN</t>
        </is>
      </c>
      <c r="E268" t="inlineStr">
        <is>
          <t>LULEÅ</t>
        </is>
      </c>
      <c r="G268" t="n">
        <v>3</v>
      </c>
      <c r="H268" t="n">
        <v>0</v>
      </c>
      <c r="I268" t="n">
        <v>0</v>
      </c>
      <c r="J268" t="n">
        <v>0</v>
      </c>
      <c r="K268" t="n">
        <v>0</v>
      </c>
      <c r="L268" t="n">
        <v>0</v>
      </c>
      <c r="M268" t="n">
        <v>0</v>
      </c>
      <c r="N268" t="n">
        <v>0</v>
      </c>
      <c r="O268" t="n">
        <v>0</v>
      </c>
      <c r="P268" t="n">
        <v>0</v>
      </c>
      <c r="Q268" t="n">
        <v>0</v>
      </c>
      <c r="R268" s="2" t="inlineStr"/>
    </row>
    <row r="269" ht="15" customHeight="1">
      <c r="A269" t="inlineStr">
        <is>
          <t>A 49208-2024</t>
        </is>
      </c>
      <c r="B269" s="1" t="n">
        <v>45595.37256944444</v>
      </c>
      <c r="C269" s="1" t="n">
        <v>46088</v>
      </c>
      <c r="D269" t="inlineStr">
        <is>
          <t>NORRBOTTENS LÄN</t>
        </is>
      </c>
      <c r="E269" t="inlineStr">
        <is>
          <t>LULEÅ</t>
        </is>
      </c>
      <c r="G269" t="n">
        <v>5.2</v>
      </c>
      <c r="H269" t="n">
        <v>0</v>
      </c>
      <c r="I269" t="n">
        <v>0</v>
      </c>
      <c r="J269" t="n">
        <v>0</v>
      </c>
      <c r="K269" t="n">
        <v>0</v>
      </c>
      <c r="L269" t="n">
        <v>0</v>
      </c>
      <c r="M269" t="n">
        <v>0</v>
      </c>
      <c r="N269" t="n">
        <v>0</v>
      </c>
      <c r="O269" t="n">
        <v>0</v>
      </c>
      <c r="P269" t="n">
        <v>0</v>
      </c>
      <c r="Q269" t="n">
        <v>0</v>
      </c>
      <c r="R269" s="2" t="inlineStr"/>
    </row>
    <row r="270" ht="15" customHeight="1">
      <c r="A270" t="inlineStr">
        <is>
          <t>A 44006-2025</t>
        </is>
      </c>
      <c r="B270" s="1" t="n">
        <v>45915</v>
      </c>
      <c r="C270" s="1" t="n">
        <v>46088</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14337-2024</t>
        </is>
      </c>
      <c r="B271" s="1" t="n">
        <v>45393</v>
      </c>
      <c r="C271" s="1" t="n">
        <v>46088</v>
      </c>
      <c r="D271" t="inlineStr">
        <is>
          <t>NORRBOTTENS LÄN</t>
        </is>
      </c>
      <c r="E271" t="inlineStr">
        <is>
          <t>LULEÅ</t>
        </is>
      </c>
      <c r="G271" t="n">
        <v>0.6</v>
      </c>
      <c r="H271" t="n">
        <v>0</v>
      </c>
      <c r="I271" t="n">
        <v>0</v>
      </c>
      <c r="J271" t="n">
        <v>0</v>
      </c>
      <c r="K271" t="n">
        <v>0</v>
      </c>
      <c r="L271" t="n">
        <v>0</v>
      </c>
      <c r="M271" t="n">
        <v>0</v>
      </c>
      <c r="N271" t="n">
        <v>0</v>
      </c>
      <c r="O271" t="n">
        <v>0</v>
      </c>
      <c r="P271" t="n">
        <v>0</v>
      </c>
      <c r="Q271" t="n">
        <v>0</v>
      </c>
      <c r="R271" s="2" t="inlineStr"/>
    </row>
    <row r="272" ht="15" customHeight="1">
      <c r="A272" t="inlineStr">
        <is>
          <t>A 17125-2024</t>
        </is>
      </c>
      <c r="B272" s="1" t="n">
        <v>45412</v>
      </c>
      <c r="C272" s="1" t="n">
        <v>46088</v>
      </c>
      <c r="D272" t="inlineStr">
        <is>
          <t>NORRBOTTENS LÄN</t>
        </is>
      </c>
      <c r="E272" t="inlineStr">
        <is>
          <t>LULEÅ</t>
        </is>
      </c>
      <c r="G272" t="n">
        <v>2</v>
      </c>
      <c r="H272" t="n">
        <v>0</v>
      </c>
      <c r="I272" t="n">
        <v>0</v>
      </c>
      <c r="J272" t="n">
        <v>0</v>
      </c>
      <c r="K272" t="n">
        <v>0</v>
      </c>
      <c r="L272" t="n">
        <v>0</v>
      </c>
      <c r="M272" t="n">
        <v>0</v>
      </c>
      <c r="N272" t="n">
        <v>0</v>
      </c>
      <c r="O272" t="n">
        <v>0</v>
      </c>
      <c r="P272" t="n">
        <v>0</v>
      </c>
      <c r="Q272" t="n">
        <v>0</v>
      </c>
      <c r="R272" s="2" t="inlineStr"/>
    </row>
    <row r="273" ht="15" customHeight="1">
      <c r="A273" t="inlineStr">
        <is>
          <t>A 43955-2025</t>
        </is>
      </c>
      <c r="B273" s="1" t="n">
        <v>45915</v>
      </c>
      <c r="C273" s="1" t="n">
        <v>46088</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29530-2025</t>
        </is>
      </c>
      <c r="B274" s="1" t="n">
        <v>45825.3443287037</v>
      </c>
      <c r="C274" s="1" t="n">
        <v>46088</v>
      </c>
      <c r="D274" t="inlineStr">
        <is>
          <t>NORRBOTTENS LÄN</t>
        </is>
      </c>
      <c r="E274" t="inlineStr">
        <is>
          <t>LULEÅ</t>
        </is>
      </c>
      <c r="F274" t="inlineStr">
        <is>
          <t>SCA</t>
        </is>
      </c>
      <c r="G274" t="n">
        <v>17.5</v>
      </c>
      <c r="H274" t="n">
        <v>0</v>
      </c>
      <c r="I274" t="n">
        <v>0</v>
      </c>
      <c r="J274" t="n">
        <v>0</v>
      </c>
      <c r="K274" t="n">
        <v>0</v>
      </c>
      <c r="L274" t="n">
        <v>0</v>
      </c>
      <c r="M274" t="n">
        <v>0</v>
      </c>
      <c r="N274" t="n">
        <v>0</v>
      </c>
      <c r="O274" t="n">
        <v>0</v>
      </c>
      <c r="P274" t="n">
        <v>0</v>
      </c>
      <c r="Q274" t="n">
        <v>0</v>
      </c>
      <c r="R274" s="2" t="inlineStr"/>
    </row>
    <row r="275" ht="15" customHeight="1">
      <c r="A275" t="inlineStr">
        <is>
          <t>A 30784-2024</t>
        </is>
      </c>
      <c r="B275" s="1" t="n">
        <v>45496</v>
      </c>
      <c r="C275" s="1" t="n">
        <v>46088</v>
      </c>
      <c r="D275" t="inlineStr">
        <is>
          <t>NORRBOTTENS LÄN</t>
        </is>
      </c>
      <c r="E275" t="inlineStr">
        <is>
          <t>LULEÅ</t>
        </is>
      </c>
      <c r="F275" t="inlineStr">
        <is>
          <t>Naturvårdsverket</t>
        </is>
      </c>
      <c r="G275" t="n">
        <v>13.2</v>
      </c>
      <c r="H275" t="n">
        <v>0</v>
      </c>
      <c r="I275" t="n">
        <v>0</v>
      </c>
      <c r="J275" t="n">
        <v>0</v>
      </c>
      <c r="K275" t="n">
        <v>0</v>
      </c>
      <c r="L275" t="n">
        <v>0</v>
      </c>
      <c r="M275" t="n">
        <v>0</v>
      </c>
      <c r="N275" t="n">
        <v>0</v>
      </c>
      <c r="O275" t="n">
        <v>0</v>
      </c>
      <c r="P275" t="n">
        <v>0</v>
      </c>
      <c r="Q275" t="n">
        <v>0</v>
      </c>
      <c r="R275" s="2" t="inlineStr"/>
    </row>
    <row r="276" ht="15" customHeight="1">
      <c r="A276" t="inlineStr">
        <is>
          <t>A 30788-2024</t>
        </is>
      </c>
      <c r="B276" s="1" t="n">
        <v>45496</v>
      </c>
      <c r="C276" s="1" t="n">
        <v>46088</v>
      </c>
      <c r="D276" t="inlineStr">
        <is>
          <t>NORRBOTTENS LÄN</t>
        </is>
      </c>
      <c r="E276" t="inlineStr">
        <is>
          <t>LULEÅ</t>
        </is>
      </c>
      <c r="F276" t="inlineStr">
        <is>
          <t>Naturvårdsverket</t>
        </is>
      </c>
      <c r="G276" t="n">
        <v>6.7</v>
      </c>
      <c r="H276" t="n">
        <v>0</v>
      </c>
      <c r="I276" t="n">
        <v>0</v>
      </c>
      <c r="J276" t="n">
        <v>0</v>
      </c>
      <c r="K276" t="n">
        <v>0</v>
      </c>
      <c r="L276" t="n">
        <v>0</v>
      </c>
      <c r="M276" t="n">
        <v>0</v>
      </c>
      <c r="N276" t="n">
        <v>0</v>
      </c>
      <c r="O276" t="n">
        <v>0</v>
      </c>
      <c r="P276" t="n">
        <v>0</v>
      </c>
      <c r="Q276" t="n">
        <v>0</v>
      </c>
      <c r="R276" s="2" t="inlineStr"/>
    </row>
    <row r="277" ht="15" customHeight="1">
      <c r="A277" t="inlineStr">
        <is>
          <t>A 43953-2025</t>
        </is>
      </c>
      <c r="B277" s="1" t="n">
        <v>45915.38332175926</v>
      </c>
      <c r="C277" s="1" t="n">
        <v>46088</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29375-2025</t>
        </is>
      </c>
      <c r="B278" s="1" t="n">
        <v>45824.58546296296</v>
      </c>
      <c r="C278" s="1" t="n">
        <v>46088</v>
      </c>
      <c r="D278" t="inlineStr">
        <is>
          <t>NORRBOTTENS LÄN</t>
        </is>
      </c>
      <c r="E278" t="inlineStr">
        <is>
          <t>LULEÅ</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46088</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30035-2025</t>
        </is>
      </c>
      <c r="B280" s="1" t="n">
        <v>45826.57041666667</v>
      </c>
      <c r="C280" s="1" t="n">
        <v>46088</v>
      </c>
      <c r="D280" t="inlineStr">
        <is>
          <t>NORRBOTTENS LÄN</t>
        </is>
      </c>
      <c r="E280" t="inlineStr">
        <is>
          <t>LULEÅ</t>
        </is>
      </c>
      <c r="G280" t="n">
        <v>16.6</v>
      </c>
      <c r="H280" t="n">
        <v>0</v>
      </c>
      <c r="I280" t="n">
        <v>0</v>
      </c>
      <c r="J280" t="n">
        <v>0</v>
      </c>
      <c r="K280" t="n">
        <v>0</v>
      </c>
      <c r="L280" t="n">
        <v>0</v>
      </c>
      <c r="M280" t="n">
        <v>0</v>
      </c>
      <c r="N280" t="n">
        <v>0</v>
      </c>
      <c r="O280" t="n">
        <v>0</v>
      </c>
      <c r="P280" t="n">
        <v>0</v>
      </c>
      <c r="Q280" t="n">
        <v>0</v>
      </c>
      <c r="R280" s="2" t="inlineStr"/>
    </row>
    <row r="281" ht="15" customHeight="1">
      <c r="A281" t="inlineStr">
        <is>
          <t>A 2700-2025</t>
        </is>
      </c>
      <c r="B281" s="1" t="n">
        <v>45677.40685185185</v>
      </c>
      <c r="C281" s="1" t="n">
        <v>46088</v>
      </c>
      <c r="D281" t="inlineStr">
        <is>
          <t>NORRBOTTENS LÄN</t>
        </is>
      </c>
      <c r="E281" t="inlineStr">
        <is>
          <t>LULEÅ</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30091-2025</t>
        </is>
      </c>
      <c r="B282" s="1" t="n">
        <v>45826</v>
      </c>
      <c r="C282" s="1" t="n">
        <v>46088</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31465-2024</t>
        </is>
      </c>
      <c r="B283" s="1" t="n">
        <v>45505</v>
      </c>
      <c r="C283" s="1" t="n">
        <v>46088</v>
      </c>
      <c r="D283" t="inlineStr">
        <is>
          <t>NORRBOTTENS LÄN</t>
        </is>
      </c>
      <c r="E283" t="inlineStr">
        <is>
          <t>LULEÅ</t>
        </is>
      </c>
      <c r="F283" t="inlineStr">
        <is>
          <t>Naturvårdsverket</t>
        </is>
      </c>
      <c r="G283" t="n">
        <v>7.1</v>
      </c>
      <c r="H283" t="n">
        <v>0</v>
      </c>
      <c r="I283" t="n">
        <v>0</v>
      </c>
      <c r="J283" t="n">
        <v>0</v>
      </c>
      <c r="K283" t="n">
        <v>0</v>
      </c>
      <c r="L283" t="n">
        <v>0</v>
      </c>
      <c r="M283" t="n">
        <v>0</v>
      </c>
      <c r="N283" t="n">
        <v>0</v>
      </c>
      <c r="O283" t="n">
        <v>0</v>
      </c>
      <c r="P283" t="n">
        <v>0</v>
      </c>
      <c r="Q283" t="n">
        <v>0</v>
      </c>
      <c r="R283" s="2" t="inlineStr"/>
    </row>
    <row r="284" ht="15" customHeight="1">
      <c r="A284" t="inlineStr">
        <is>
          <t>A 44662-2025</t>
        </is>
      </c>
      <c r="B284" s="1" t="n">
        <v>45917.55898148148</v>
      </c>
      <c r="C284" s="1" t="n">
        <v>46088</v>
      </c>
      <c r="D284" t="inlineStr">
        <is>
          <t>NORRBOTTENS LÄN</t>
        </is>
      </c>
      <c r="E284" t="inlineStr">
        <is>
          <t>LULEÅ</t>
        </is>
      </c>
      <c r="G284" t="n">
        <v>8.6</v>
      </c>
      <c r="H284" t="n">
        <v>0</v>
      </c>
      <c r="I284" t="n">
        <v>0</v>
      </c>
      <c r="J284" t="n">
        <v>0</v>
      </c>
      <c r="K284" t="n">
        <v>0</v>
      </c>
      <c r="L284" t="n">
        <v>0</v>
      </c>
      <c r="M284" t="n">
        <v>0</v>
      </c>
      <c r="N284" t="n">
        <v>0</v>
      </c>
      <c r="O284" t="n">
        <v>0</v>
      </c>
      <c r="P284" t="n">
        <v>0</v>
      </c>
      <c r="Q284" t="n">
        <v>0</v>
      </c>
      <c r="R284" s="2" t="inlineStr"/>
    </row>
    <row r="285" ht="15" customHeight="1">
      <c r="A285" t="inlineStr">
        <is>
          <t>A 29896-2025</t>
        </is>
      </c>
      <c r="B285" s="1" t="n">
        <v>45826.38290509259</v>
      </c>
      <c r="C285" s="1" t="n">
        <v>46088</v>
      </c>
      <c r="D285" t="inlineStr">
        <is>
          <t>NORRBOTTENS LÄN</t>
        </is>
      </c>
      <c r="E285" t="inlineStr">
        <is>
          <t>LULEÅ</t>
        </is>
      </c>
      <c r="G285" t="n">
        <v>17.9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46088</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30059-2025</t>
        </is>
      </c>
      <c r="B287" s="1" t="n">
        <v>45826.61388888889</v>
      </c>
      <c r="C287" s="1" t="n">
        <v>46088</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30065-2025</t>
        </is>
      </c>
      <c r="B288" s="1" t="n">
        <v>45826.6207175926</v>
      </c>
      <c r="C288" s="1" t="n">
        <v>46088</v>
      </c>
      <c r="D288" t="inlineStr">
        <is>
          <t>NORRBOTTENS LÄN</t>
        </is>
      </c>
      <c r="E288" t="inlineStr">
        <is>
          <t>LULEÅ</t>
        </is>
      </c>
      <c r="G288" t="n">
        <v>4</v>
      </c>
      <c r="H288" t="n">
        <v>0</v>
      </c>
      <c r="I288" t="n">
        <v>0</v>
      </c>
      <c r="J288" t="n">
        <v>0</v>
      </c>
      <c r="K288" t="n">
        <v>0</v>
      </c>
      <c r="L288" t="n">
        <v>0</v>
      </c>
      <c r="M288" t="n">
        <v>0</v>
      </c>
      <c r="N288" t="n">
        <v>0</v>
      </c>
      <c r="O288" t="n">
        <v>0</v>
      </c>
      <c r="P288" t="n">
        <v>0</v>
      </c>
      <c r="Q288" t="n">
        <v>0</v>
      </c>
      <c r="R288" s="2" t="inlineStr"/>
    </row>
    <row r="289" ht="15" customHeight="1">
      <c r="A289" t="inlineStr">
        <is>
          <t>A 30080-2025</t>
        </is>
      </c>
      <c r="B289" s="1" t="n">
        <v>45826.65047453704</v>
      </c>
      <c r="C289" s="1" t="n">
        <v>46088</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57140-2025</t>
        </is>
      </c>
      <c r="B290" s="1" t="n">
        <v>45978</v>
      </c>
      <c r="C290" s="1" t="n">
        <v>46088</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30289-2023</t>
        </is>
      </c>
      <c r="B291" s="1" t="n">
        <v>45110</v>
      </c>
      <c r="C291" s="1" t="n">
        <v>46088</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30245-2025</t>
        </is>
      </c>
      <c r="B292" s="1" t="n">
        <v>45827.4106712963</v>
      </c>
      <c r="C292" s="1" t="n">
        <v>46088</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30048-2025</t>
        </is>
      </c>
      <c r="B293" s="1" t="n">
        <v>45826.58424768518</v>
      </c>
      <c r="C293" s="1" t="n">
        <v>46088</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row>
    <row r="294" ht="15" customHeight="1">
      <c r="A294" t="inlineStr">
        <is>
          <t>A 30052-2025</t>
        </is>
      </c>
      <c r="B294" s="1" t="n">
        <v>45826.59502314815</v>
      </c>
      <c r="C294" s="1" t="n">
        <v>46088</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54738-2024</t>
        </is>
      </c>
      <c r="B295" s="1" t="n">
        <v>45618.44334490741</v>
      </c>
      <c r="C295" s="1" t="n">
        <v>46088</v>
      </c>
      <c r="D295" t="inlineStr">
        <is>
          <t>NORRBOTTENS LÄN</t>
        </is>
      </c>
      <c r="E295" t="inlineStr">
        <is>
          <t>LULEÅ</t>
        </is>
      </c>
      <c r="G295" t="n">
        <v>4.7</v>
      </c>
      <c r="H295" t="n">
        <v>0</v>
      </c>
      <c r="I295" t="n">
        <v>0</v>
      </c>
      <c r="J295" t="n">
        <v>0</v>
      </c>
      <c r="K295" t="n">
        <v>0</v>
      </c>
      <c r="L295" t="n">
        <v>0</v>
      </c>
      <c r="M295" t="n">
        <v>0</v>
      </c>
      <c r="N295" t="n">
        <v>0</v>
      </c>
      <c r="O295" t="n">
        <v>0</v>
      </c>
      <c r="P295" t="n">
        <v>0</v>
      </c>
      <c r="Q295" t="n">
        <v>0</v>
      </c>
      <c r="R295" s="2" t="inlineStr"/>
    </row>
    <row r="296" ht="15" customHeight="1">
      <c r="A296" t="inlineStr">
        <is>
          <t>A 30237-2025</t>
        </is>
      </c>
      <c r="B296" s="1" t="n">
        <v>45827.39997685186</v>
      </c>
      <c r="C296" s="1" t="n">
        <v>46088</v>
      </c>
      <c r="D296" t="inlineStr">
        <is>
          <t>NORRBOTTENS LÄN</t>
        </is>
      </c>
      <c r="E296" t="inlineStr">
        <is>
          <t>LULEÅ</t>
        </is>
      </c>
      <c r="G296" t="n">
        <v>17.6</v>
      </c>
      <c r="H296" t="n">
        <v>0</v>
      </c>
      <c r="I296" t="n">
        <v>0</v>
      </c>
      <c r="J296" t="n">
        <v>0</v>
      </c>
      <c r="K296" t="n">
        <v>0</v>
      </c>
      <c r="L296" t="n">
        <v>0</v>
      </c>
      <c r="M296" t="n">
        <v>0</v>
      </c>
      <c r="N296" t="n">
        <v>0</v>
      </c>
      <c r="O296" t="n">
        <v>0</v>
      </c>
      <c r="P296" t="n">
        <v>0</v>
      </c>
      <c r="Q296" t="n">
        <v>0</v>
      </c>
      <c r="R296" s="2" t="inlineStr"/>
    </row>
    <row r="297" ht="15" customHeight="1">
      <c r="A297" t="inlineStr">
        <is>
          <t>A 30238-2025</t>
        </is>
      </c>
      <c r="B297" s="1" t="n">
        <v>45827.40238425926</v>
      </c>
      <c r="C297" s="1" t="n">
        <v>46088</v>
      </c>
      <c r="D297" t="inlineStr">
        <is>
          <t>NORRBOTTENS LÄN</t>
        </is>
      </c>
      <c r="E297" t="inlineStr">
        <is>
          <t>LULEÅ</t>
        </is>
      </c>
      <c r="G297" t="n">
        <v>10.2</v>
      </c>
      <c r="H297" t="n">
        <v>0</v>
      </c>
      <c r="I297" t="n">
        <v>0</v>
      </c>
      <c r="J297" t="n">
        <v>0</v>
      </c>
      <c r="K297" t="n">
        <v>0</v>
      </c>
      <c r="L297" t="n">
        <v>0</v>
      </c>
      <c r="M297" t="n">
        <v>0</v>
      </c>
      <c r="N297" t="n">
        <v>0</v>
      </c>
      <c r="O297" t="n">
        <v>0</v>
      </c>
      <c r="P297" t="n">
        <v>0</v>
      </c>
      <c r="Q297" t="n">
        <v>0</v>
      </c>
      <c r="R297" s="2" t="inlineStr"/>
    </row>
    <row r="298" ht="15" customHeight="1">
      <c r="A298" t="inlineStr">
        <is>
          <t>A 30056-2025</t>
        </is>
      </c>
      <c r="B298" s="1" t="n">
        <v>45826.6047800926</v>
      </c>
      <c r="C298" s="1" t="n">
        <v>46088</v>
      </c>
      <c r="D298" t="inlineStr">
        <is>
          <t>NORRBOTTENS LÄN</t>
        </is>
      </c>
      <c r="E298" t="inlineStr">
        <is>
          <t>LULEÅ</t>
        </is>
      </c>
      <c r="G298" t="n">
        <v>3.6</v>
      </c>
      <c r="H298" t="n">
        <v>0</v>
      </c>
      <c r="I298" t="n">
        <v>0</v>
      </c>
      <c r="J298" t="n">
        <v>0</v>
      </c>
      <c r="K298" t="n">
        <v>0</v>
      </c>
      <c r="L298" t="n">
        <v>0</v>
      </c>
      <c r="M298" t="n">
        <v>0</v>
      </c>
      <c r="N298" t="n">
        <v>0</v>
      </c>
      <c r="O298" t="n">
        <v>0</v>
      </c>
      <c r="P298" t="n">
        <v>0</v>
      </c>
      <c r="Q298" t="n">
        <v>0</v>
      </c>
      <c r="R298" s="2" t="inlineStr"/>
    </row>
    <row r="299" ht="15" customHeight="1">
      <c r="A299" t="inlineStr">
        <is>
          <t>A 29975-2025</t>
        </is>
      </c>
      <c r="B299" s="1" t="n">
        <v>45826</v>
      </c>
      <c r="C299" s="1" t="n">
        <v>46088</v>
      </c>
      <c r="D299" t="inlineStr">
        <is>
          <t>NORRBOTTENS LÄN</t>
        </is>
      </c>
      <c r="E299" t="inlineStr">
        <is>
          <t>LULEÅ</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30569-2025</t>
        </is>
      </c>
      <c r="B300" s="1" t="n">
        <v>45831</v>
      </c>
      <c r="C300" s="1" t="n">
        <v>46088</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30570-2025</t>
        </is>
      </c>
      <c r="B301" s="1" t="n">
        <v>45831.40694444445</v>
      </c>
      <c r="C301" s="1" t="n">
        <v>46088</v>
      </c>
      <c r="D301" t="inlineStr">
        <is>
          <t>NORRBOTTENS LÄN</t>
        </is>
      </c>
      <c r="E301" t="inlineStr">
        <is>
          <t>LULEÅ</t>
        </is>
      </c>
      <c r="G301" t="n">
        <v>4.8</v>
      </c>
      <c r="H301" t="n">
        <v>0</v>
      </c>
      <c r="I301" t="n">
        <v>0</v>
      </c>
      <c r="J301" t="n">
        <v>0</v>
      </c>
      <c r="K301" t="n">
        <v>0</v>
      </c>
      <c r="L301" t="n">
        <v>0</v>
      </c>
      <c r="M301" t="n">
        <v>0</v>
      </c>
      <c r="N301" t="n">
        <v>0</v>
      </c>
      <c r="O301" t="n">
        <v>0</v>
      </c>
      <c r="P301" t="n">
        <v>0</v>
      </c>
      <c r="Q301" t="n">
        <v>0</v>
      </c>
      <c r="R301" s="2" t="inlineStr"/>
    </row>
    <row r="302" ht="15" customHeight="1">
      <c r="A302" t="inlineStr">
        <is>
          <t>A 145-2025</t>
        </is>
      </c>
      <c r="B302" s="1" t="n">
        <v>45659.59091435185</v>
      </c>
      <c r="C302" s="1" t="n">
        <v>46088</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31025-2025</t>
        </is>
      </c>
      <c r="B303" s="1" t="n">
        <v>45831</v>
      </c>
      <c r="C303" s="1" t="n">
        <v>46088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45000-2025</t>
        </is>
      </c>
      <c r="B304" s="1" t="n">
        <v>45918</v>
      </c>
      <c r="C304" s="1" t="n">
        <v>46088</v>
      </c>
      <c r="D304" t="inlineStr">
        <is>
          <t>NORRBOTTENS LÄN</t>
        </is>
      </c>
      <c r="E304" t="inlineStr">
        <is>
          <t>LULEÅ</t>
        </is>
      </c>
      <c r="G304" t="n">
        <v>4</v>
      </c>
      <c r="H304" t="n">
        <v>0</v>
      </c>
      <c r="I304" t="n">
        <v>0</v>
      </c>
      <c r="J304" t="n">
        <v>0</v>
      </c>
      <c r="K304" t="n">
        <v>0</v>
      </c>
      <c r="L304" t="n">
        <v>0</v>
      </c>
      <c r="M304" t="n">
        <v>0</v>
      </c>
      <c r="N304" t="n">
        <v>0</v>
      </c>
      <c r="O304" t="n">
        <v>0</v>
      </c>
      <c r="P304" t="n">
        <v>0</v>
      </c>
      <c r="Q304" t="n">
        <v>0</v>
      </c>
      <c r="R304" s="2" t="inlineStr"/>
    </row>
    <row r="305" ht="15" customHeight="1">
      <c r="A305" t="inlineStr">
        <is>
          <t>A 50640-2024</t>
        </is>
      </c>
      <c r="B305" s="1" t="n">
        <v>45601.67827546296</v>
      </c>
      <c r="C305" s="1" t="n">
        <v>46088</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44982-2025</t>
        </is>
      </c>
      <c r="B306" s="1" t="n">
        <v>45918</v>
      </c>
      <c r="C306" s="1" t="n">
        <v>46088</v>
      </c>
      <c r="D306" t="inlineStr">
        <is>
          <t>NORRBOTTENS LÄN</t>
        </is>
      </c>
      <c r="E306" t="inlineStr">
        <is>
          <t>LULEÅ</t>
        </is>
      </c>
      <c r="G306" t="n">
        <v>13.7</v>
      </c>
      <c r="H306" t="n">
        <v>0</v>
      </c>
      <c r="I306" t="n">
        <v>0</v>
      </c>
      <c r="J306" t="n">
        <v>0</v>
      </c>
      <c r="K306" t="n">
        <v>0</v>
      </c>
      <c r="L306" t="n">
        <v>0</v>
      </c>
      <c r="M306" t="n">
        <v>0</v>
      </c>
      <c r="N306" t="n">
        <v>0</v>
      </c>
      <c r="O306" t="n">
        <v>0</v>
      </c>
      <c r="P306" t="n">
        <v>0</v>
      </c>
      <c r="Q306" t="n">
        <v>0</v>
      </c>
      <c r="R306" s="2" t="inlineStr"/>
    </row>
    <row r="307" ht="15" customHeight="1">
      <c r="A307" t="inlineStr">
        <is>
          <t>A 7168-2025</t>
        </is>
      </c>
      <c r="B307" s="1" t="n">
        <v>45702.40306712963</v>
      </c>
      <c r="C307" s="1" t="n">
        <v>46088</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30907-2025</t>
        </is>
      </c>
      <c r="B308" s="1" t="n">
        <v>45832.36484953704</v>
      </c>
      <c r="C308" s="1" t="n">
        <v>46088</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46088</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307-2026</t>
        </is>
      </c>
      <c r="B310" s="1" t="n">
        <v>46027.55047453703</v>
      </c>
      <c r="C310" s="1" t="n">
        <v>46088</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46088</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46088</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45684-2025</t>
        </is>
      </c>
      <c r="B313" s="1" t="n">
        <v>45918</v>
      </c>
      <c r="C313" s="1" t="n">
        <v>46088</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45470-2025</t>
        </is>
      </c>
      <c r="B314" s="1" t="n">
        <v>45922.51091435185</v>
      </c>
      <c r="C314" s="1" t="n">
        <v>46088</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45001-2025</t>
        </is>
      </c>
      <c r="B315" s="1" t="n">
        <v>45918</v>
      </c>
      <c r="C315" s="1" t="n">
        <v>46088</v>
      </c>
      <c r="D315" t="inlineStr">
        <is>
          <t>NORRBOTTENS LÄN</t>
        </is>
      </c>
      <c r="E315" t="inlineStr">
        <is>
          <t>LULEÅ</t>
        </is>
      </c>
      <c r="G315" t="n">
        <v>7.8</v>
      </c>
      <c r="H315" t="n">
        <v>0</v>
      </c>
      <c r="I315" t="n">
        <v>0</v>
      </c>
      <c r="J315" t="n">
        <v>0</v>
      </c>
      <c r="K315" t="n">
        <v>0</v>
      </c>
      <c r="L315" t="n">
        <v>0</v>
      </c>
      <c r="M315" t="n">
        <v>0</v>
      </c>
      <c r="N315" t="n">
        <v>0</v>
      </c>
      <c r="O315" t="n">
        <v>0</v>
      </c>
      <c r="P315" t="n">
        <v>0</v>
      </c>
      <c r="Q315" t="n">
        <v>0</v>
      </c>
      <c r="R315" s="2" t="inlineStr"/>
    </row>
    <row r="316" ht="15" customHeight="1">
      <c r="A316" t="inlineStr">
        <is>
          <t>A 46117-2025</t>
        </is>
      </c>
      <c r="B316" s="1" t="n">
        <v>45924.5737962963</v>
      </c>
      <c r="C316" s="1" t="n">
        <v>46088</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5822-2025</t>
        </is>
      </c>
      <c r="B317" s="1" t="n">
        <v>45694</v>
      </c>
      <c r="C317" s="1" t="n">
        <v>46088</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46088</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32223-2025</t>
        </is>
      </c>
      <c r="B319" s="1" t="n">
        <v>45835.59313657408</v>
      </c>
      <c r="C319" s="1" t="n">
        <v>46088</v>
      </c>
      <c r="D319" t="inlineStr">
        <is>
          <t>NORRBOTTENS LÄN</t>
        </is>
      </c>
      <c r="E319" t="inlineStr">
        <is>
          <t>LULEÅ</t>
        </is>
      </c>
      <c r="G319" t="n">
        <v>6.3</v>
      </c>
      <c r="H319" t="n">
        <v>0</v>
      </c>
      <c r="I319" t="n">
        <v>0</v>
      </c>
      <c r="J319" t="n">
        <v>0</v>
      </c>
      <c r="K319" t="n">
        <v>0</v>
      </c>
      <c r="L319" t="n">
        <v>0</v>
      </c>
      <c r="M319" t="n">
        <v>0</v>
      </c>
      <c r="N319" t="n">
        <v>0</v>
      </c>
      <c r="O319" t="n">
        <v>0</v>
      </c>
      <c r="P319" t="n">
        <v>0</v>
      </c>
      <c r="Q319" t="n">
        <v>0</v>
      </c>
      <c r="R319" s="2" t="inlineStr"/>
    </row>
    <row r="320" ht="15" customHeight="1">
      <c r="A320" t="inlineStr">
        <is>
          <t>A 32255-2025</t>
        </is>
      </c>
      <c r="B320" s="1" t="n">
        <v>45835.63332175926</v>
      </c>
      <c r="C320" s="1" t="n">
        <v>46088</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46469-2025</t>
        </is>
      </c>
      <c r="B321" s="1" t="n">
        <v>45925.68186342593</v>
      </c>
      <c r="C321" s="1" t="n">
        <v>46088</v>
      </c>
      <c r="D321" t="inlineStr">
        <is>
          <t>NORRBOTTENS LÄN</t>
        </is>
      </c>
      <c r="E321" t="inlineStr">
        <is>
          <t>LULEÅ</t>
        </is>
      </c>
      <c r="G321" t="n">
        <v>12</v>
      </c>
      <c r="H321" t="n">
        <v>0</v>
      </c>
      <c r="I321" t="n">
        <v>0</v>
      </c>
      <c r="J321" t="n">
        <v>0</v>
      </c>
      <c r="K321" t="n">
        <v>0</v>
      </c>
      <c r="L321" t="n">
        <v>0</v>
      </c>
      <c r="M321" t="n">
        <v>0</v>
      </c>
      <c r="N321" t="n">
        <v>0</v>
      </c>
      <c r="O321" t="n">
        <v>0</v>
      </c>
      <c r="P321" t="n">
        <v>0</v>
      </c>
      <c r="Q321" t="n">
        <v>0</v>
      </c>
      <c r="R321" s="2" t="inlineStr"/>
    </row>
    <row r="322" ht="15" customHeight="1">
      <c r="A322" t="inlineStr">
        <is>
          <t>A 37820-2022</t>
        </is>
      </c>
      <c r="B322" s="1" t="n">
        <v>44810</v>
      </c>
      <c r="C322" s="1" t="n">
        <v>46088</v>
      </c>
      <c r="D322" t="inlineStr">
        <is>
          <t>NORRBOTTENS LÄN</t>
        </is>
      </c>
      <c r="E322" t="inlineStr">
        <is>
          <t>LULEÅ</t>
        </is>
      </c>
      <c r="G322" t="n">
        <v>3.1</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46088</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32127-2025</t>
        </is>
      </c>
      <c r="B324" s="1" t="n">
        <v>45835.49930555555</v>
      </c>
      <c r="C324" s="1" t="n">
        <v>46088</v>
      </c>
      <c r="D324" t="inlineStr">
        <is>
          <t>NORRBOTTENS LÄN</t>
        </is>
      </c>
      <c r="E324" t="inlineStr">
        <is>
          <t>LULEÅ</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46088</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45925.61494212963</v>
      </c>
      <c r="C326" s="1" t="n">
        <v>46088</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31620-2025</t>
        </is>
      </c>
      <c r="B327" s="1" t="n">
        <v>45833.87428240741</v>
      </c>
      <c r="C327" s="1" t="n">
        <v>46088</v>
      </c>
      <c r="D327" t="inlineStr">
        <is>
          <t>NORRBOTTENS LÄN</t>
        </is>
      </c>
      <c r="E327" t="inlineStr">
        <is>
          <t>LULEÅ</t>
        </is>
      </c>
      <c r="G327" t="n">
        <v>7.7</v>
      </c>
      <c r="H327" t="n">
        <v>0</v>
      </c>
      <c r="I327" t="n">
        <v>0</v>
      </c>
      <c r="J327" t="n">
        <v>0</v>
      </c>
      <c r="K327" t="n">
        <v>0</v>
      </c>
      <c r="L327" t="n">
        <v>0</v>
      </c>
      <c r="M327" t="n">
        <v>0</v>
      </c>
      <c r="N327" t="n">
        <v>0</v>
      </c>
      <c r="O327" t="n">
        <v>0</v>
      </c>
      <c r="P327" t="n">
        <v>0</v>
      </c>
      <c r="Q327" t="n">
        <v>0</v>
      </c>
      <c r="R327" s="2" t="inlineStr"/>
    </row>
    <row r="328" ht="15" customHeight="1">
      <c r="A328" t="inlineStr">
        <is>
          <t>A 32154-2025</t>
        </is>
      </c>
      <c r="B328" s="1" t="n">
        <v>45835.53480324074</v>
      </c>
      <c r="C328" s="1" t="n">
        <v>46088</v>
      </c>
      <c r="D328" t="inlineStr">
        <is>
          <t>NORRBOTTENS LÄN</t>
        </is>
      </c>
      <c r="E328" t="inlineStr">
        <is>
          <t>LULEÅ</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132-2026</t>
        </is>
      </c>
      <c r="B329" s="1" t="n">
        <v>46024.60086805555</v>
      </c>
      <c r="C329" s="1" t="n">
        <v>46088</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32264-2025</t>
        </is>
      </c>
      <c r="B330" s="1" t="n">
        <v>45835.64934027778</v>
      </c>
      <c r="C330" s="1" t="n">
        <v>46088</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32253-2025</t>
        </is>
      </c>
      <c r="B331" s="1" t="n">
        <v>45835.63008101852</v>
      </c>
      <c r="C331" s="1" t="n">
        <v>46088</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46060-2025</t>
        </is>
      </c>
      <c r="B332" s="1" t="n">
        <v>45924</v>
      </c>
      <c r="C332" s="1" t="n">
        <v>46088</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46088</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32460-2025</t>
        </is>
      </c>
      <c r="B334" s="1" t="n">
        <v>45838.41540509259</v>
      </c>
      <c r="C334" s="1" t="n">
        <v>46088</v>
      </c>
      <c r="D334" t="inlineStr">
        <is>
          <t>NORRBOTTENS LÄN</t>
        </is>
      </c>
      <c r="E334" t="inlineStr">
        <is>
          <t>LULEÅ</t>
        </is>
      </c>
      <c r="G334" t="n">
        <v>2.9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46088</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64240-2023</t>
        </is>
      </c>
      <c r="B336" s="1" t="n">
        <v>45279</v>
      </c>
      <c r="C336" s="1" t="n">
        <v>46088</v>
      </c>
      <c r="D336" t="inlineStr">
        <is>
          <t>NORRBOTTENS LÄN</t>
        </is>
      </c>
      <c r="E336" t="inlineStr">
        <is>
          <t>LULEÅ</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32462-2025</t>
        </is>
      </c>
      <c r="B337" s="1" t="n">
        <v>45838.41660879629</v>
      </c>
      <c r="C337" s="1" t="n">
        <v>46088</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11982-2023</t>
        </is>
      </c>
      <c r="B338" s="1" t="n">
        <v>44994</v>
      </c>
      <c r="C338" s="1" t="n">
        <v>46088</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46572-2025</t>
        </is>
      </c>
      <c r="B339" s="1" t="n">
        <v>45926.3683912037</v>
      </c>
      <c r="C339" s="1" t="n">
        <v>46088</v>
      </c>
      <c r="D339" t="inlineStr">
        <is>
          <t>NORRBOTTENS LÄN</t>
        </is>
      </c>
      <c r="E339" t="inlineStr">
        <is>
          <t>LULEÅ</t>
        </is>
      </c>
      <c r="G339" t="n">
        <v>15.1</v>
      </c>
      <c r="H339" t="n">
        <v>0</v>
      </c>
      <c r="I339" t="n">
        <v>0</v>
      </c>
      <c r="J339" t="n">
        <v>0</v>
      </c>
      <c r="K339" t="n">
        <v>0</v>
      </c>
      <c r="L339" t="n">
        <v>0</v>
      </c>
      <c r="M339" t="n">
        <v>0</v>
      </c>
      <c r="N339" t="n">
        <v>0</v>
      </c>
      <c r="O339" t="n">
        <v>0</v>
      </c>
      <c r="P339" t="n">
        <v>0</v>
      </c>
      <c r="Q339" t="n">
        <v>0</v>
      </c>
      <c r="R339" s="2" t="inlineStr"/>
    </row>
    <row r="340" ht="15" customHeight="1">
      <c r="A340" t="inlineStr">
        <is>
          <t>A 32458-2025</t>
        </is>
      </c>
      <c r="B340" s="1" t="n">
        <v>45838.41445601852</v>
      </c>
      <c r="C340" s="1" t="n">
        <v>46088</v>
      </c>
      <c r="D340" t="inlineStr">
        <is>
          <t>NORRBOTTENS LÄN</t>
        </is>
      </c>
      <c r="E340" t="inlineStr">
        <is>
          <t>LULEÅ</t>
        </is>
      </c>
      <c r="G340" t="n">
        <v>10.8</v>
      </c>
      <c r="H340" t="n">
        <v>0</v>
      </c>
      <c r="I340" t="n">
        <v>0</v>
      </c>
      <c r="J340" t="n">
        <v>0</v>
      </c>
      <c r="K340" t="n">
        <v>0</v>
      </c>
      <c r="L340" t="n">
        <v>0</v>
      </c>
      <c r="M340" t="n">
        <v>0</v>
      </c>
      <c r="N340" t="n">
        <v>0</v>
      </c>
      <c r="O340" t="n">
        <v>0</v>
      </c>
      <c r="P340" t="n">
        <v>0</v>
      </c>
      <c r="Q340" t="n">
        <v>0</v>
      </c>
      <c r="R340" s="2" t="inlineStr"/>
    </row>
    <row r="341" ht="15" customHeight="1">
      <c r="A341" t="inlineStr">
        <is>
          <t>A 55195-2022</t>
        </is>
      </c>
      <c r="B341" s="1" t="n">
        <v>44886</v>
      </c>
      <c r="C341" s="1" t="n">
        <v>46088</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33692-2025</t>
        </is>
      </c>
      <c r="B342" s="1" t="n">
        <v>45841.69819444444</v>
      </c>
      <c r="C342" s="1" t="n">
        <v>46088</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48412-2023</t>
        </is>
      </c>
      <c r="B343" s="1" t="n">
        <v>45205</v>
      </c>
      <c r="C343" s="1" t="n">
        <v>46088</v>
      </c>
      <c r="D343" t="inlineStr">
        <is>
          <t>NORRBOTTENS LÄN</t>
        </is>
      </c>
      <c r="E343" t="inlineStr">
        <is>
          <t>LULEÅ</t>
        </is>
      </c>
      <c r="G343" t="n">
        <v>45.8</v>
      </c>
      <c r="H343" t="n">
        <v>0</v>
      </c>
      <c r="I343" t="n">
        <v>0</v>
      </c>
      <c r="J343" t="n">
        <v>0</v>
      </c>
      <c r="K343" t="n">
        <v>0</v>
      </c>
      <c r="L343" t="n">
        <v>0</v>
      </c>
      <c r="M343" t="n">
        <v>0</v>
      </c>
      <c r="N343" t="n">
        <v>0</v>
      </c>
      <c r="O343" t="n">
        <v>0</v>
      </c>
      <c r="P343" t="n">
        <v>0</v>
      </c>
      <c r="Q343" t="n">
        <v>0</v>
      </c>
      <c r="R343" s="2" t="inlineStr"/>
    </row>
    <row r="344" ht="15" customHeight="1">
      <c r="A344" t="inlineStr">
        <is>
          <t>A 8228-2024</t>
        </is>
      </c>
      <c r="B344" s="1" t="n">
        <v>45351</v>
      </c>
      <c r="C344" s="1" t="n">
        <v>46088</v>
      </c>
      <c r="D344" t="inlineStr">
        <is>
          <t>NORRBOTTENS LÄN</t>
        </is>
      </c>
      <c r="E344" t="inlineStr">
        <is>
          <t>LULEÅ</t>
        </is>
      </c>
      <c r="G344" t="n">
        <v>10.1</v>
      </c>
      <c r="H344" t="n">
        <v>0</v>
      </c>
      <c r="I344" t="n">
        <v>0</v>
      </c>
      <c r="J344" t="n">
        <v>0</v>
      </c>
      <c r="K344" t="n">
        <v>0</v>
      </c>
      <c r="L344" t="n">
        <v>0</v>
      </c>
      <c r="M344" t="n">
        <v>0</v>
      </c>
      <c r="N344" t="n">
        <v>0</v>
      </c>
      <c r="O344" t="n">
        <v>0</v>
      </c>
      <c r="P344" t="n">
        <v>0</v>
      </c>
      <c r="Q344" t="n">
        <v>0</v>
      </c>
      <c r="R344" s="2" t="inlineStr"/>
    </row>
    <row r="345" ht="15" customHeight="1">
      <c r="A345" t="inlineStr">
        <is>
          <t>A 58469-2024</t>
        </is>
      </c>
      <c r="B345" s="1" t="n">
        <v>45632</v>
      </c>
      <c r="C345" s="1" t="n">
        <v>46088</v>
      </c>
      <c r="D345" t="inlineStr">
        <is>
          <t>NORRBOTTENS LÄN</t>
        </is>
      </c>
      <c r="E345" t="inlineStr">
        <is>
          <t>LULEÅ</t>
        </is>
      </c>
      <c r="G345" t="n">
        <v>9</v>
      </c>
      <c r="H345" t="n">
        <v>0</v>
      </c>
      <c r="I345" t="n">
        <v>0</v>
      </c>
      <c r="J345" t="n">
        <v>0</v>
      </c>
      <c r="K345" t="n">
        <v>0</v>
      </c>
      <c r="L345" t="n">
        <v>0</v>
      </c>
      <c r="M345" t="n">
        <v>0</v>
      </c>
      <c r="N345" t="n">
        <v>0</v>
      </c>
      <c r="O345" t="n">
        <v>0</v>
      </c>
      <c r="P345" t="n">
        <v>0</v>
      </c>
      <c r="Q345" t="n">
        <v>0</v>
      </c>
      <c r="R345" s="2" t="inlineStr"/>
    </row>
    <row r="346" ht="15" customHeight="1">
      <c r="A346" t="inlineStr">
        <is>
          <t>A 315-2026</t>
        </is>
      </c>
      <c r="B346" s="1" t="n">
        <v>46027.56204861111</v>
      </c>
      <c r="C346" s="1" t="n">
        <v>46088</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33608-2025</t>
        </is>
      </c>
      <c r="B347" s="1" t="n">
        <v>45841.61747685185</v>
      </c>
      <c r="C347" s="1" t="n">
        <v>46088</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30358-2023</t>
        </is>
      </c>
      <c r="B348" s="1" t="n">
        <v>45111</v>
      </c>
      <c r="C348" s="1" t="n">
        <v>46088</v>
      </c>
      <c r="D348" t="inlineStr">
        <is>
          <t>NORRBOTTENS LÄN</t>
        </is>
      </c>
      <c r="E348" t="inlineStr">
        <is>
          <t>LULEÅ</t>
        </is>
      </c>
      <c r="G348" t="n">
        <v>3.9</v>
      </c>
      <c r="H348" t="n">
        <v>0</v>
      </c>
      <c r="I348" t="n">
        <v>0</v>
      </c>
      <c r="J348" t="n">
        <v>0</v>
      </c>
      <c r="K348" t="n">
        <v>0</v>
      </c>
      <c r="L348" t="n">
        <v>0</v>
      </c>
      <c r="M348" t="n">
        <v>0</v>
      </c>
      <c r="N348" t="n">
        <v>0</v>
      </c>
      <c r="O348" t="n">
        <v>0</v>
      </c>
      <c r="P348" t="n">
        <v>0</v>
      </c>
      <c r="Q348" t="n">
        <v>0</v>
      </c>
      <c r="R348" s="2" t="inlineStr"/>
    </row>
    <row r="349" ht="15" customHeight="1">
      <c r="A349" t="inlineStr">
        <is>
          <t>A 38551-2023</t>
        </is>
      </c>
      <c r="B349" s="1" t="n">
        <v>45160</v>
      </c>
      <c r="C349" s="1" t="n">
        <v>46088</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214-2026</t>
        </is>
      </c>
      <c r="B350" s="1" t="n">
        <v>46026.64652777778</v>
      </c>
      <c r="C350" s="1" t="n">
        <v>46088</v>
      </c>
      <c r="D350" t="inlineStr">
        <is>
          <t>NORRBOTTENS LÄN</t>
        </is>
      </c>
      <c r="E350" t="inlineStr">
        <is>
          <t>LULEÅ</t>
        </is>
      </c>
      <c r="G350" t="n">
        <v>15.4</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46088</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48642-2023</t>
        </is>
      </c>
      <c r="B352" s="1" t="n">
        <v>45208</v>
      </c>
      <c r="C352" s="1" t="n">
        <v>46088</v>
      </c>
      <c r="D352" t="inlineStr">
        <is>
          <t>NORRBOTTENS LÄN</t>
        </is>
      </c>
      <c r="E352" t="inlineStr">
        <is>
          <t>LULEÅ</t>
        </is>
      </c>
      <c r="G352" t="n">
        <v>4.5</v>
      </c>
      <c r="H352" t="n">
        <v>0</v>
      </c>
      <c r="I352" t="n">
        <v>0</v>
      </c>
      <c r="J352" t="n">
        <v>0</v>
      </c>
      <c r="K352" t="n">
        <v>0</v>
      </c>
      <c r="L352" t="n">
        <v>0</v>
      </c>
      <c r="M352" t="n">
        <v>0</v>
      </c>
      <c r="N352" t="n">
        <v>0</v>
      </c>
      <c r="O352" t="n">
        <v>0</v>
      </c>
      <c r="P352" t="n">
        <v>0</v>
      </c>
      <c r="Q352" t="n">
        <v>0</v>
      </c>
      <c r="R352" s="2" t="inlineStr"/>
    </row>
    <row r="353" ht="15" customHeight="1">
      <c r="A353" t="inlineStr">
        <is>
          <t>A 47512-2025</t>
        </is>
      </c>
      <c r="B353" s="1" t="n">
        <v>45930</v>
      </c>
      <c r="C353" s="1" t="n">
        <v>46088</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47888-2025</t>
        </is>
      </c>
      <c r="B354" s="1" t="n">
        <v>45932.46949074074</v>
      </c>
      <c r="C354" s="1" t="n">
        <v>46088</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26234-2023</t>
        </is>
      </c>
      <c r="B355" s="1" t="n">
        <v>45086</v>
      </c>
      <c r="C355" s="1" t="n">
        <v>46088</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1002-2025</t>
        </is>
      </c>
      <c r="B356" s="1" t="n">
        <v>45665</v>
      </c>
      <c r="C356" s="1" t="n">
        <v>46088</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303-2026</t>
        </is>
      </c>
      <c r="B357" s="1" t="n">
        <v>46027.53427083333</v>
      </c>
      <c r="C357" s="1" t="n">
        <v>46088</v>
      </c>
      <c r="D357" t="inlineStr">
        <is>
          <t>NORRBOTTENS LÄN</t>
        </is>
      </c>
      <c r="E357" t="inlineStr">
        <is>
          <t>LULEÅ</t>
        </is>
      </c>
      <c r="G357" t="n">
        <v>2.8</v>
      </c>
      <c r="H357" t="n">
        <v>0</v>
      </c>
      <c r="I357" t="n">
        <v>0</v>
      </c>
      <c r="J357" t="n">
        <v>0</v>
      </c>
      <c r="K357" t="n">
        <v>0</v>
      </c>
      <c r="L357" t="n">
        <v>0</v>
      </c>
      <c r="M357" t="n">
        <v>0</v>
      </c>
      <c r="N357" t="n">
        <v>0</v>
      </c>
      <c r="O357" t="n">
        <v>0</v>
      </c>
      <c r="P357" t="n">
        <v>0</v>
      </c>
      <c r="Q357" t="n">
        <v>0</v>
      </c>
      <c r="R357" s="2" t="inlineStr"/>
    </row>
    <row r="358" ht="15" customHeight="1">
      <c r="A358" t="inlineStr">
        <is>
          <t>A 305-2026</t>
        </is>
      </c>
      <c r="B358" s="1" t="n">
        <v>46027</v>
      </c>
      <c r="C358" s="1" t="n">
        <v>46088</v>
      </c>
      <c r="D358" t="inlineStr">
        <is>
          <t>NORRBOTTENS LÄN</t>
        </is>
      </c>
      <c r="E358" t="inlineStr">
        <is>
          <t>LULEÅ</t>
        </is>
      </c>
      <c r="G358" t="n">
        <v>3.6</v>
      </c>
      <c r="H358" t="n">
        <v>0</v>
      </c>
      <c r="I358" t="n">
        <v>0</v>
      </c>
      <c r="J358" t="n">
        <v>0</v>
      </c>
      <c r="K358" t="n">
        <v>0</v>
      </c>
      <c r="L358" t="n">
        <v>0</v>
      </c>
      <c r="M358" t="n">
        <v>0</v>
      </c>
      <c r="N358" t="n">
        <v>0</v>
      </c>
      <c r="O358" t="n">
        <v>0</v>
      </c>
      <c r="P358" t="n">
        <v>0</v>
      </c>
      <c r="Q358" t="n">
        <v>0</v>
      </c>
      <c r="R358" s="2" t="inlineStr"/>
    </row>
    <row r="359" ht="15" customHeight="1">
      <c r="A359" t="inlineStr">
        <is>
          <t>A 6386-2023</t>
        </is>
      </c>
      <c r="B359" s="1" t="n">
        <v>44960</v>
      </c>
      <c r="C359" s="1" t="n">
        <v>46088</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46088</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46088</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46088</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34655-2025</t>
        </is>
      </c>
      <c r="B363" s="1" t="n">
        <v>45847</v>
      </c>
      <c r="C363" s="1" t="n">
        <v>46088</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14990-2024</t>
        </is>
      </c>
      <c r="B364" s="1" t="n">
        <v>45399.36019675926</v>
      </c>
      <c r="C364" s="1" t="n">
        <v>46088</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48726-2025</t>
        </is>
      </c>
      <c r="B365" s="1" t="n">
        <v>45936.65599537037</v>
      </c>
      <c r="C365" s="1" t="n">
        <v>46088</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3185-2025</t>
        </is>
      </c>
      <c r="B366" s="1" t="n">
        <v>45679.40358796297</v>
      </c>
      <c r="C366" s="1" t="n">
        <v>46088</v>
      </c>
      <c r="D366" t="inlineStr">
        <is>
          <t>NORRBOTTENS LÄN</t>
        </is>
      </c>
      <c r="E366" t="inlineStr">
        <is>
          <t>LULEÅ</t>
        </is>
      </c>
      <c r="G366" t="n">
        <v>3.2</v>
      </c>
      <c r="H366" t="n">
        <v>0</v>
      </c>
      <c r="I366" t="n">
        <v>0</v>
      </c>
      <c r="J366" t="n">
        <v>0</v>
      </c>
      <c r="K366" t="n">
        <v>0</v>
      </c>
      <c r="L366" t="n">
        <v>0</v>
      </c>
      <c r="M366" t="n">
        <v>0</v>
      </c>
      <c r="N366" t="n">
        <v>0</v>
      </c>
      <c r="O366" t="n">
        <v>0</v>
      </c>
      <c r="P366" t="n">
        <v>0</v>
      </c>
      <c r="Q366" t="n">
        <v>0</v>
      </c>
      <c r="R366" s="2" t="inlineStr"/>
    </row>
    <row r="367" ht="15" customHeight="1">
      <c r="A367" t="inlineStr">
        <is>
          <t>A 48714-2025</t>
        </is>
      </c>
      <c r="B367" s="1" t="n">
        <v>45936.63619212963</v>
      </c>
      <c r="C367" s="1" t="n">
        <v>46088</v>
      </c>
      <c r="D367" t="inlineStr">
        <is>
          <t>NORRBOTTENS LÄN</t>
        </is>
      </c>
      <c r="E367" t="inlineStr">
        <is>
          <t>LULEÅ</t>
        </is>
      </c>
      <c r="G367" t="n">
        <v>3.3</v>
      </c>
      <c r="H367" t="n">
        <v>0</v>
      </c>
      <c r="I367" t="n">
        <v>0</v>
      </c>
      <c r="J367" t="n">
        <v>0</v>
      </c>
      <c r="K367" t="n">
        <v>0</v>
      </c>
      <c r="L367" t="n">
        <v>0</v>
      </c>
      <c r="M367" t="n">
        <v>0</v>
      </c>
      <c r="N367" t="n">
        <v>0</v>
      </c>
      <c r="O367" t="n">
        <v>0</v>
      </c>
      <c r="P367" t="n">
        <v>0</v>
      </c>
      <c r="Q367" t="n">
        <v>0</v>
      </c>
      <c r="R367" s="2" t="inlineStr"/>
    </row>
    <row r="368" ht="15" customHeight="1">
      <c r="A368" t="inlineStr">
        <is>
          <t>A 4286-2025</t>
        </is>
      </c>
      <c r="B368" s="1" t="n">
        <v>45685</v>
      </c>
      <c r="C368" s="1" t="n">
        <v>46088</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53603-2024</t>
        </is>
      </c>
      <c r="B369" s="1" t="n">
        <v>45614.69736111111</v>
      </c>
      <c r="C369" s="1" t="n">
        <v>46088</v>
      </c>
      <c r="D369" t="inlineStr">
        <is>
          <t>NORRBOTTENS LÄN</t>
        </is>
      </c>
      <c r="E369" t="inlineStr">
        <is>
          <t>LULEÅ</t>
        </is>
      </c>
      <c r="G369" t="n">
        <v>3.2</v>
      </c>
      <c r="H369" t="n">
        <v>0</v>
      </c>
      <c r="I369" t="n">
        <v>0</v>
      </c>
      <c r="J369" t="n">
        <v>0</v>
      </c>
      <c r="K369" t="n">
        <v>0</v>
      </c>
      <c r="L369" t="n">
        <v>0</v>
      </c>
      <c r="M369" t="n">
        <v>0</v>
      </c>
      <c r="N369" t="n">
        <v>0</v>
      </c>
      <c r="O369" t="n">
        <v>0</v>
      </c>
      <c r="P369" t="n">
        <v>0</v>
      </c>
      <c r="Q369" t="n">
        <v>0</v>
      </c>
      <c r="R369" s="2" t="inlineStr"/>
    </row>
    <row r="370" ht="15" customHeight="1">
      <c r="A370" t="inlineStr">
        <is>
          <t>A 30120-2025</t>
        </is>
      </c>
      <c r="B370" s="1" t="n">
        <v>45826</v>
      </c>
      <c r="C370" s="1" t="n">
        <v>46088</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c r="U370">
        <f>HYPERLINK("https://klasma.github.io/Logging_2580/knärot/A 30120-2025 karta knärot.png", "A 30120-2025")</f>
        <v/>
      </c>
      <c r="V370">
        <f>HYPERLINK("https://klasma.github.io/Logging_2580/klagomål/A 30120-2025 FSC-klagomål.docx", "A 30120-2025")</f>
        <v/>
      </c>
      <c r="W370">
        <f>HYPERLINK("https://klasma.github.io/Logging_2580/klagomålsmail/A 30120-2025 FSC-klagomål mail.docx", "A 30120-2025")</f>
        <v/>
      </c>
      <c r="X370">
        <f>HYPERLINK("https://klasma.github.io/Logging_2580/tillsyn/A 30120-2025 tillsynsbegäran.docx", "A 30120-2025")</f>
        <v/>
      </c>
      <c r="Y370">
        <f>HYPERLINK("https://klasma.github.io/Logging_2580/tillsynsmail/A 30120-2025 tillsynsbegäran mail.docx", "A 30120-2025")</f>
        <v/>
      </c>
    </row>
    <row r="371" ht="15" customHeight="1">
      <c r="A371" t="inlineStr">
        <is>
          <t>A 34565-2025</t>
        </is>
      </c>
      <c r="B371" s="1" t="n">
        <v>45847</v>
      </c>
      <c r="C371" s="1" t="n">
        <v>46088</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48547-2025</t>
        </is>
      </c>
      <c r="B372" s="1" t="n">
        <v>45936.42197916667</v>
      </c>
      <c r="C372" s="1" t="n">
        <v>46088</v>
      </c>
      <c r="D372" t="inlineStr">
        <is>
          <t>NORRBOTTENS LÄN</t>
        </is>
      </c>
      <c r="E372" t="inlineStr">
        <is>
          <t>LULEÅ</t>
        </is>
      </c>
      <c r="G372" t="n">
        <v>2.5</v>
      </c>
      <c r="H372" t="n">
        <v>0</v>
      </c>
      <c r="I372" t="n">
        <v>0</v>
      </c>
      <c r="J372" t="n">
        <v>0</v>
      </c>
      <c r="K372" t="n">
        <v>0</v>
      </c>
      <c r="L372" t="n">
        <v>0</v>
      </c>
      <c r="M372" t="n">
        <v>0</v>
      </c>
      <c r="N372" t="n">
        <v>0</v>
      </c>
      <c r="O372" t="n">
        <v>0</v>
      </c>
      <c r="P372" t="n">
        <v>0</v>
      </c>
      <c r="Q372" t="n">
        <v>0</v>
      </c>
      <c r="R372" s="2" t="inlineStr"/>
    </row>
    <row r="373" ht="15" customHeight="1">
      <c r="A373" t="inlineStr">
        <is>
          <t>A 48692-2025</t>
        </is>
      </c>
      <c r="B373" s="1" t="n">
        <v>45936.61344907407</v>
      </c>
      <c r="C373" s="1" t="n">
        <v>46088</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8862-2024</t>
        </is>
      </c>
      <c r="B374" s="1" t="n">
        <v>45356.96326388889</v>
      </c>
      <c r="C374" s="1" t="n">
        <v>46088</v>
      </c>
      <c r="D374" t="inlineStr">
        <is>
          <t>NORRBOTTENS LÄN</t>
        </is>
      </c>
      <c r="E374" t="inlineStr">
        <is>
          <t>LULEÅ</t>
        </is>
      </c>
      <c r="G374" t="n">
        <v>10.6</v>
      </c>
      <c r="H374" t="n">
        <v>0</v>
      </c>
      <c r="I374" t="n">
        <v>0</v>
      </c>
      <c r="J374" t="n">
        <v>0</v>
      </c>
      <c r="K374" t="n">
        <v>0</v>
      </c>
      <c r="L374" t="n">
        <v>0</v>
      </c>
      <c r="M374" t="n">
        <v>0</v>
      </c>
      <c r="N374" t="n">
        <v>0</v>
      </c>
      <c r="O374" t="n">
        <v>0</v>
      </c>
      <c r="P374" t="n">
        <v>0</v>
      </c>
      <c r="Q374" t="n">
        <v>0</v>
      </c>
      <c r="R374" s="2" t="inlineStr"/>
    </row>
    <row r="375" ht="15" customHeight="1">
      <c r="A375" t="inlineStr">
        <is>
          <t>A 55076-2024</t>
        </is>
      </c>
      <c r="B375" s="1" t="n">
        <v>45621.42574074074</v>
      </c>
      <c r="C375" s="1" t="n">
        <v>46088</v>
      </c>
      <c r="D375" t="inlineStr">
        <is>
          <t>NORRBOTTENS LÄN</t>
        </is>
      </c>
      <c r="E375" t="inlineStr">
        <is>
          <t>LULEÅ</t>
        </is>
      </c>
      <c r="G375" t="n">
        <v>6.2</v>
      </c>
      <c r="H375" t="n">
        <v>0</v>
      </c>
      <c r="I375" t="n">
        <v>0</v>
      </c>
      <c r="J375" t="n">
        <v>0</v>
      </c>
      <c r="K375" t="n">
        <v>0</v>
      </c>
      <c r="L375" t="n">
        <v>0</v>
      </c>
      <c r="M375" t="n">
        <v>0</v>
      </c>
      <c r="N375" t="n">
        <v>0</v>
      </c>
      <c r="O375" t="n">
        <v>0</v>
      </c>
      <c r="P375" t="n">
        <v>0</v>
      </c>
      <c r="Q375" t="n">
        <v>0</v>
      </c>
      <c r="R375" s="2" t="inlineStr"/>
    </row>
    <row r="376" ht="15" customHeight="1">
      <c r="A376" t="inlineStr">
        <is>
          <t>A 695-2025</t>
        </is>
      </c>
      <c r="B376" s="1" t="n">
        <v>45663</v>
      </c>
      <c r="C376" s="1" t="n">
        <v>46088</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46088</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26587-2024</t>
        </is>
      </c>
      <c r="B378" s="1" t="n">
        <v>45469.67459490741</v>
      </c>
      <c r="C378" s="1" t="n">
        <v>46088</v>
      </c>
      <c r="D378" t="inlineStr">
        <is>
          <t>NORRBOTTENS LÄN</t>
        </is>
      </c>
      <c r="E378" t="inlineStr">
        <is>
          <t>LULEÅ</t>
        </is>
      </c>
      <c r="G378" t="n">
        <v>3.9</v>
      </c>
      <c r="H378" t="n">
        <v>0</v>
      </c>
      <c r="I378" t="n">
        <v>0</v>
      </c>
      <c r="J378" t="n">
        <v>0</v>
      </c>
      <c r="K378" t="n">
        <v>0</v>
      </c>
      <c r="L378" t="n">
        <v>0</v>
      </c>
      <c r="M378" t="n">
        <v>0</v>
      </c>
      <c r="N378" t="n">
        <v>0</v>
      </c>
      <c r="O378" t="n">
        <v>0</v>
      </c>
      <c r="P378" t="n">
        <v>0</v>
      </c>
      <c r="Q378" t="n">
        <v>0</v>
      </c>
      <c r="R378" s="2" t="inlineStr"/>
    </row>
    <row r="379" ht="15" customHeight="1">
      <c r="A379" t="inlineStr">
        <is>
          <t>A 4347-2025</t>
        </is>
      </c>
      <c r="B379" s="1" t="n">
        <v>45685.92931712963</v>
      </c>
      <c r="C379" s="1" t="n">
        <v>46088</v>
      </c>
      <c r="D379" t="inlineStr">
        <is>
          <t>NORRBOTTENS LÄN</t>
        </is>
      </c>
      <c r="E379" t="inlineStr">
        <is>
          <t>LULEÅ</t>
        </is>
      </c>
      <c r="G379" t="n">
        <v>1.4</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46088</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52240-2023</t>
        </is>
      </c>
      <c r="B381" s="1" t="n">
        <v>45224</v>
      </c>
      <c r="C381" s="1" t="n">
        <v>46088</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6552-2024</t>
        </is>
      </c>
      <c r="B382" s="1" t="n">
        <v>45341</v>
      </c>
      <c r="C382" s="1" t="n">
        <v>46088</v>
      </c>
      <c r="D382" t="inlineStr">
        <is>
          <t>NORRBOTTENS LÄN</t>
        </is>
      </c>
      <c r="E382" t="inlineStr">
        <is>
          <t>LULEÅ</t>
        </is>
      </c>
      <c r="G382" t="n">
        <v>1</v>
      </c>
      <c r="H382" t="n">
        <v>0</v>
      </c>
      <c r="I382" t="n">
        <v>0</v>
      </c>
      <c r="J382" t="n">
        <v>0</v>
      </c>
      <c r="K382" t="n">
        <v>0</v>
      </c>
      <c r="L382" t="n">
        <v>0</v>
      </c>
      <c r="M382" t="n">
        <v>0</v>
      </c>
      <c r="N382" t="n">
        <v>0</v>
      </c>
      <c r="O382" t="n">
        <v>0</v>
      </c>
      <c r="P382" t="n">
        <v>0</v>
      </c>
      <c r="Q382" t="n">
        <v>0</v>
      </c>
      <c r="R382" s="2" t="inlineStr"/>
    </row>
    <row r="383" ht="15" customHeight="1">
      <c r="A383" t="inlineStr">
        <is>
          <t>A 49194-2025</t>
        </is>
      </c>
      <c r="B383" s="1" t="n">
        <v>45938.40929398148</v>
      </c>
      <c r="C383" s="1" t="n">
        <v>46088</v>
      </c>
      <c r="D383" t="inlineStr">
        <is>
          <t>NORRBOTTENS LÄN</t>
        </is>
      </c>
      <c r="E383" t="inlineStr">
        <is>
          <t>LULEÅ</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49490-2025</t>
        </is>
      </c>
      <c r="B384" s="1" t="n">
        <v>45939.36579861111</v>
      </c>
      <c r="C384" s="1" t="n">
        <v>46088</v>
      </c>
      <c r="D384" t="inlineStr">
        <is>
          <t>NORRBOTTENS LÄN</t>
        </is>
      </c>
      <c r="E384" t="inlineStr">
        <is>
          <t>LULEÅ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18053-2024</t>
        </is>
      </c>
      <c r="B385" s="1" t="n">
        <v>45420</v>
      </c>
      <c r="C385" s="1" t="n">
        <v>46088</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35682-2025</t>
        </is>
      </c>
      <c r="B386" s="1" t="n">
        <v>45859</v>
      </c>
      <c r="C386" s="1" t="n">
        <v>46088</v>
      </c>
      <c r="D386" t="inlineStr">
        <is>
          <t>NORRBOTTENS LÄN</t>
        </is>
      </c>
      <c r="E386" t="inlineStr">
        <is>
          <t>LULEÅ</t>
        </is>
      </c>
      <c r="G386" t="n">
        <v>5.2</v>
      </c>
      <c r="H386" t="n">
        <v>0</v>
      </c>
      <c r="I386" t="n">
        <v>0</v>
      </c>
      <c r="J386" t="n">
        <v>0</v>
      </c>
      <c r="K386" t="n">
        <v>0</v>
      </c>
      <c r="L386" t="n">
        <v>0</v>
      </c>
      <c r="M386" t="n">
        <v>0</v>
      </c>
      <c r="N386" t="n">
        <v>0</v>
      </c>
      <c r="O386" t="n">
        <v>0</v>
      </c>
      <c r="P386" t="n">
        <v>0</v>
      </c>
      <c r="Q386" t="n">
        <v>0</v>
      </c>
      <c r="R386" s="2" t="inlineStr"/>
    </row>
    <row r="387" ht="15" customHeight="1">
      <c r="A387" t="inlineStr">
        <is>
          <t>A 50099-2025</t>
        </is>
      </c>
      <c r="B387" s="1" t="n">
        <v>45943</v>
      </c>
      <c r="C387" s="1" t="n">
        <v>46088</v>
      </c>
      <c r="D387" t="inlineStr">
        <is>
          <t>NORRBOTTENS LÄN</t>
        </is>
      </c>
      <c r="E387" t="inlineStr">
        <is>
          <t>LULEÅ</t>
        </is>
      </c>
      <c r="G387" t="n">
        <v>11.6</v>
      </c>
      <c r="H387" t="n">
        <v>0</v>
      </c>
      <c r="I387" t="n">
        <v>0</v>
      </c>
      <c r="J387" t="n">
        <v>0</v>
      </c>
      <c r="K387" t="n">
        <v>0</v>
      </c>
      <c r="L387" t="n">
        <v>0</v>
      </c>
      <c r="M387" t="n">
        <v>0</v>
      </c>
      <c r="N387" t="n">
        <v>0</v>
      </c>
      <c r="O387" t="n">
        <v>0</v>
      </c>
      <c r="P387" t="n">
        <v>0</v>
      </c>
      <c r="Q387" t="n">
        <v>0</v>
      </c>
      <c r="R387" s="2" t="inlineStr"/>
    </row>
    <row r="388" ht="15" customHeight="1">
      <c r="A388" t="inlineStr">
        <is>
          <t>A 49641-2024</t>
        </is>
      </c>
      <c r="B388" s="1" t="n">
        <v>45596</v>
      </c>
      <c r="C388" s="1" t="n">
        <v>46088</v>
      </c>
      <c r="D388" t="inlineStr">
        <is>
          <t>NORRBOTTENS LÄN</t>
        </is>
      </c>
      <c r="E388" t="inlineStr">
        <is>
          <t>LULEÅ</t>
        </is>
      </c>
      <c r="G388" t="n">
        <v>1.2</v>
      </c>
      <c r="H388" t="n">
        <v>0</v>
      </c>
      <c r="I388" t="n">
        <v>0</v>
      </c>
      <c r="J388" t="n">
        <v>0</v>
      </c>
      <c r="K388" t="n">
        <v>0</v>
      </c>
      <c r="L388" t="n">
        <v>0</v>
      </c>
      <c r="M388" t="n">
        <v>0</v>
      </c>
      <c r="N388" t="n">
        <v>0</v>
      </c>
      <c r="O388" t="n">
        <v>0</v>
      </c>
      <c r="P388" t="n">
        <v>0</v>
      </c>
      <c r="Q388" t="n">
        <v>0</v>
      </c>
      <c r="R388" s="2" t="inlineStr"/>
    </row>
    <row r="389" ht="15" customHeight="1">
      <c r="A389" t="inlineStr">
        <is>
          <t>A 50221-2025</t>
        </is>
      </c>
      <c r="B389" s="1" t="n">
        <v>45943.68516203704</v>
      </c>
      <c r="C389" s="1" t="n">
        <v>46088</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50223-2025</t>
        </is>
      </c>
      <c r="B390" s="1" t="n">
        <v>45943.68868055556</v>
      </c>
      <c r="C390" s="1" t="n">
        <v>46088</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37304-2024</t>
        </is>
      </c>
      <c r="B391" s="1" t="n">
        <v>45540</v>
      </c>
      <c r="C391" s="1" t="n">
        <v>46088</v>
      </c>
      <c r="D391" t="inlineStr">
        <is>
          <t>NORRBOTTENS LÄN</t>
        </is>
      </c>
      <c r="E391" t="inlineStr">
        <is>
          <t>LULEÅ</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50527-2025</t>
        </is>
      </c>
      <c r="B392" s="1" t="n">
        <v>45945.47056712963</v>
      </c>
      <c r="C392" s="1" t="n">
        <v>46088</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50572-2025</t>
        </is>
      </c>
      <c r="B393" s="1" t="n">
        <v>45945.57474537037</v>
      </c>
      <c r="C393" s="1" t="n">
        <v>46088</v>
      </c>
      <c r="D393" t="inlineStr">
        <is>
          <t>NORRBOTTENS LÄN</t>
        </is>
      </c>
      <c r="E393" t="inlineStr">
        <is>
          <t>LULEÅ</t>
        </is>
      </c>
      <c r="G393" t="n">
        <v>4</v>
      </c>
      <c r="H393" t="n">
        <v>0</v>
      </c>
      <c r="I393" t="n">
        <v>0</v>
      </c>
      <c r="J393" t="n">
        <v>0</v>
      </c>
      <c r="K393" t="n">
        <v>0</v>
      </c>
      <c r="L393" t="n">
        <v>0</v>
      </c>
      <c r="M393" t="n">
        <v>0</v>
      </c>
      <c r="N393" t="n">
        <v>0</v>
      </c>
      <c r="O393" t="n">
        <v>0</v>
      </c>
      <c r="P393" t="n">
        <v>0</v>
      </c>
      <c r="Q393" t="n">
        <v>0</v>
      </c>
      <c r="R393" s="2" t="inlineStr"/>
    </row>
    <row r="394" ht="15" customHeight="1">
      <c r="A394" t="inlineStr">
        <is>
          <t>A 35686-2025</t>
        </is>
      </c>
      <c r="B394" s="1" t="n">
        <v>45859.92579861111</v>
      </c>
      <c r="C394" s="1" t="n">
        <v>46088</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50518-2025</t>
        </is>
      </c>
      <c r="B395" s="1" t="n">
        <v>45945.4567824074</v>
      </c>
      <c r="C395" s="1" t="n">
        <v>46088</v>
      </c>
      <c r="D395" t="inlineStr">
        <is>
          <t>NORRBOTTENS LÄN</t>
        </is>
      </c>
      <c r="E395" t="inlineStr">
        <is>
          <t>LULEÅ</t>
        </is>
      </c>
      <c r="G395" t="n">
        <v>4.1</v>
      </c>
      <c r="H395" t="n">
        <v>0</v>
      </c>
      <c r="I395" t="n">
        <v>0</v>
      </c>
      <c r="J395" t="n">
        <v>0</v>
      </c>
      <c r="K395" t="n">
        <v>0</v>
      </c>
      <c r="L395" t="n">
        <v>0</v>
      </c>
      <c r="M395" t="n">
        <v>0</v>
      </c>
      <c r="N395" t="n">
        <v>0</v>
      </c>
      <c r="O395" t="n">
        <v>0</v>
      </c>
      <c r="P395" t="n">
        <v>0</v>
      </c>
      <c r="Q395" t="n">
        <v>0</v>
      </c>
      <c r="R395" s="2" t="inlineStr"/>
    </row>
    <row r="396" ht="15" customHeight="1">
      <c r="A396" t="inlineStr">
        <is>
          <t>A 50524-2025</t>
        </is>
      </c>
      <c r="B396" s="1" t="n">
        <v>45945.46797453704</v>
      </c>
      <c r="C396" s="1" t="n">
        <v>46088</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56043-2021</t>
        </is>
      </c>
      <c r="B397" s="1" t="n">
        <v>44477</v>
      </c>
      <c r="C397" s="1" t="n">
        <v>46088</v>
      </c>
      <c r="D397" t="inlineStr">
        <is>
          <t>NORRBOTTENS LÄN</t>
        </is>
      </c>
      <c r="E397" t="inlineStr">
        <is>
          <t>LULEÅ</t>
        </is>
      </c>
      <c r="G397" t="n">
        <v>3.8</v>
      </c>
      <c r="H397" t="n">
        <v>0</v>
      </c>
      <c r="I397" t="n">
        <v>0</v>
      </c>
      <c r="J397" t="n">
        <v>0</v>
      </c>
      <c r="K397" t="n">
        <v>0</v>
      </c>
      <c r="L397" t="n">
        <v>0</v>
      </c>
      <c r="M397" t="n">
        <v>0</v>
      </c>
      <c r="N397" t="n">
        <v>0</v>
      </c>
      <c r="O397" t="n">
        <v>0</v>
      </c>
      <c r="P397" t="n">
        <v>0</v>
      </c>
      <c r="Q397" t="n">
        <v>0</v>
      </c>
      <c r="R397" s="2" t="inlineStr"/>
    </row>
    <row r="398" ht="15" customHeight="1">
      <c r="A398" t="inlineStr">
        <is>
          <t>A 56057-2021</t>
        </is>
      </c>
      <c r="B398" s="1" t="n">
        <v>44477</v>
      </c>
      <c r="C398" s="1" t="n">
        <v>46088</v>
      </c>
      <c r="D398" t="inlineStr">
        <is>
          <t>NORRBOTTENS LÄN</t>
        </is>
      </c>
      <c r="E398" t="inlineStr">
        <is>
          <t>LULEÅ</t>
        </is>
      </c>
      <c r="G398" t="n">
        <v>3.7</v>
      </c>
      <c r="H398" t="n">
        <v>0</v>
      </c>
      <c r="I398" t="n">
        <v>0</v>
      </c>
      <c r="J398" t="n">
        <v>0</v>
      </c>
      <c r="K398" t="n">
        <v>0</v>
      </c>
      <c r="L398" t="n">
        <v>0</v>
      </c>
      <c r="M398" t="n">
        <v>0</v>
      </c>
      <c r="N398" t="n">
        <v>0</v>
      </c>
      <c r="O398" t="n">
        <v>0</v>
      </c>
      <c r="P398" t="n">
        <v>0</v>
      </c>
      <c r="Q398" t="n">
        <v>0</v>
      </c>
      <c r="R398" s="2" t="inlineStr"/>
    </row>
    <row r="399" ht="15" customHeight="1">
      <c r="A399" t="inlineStr">
        <is>
          <t>A 27305-2022</t>
        </is>
      </c>
      <c r="B399" s="1" t="n">
        <v>44741</v>
      </c>
      <c r="C399" s="1" t="n">
        <v>46088</v>
      </c>
      <c r="D399" t="inlineStr">
        <is>
          <t>NORRBOTTENS LÄN</t>
        </is>
      </c>
      <c r="E399" t="inlineStr">
        <is>
          <t>LULEÅ</t>
        </is>
      </c>
      <c r="G399" t="n">
        <v>1.4</v>
      </c>
      <c r="H399" t="n">
        <v>0</v>
      </c>
      <c r="I399" t="n">
        <v>0</v>
      </c>
      <c r="J399" t="n">
        <v>0</v>
      </c>
      <c r="K399" t="n">
        <v>0</v>
      </c>
      <c r="L399" t="n">
        <v>0</v>
      </c>
      <c r="M399" t="n">
        <v>0</v>
      </c>
      <c r="N399" t="n">
        <v>0</v>
      </c>
      <c r="O399" t="n">
        <v>0</v>
      </c>
      <c r="P399" t="n">
        <v>0</v>
      </c>
      <c r="Q399" t="n">
        <v>0</v>
      </c>
      <c r="R399" s="2" t="inlineStr"/>
    </row>
    <row r="400" ht="15" customHeight="1">
      <c r="A400" t="inlineStr">
        <is>
          <t>A 50914-2025</t>
        </is>
      </c>
      <c r="B400" s="1" t="n">
        <v>45946.65719907408</v>
      </c>
      <c r="C400" s="1" t="n">
        <v>46088</v>
      </c>
      <c r="D400" t="inlineStr">
        <is>
          <t>NORRBOTTENS LÄN</t>
        </is>
      </c>
      <c r="E400" t="inlineStr">
        <is>
          <t>LULEÅ</t>
        </is>
      </c>
      <c r="G400" t="n">
        <v>6.9</v>
      </c>
      <c r="H400" t="n">
        <v>0</v>
      </c>
      <c r="I400" t="n">
        <v>0</v>
      </c>
      <c r="J400" t="n">
        <v>0</v>
      </c>
      <c r="K400" t="n">
        <v>0</v>
      </c>
      <c r="L400" t="n">
        <v>0</v>
      </c>
      <c r="M400" t="n">
        <v>0</v>
      </c>
      <c r="N400" t="n">
        <v>0</v>
      </c>
      <c r="O400" t="n">
        <v>0</v>
      </c>
      <c r="P400" t="n">
        <v>0</v>
      </c>
      <c r="Q400" t="n">
        <v>0</v>
      </c>
      <c r="R400" s="2" t="inlineStr"/>
    </row>
    <row r="401" ht="15" customHeight="1">
      <c r="A401" t="inlineStr">
        <is>
          <t>A 50889-2025</t>
        </is>
      </c>
      <c r="B401" s="1" t="n">
        <v>45946.63664351852</v>
      </c>
      <c r="C401" s="1" t="n">
        <v>46088</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50890-2025</t>
        </is>
      </c>
      <c r="B402" s="1" t="n">
        <v>45946.63673611111</v>
      </c>
      <c r="C402" s="1" t="n">
        <v>46088</v>
      </c>
      <c r="D402" t="inlineStr">
        <is>
          <t>NORRBOTTENS LÄN</t>
        </is>
      </c>
      <c r="E402" t="inlineStr">
        <is>
          <t>LULEÅ</t>
        </is>
      </c>
      <c r="G402" t="n">
        <v>5.4</v>
      </c>
      <c r="H402" t="n">
        <v>0</v>
      </c>
      <c r="I402" t="n">
        <v>0</v>
      </c>
      <c r="J402" t="n">
        <v>0</v>
      </c>
      <c r="K402" t="n">
        <v>0</v>
      </c>
      <c r="L402" t="n">
        <v>0</v>
      </c>
      <c r="M402" t="n">
        <v>0</v>
      </c>
      <c r="N402" t="n">
        <v>0</v>
      </c>
      <c r="O402" t="n">
        <v>0</v>
      </c>
      <c r="P402" t="n">
        <v>0</v>
      </c>
      <c r="Q402" t="n">
        <v>0</v>
      </c>
      <c r="R402" s="2" t="inlineStr"/>
    </row>
    <row r="403" ht="15" customHeight="1">
      <c r="A403" t="inlineStr">
        <is>
          <t>A 19872-2024</t>
        </is>
      </c>
      <c r="B403" s="1" t="n">
        <v>45433.45890046296</v>
      </c>
      <c r="C403" s="1" t="n">
        <v>46088</v>
      </c>
      <c r="D403" t="inlineStr">
        <is>
          <t>NORRBOTTENS LÄN</t>
        </is>
      </c>
      <c r="E403" t="inlineStr">
        <is>
          <t>LULEÅ</t>
        </is>
      </c>
      <c r="G403" t="n">
        <v>3.3</v>
      </c>
      <c r="H403" t="n">
        <v>0</v>
      </c>
      <c r="I403" t="n">
        <v>0</v>
      </c>
      <c r="J403" t="n">
        <v>0</v>
      </c>
      <c r="K403" t="n">
        <v>0</v>
      </c>
      <c r="L403" t="n">
        <v>0</v>
      </c>
      <c r="M403" t="n">
        <v>0</v>
      </c>
      <c r="N403" t="n">
        <v>0</v>
      </c>
      <c r="O403" t="n">
        <v>0</v>
      </c>
      <c r="P403" t="n">
        <v>0</v>
      </c>
      <c r="Q403" t="n">
        <v>0</v>
      </c>
      <c r="R403" s="2" t="inlineStr"/>
    </row>
    <row r="404" ht="15" customHeight="1">
      <c r="A404" t="inlineStr">
        <is>
          <t>A 51136-2025</t>
        </is>
      </c>
      <c r="B404" s="1" t="n">
        <v>45947.55820601852</v>
      </c>
      <c r="C404" s="1" t="n">
        <v>46088</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50866-2025</t>
        </is>
      </c>
      <c r="B405" s="1" t="n">
        <v>45946.59548611111</v>
      </c>
      <c r="C405" s="1" t="n">
        <v>46088</v>
      </c>
      <c r="D405" t="inlineStr">
        <is>
          <t>NORRBOTTENS LÄN</t>
        </is>
      </c>
      <c r="E405" t="inlineStr">
        <is>
          <t>LULEÅ</t>
        </is>
      </c>
      <c r="G405" t="n">
        <v>2.4</v>
      </c>
      <c r="H405" t="n">
        <v>0</v>
      </c>
      <c r="I405" t="n">
        <v>0</v>
      </c>
      <c r="J405" t="n">
        <v>0</v>
      </c>
      <c r="K405" t="n">
        <v>0</v>
      </c>
      <c r="L405" t="n">
        <v>0</v>
      </c>
      <c r="M405" t="n">
        <v>0</v>
      </c>
      <c r="N405" t="n">
        <v>0</v>
      </c>
      <c r="O405" t="n">
        <v>0</v>
      </c>
      <c r="P405" t="n">
        <v>0</v>
      </c>
      <c r="Q405" t="n">
        <v>0</v>
      </c>
      <c r="R405" s="2" t="inlineStr"/>
    </row>
    <row r="406" ht="15" customHeight="1">
      <c r="A406" t="inlineStr">
        <is>
          <t>A 50988-2025</t>
        </is>
      </c>
      <c r="B406" s="1" t="n">
        <v>45947.34571759259</v>
      </c>
      <c r="C406" s="1" t="n">
        <v>46088</v>
      </c>
      <c r="D406" t="inlineStr">
        <is>
          <t>NORRBOTTENS LÄN</t>
        </is>
      </c>
      <c r="E406" t="inlineStr">
        <is>
          <t>LULEÅ</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50912-2025</t>
        </is>
      </c>
      <c r="B407" s="1" t="n">
        <v>45946.65706018519</v>
      </c>
      <c r="C407" s="1" t="n">
        <v>46088</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50867-2025</t>
        </is>
      </c>
      <c r="B408" s="1" t="n">
        <v>45946.59561342592</v>
      </c>
      <c r="C408" s="1" t="n">
        <v>46088</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53960-2023</t>
        </is>
      </c>
      <c r="B409" s="1" t="n">
        <v>45225</v>
      </c>
      <c r="C409" s="1" t="n">
        <v>46088</v>
      </c>
      <c r="D409" t="inlineStr">
        <is>
          <t>NORRBOTTENS LÄN</t>
        </is>
      </c>
      <c r="E409" t="inlineStr">
        <is>
          <t>LULEÅ</t>
        </is>
      </c>
      <c r="G409" t="n">
        <v>0.8</v>
      </c>
      <c r="H409" t="n">
        <v>0</v>
      </c>
      <c r="I409" t="n">
        <v>0</v>
      </c>
      <c r="J409" t="n">
        <v>0</v>
      </c>
      <c r="K409" t="n">
        <v>0</v>
      </c>
      <c r="L409" t="n">
        <v>0</v>
      </c>
      <c r="M409" t="n">
        <v>0</v>
      </c>
      <c r="N409" t="n">
        <v>0</v>
      </c>
      <c r="O409" t="n">
        <v>0</v>
      </c>
      <c r="P409" t="n">
        <v>0</v>
      </c>
      <c r="Q409" t="n">
        <v>0</v>
      </c>
      <c r="R409" s="2" t="inlineStr"/>
    </row>
    <row r="410" ht="15" customHeight="1">
      <c r="A410" t="inlineStr">
        <is>
          <t>A 50845-2025</t>
        </is>
      </c>
      <c r="B410" s="1" t="n">
        <v>45946.5737037037</v>
      </c>
      <c r="C410" s="1" t="n">
        <v>46088</v>
      </c>
      <c r="D410" t="inlineStr">
        <is>
          <t>NORRBOTTENS LÄN</t>
        </is>
      </c>
      <c r="E410" t="inlineStr">
        <is>
          <t>LULEÅ</t>
        </is>
      </c>
      <c r="G410" t="n">
        <v>11.7</v>
      </c>
      <c r="H410" t="n">
        <v>0</v>
      </c>
      <c r="I410" t="n">
        <v>0</v>
      </c>
      <c r="J410" t="n">
        <v>0</v>
      </c>
      <c r="K410" t="n">
        <v>0</v>
      </c>
      <c r="L410" t="n">
        <v>0</v>
      </c>
      <c r="M410" t="n">
        <v>0</v>
      </c>
      <c r="N410" t="n">
        <v>0</v>
      </c>
      <c r="O410" t="n">
        <v>0</v>
      </c>
      <c r="P410" t="n">
        <v>0</v>
      </c>
      <c r="Q410" t="n">
        <v>0</v>
      </c>
      <c r="R410" s="2" t="inlineStr"/>
    </row>
    <row r="411" ht="15" customHeight="1">
      <c r="A411" t="inlineStr">
        <is>
          <t>A 50989-2025</t>
        </is>
      </c>
      <c r="B411" s="1" t="n">
        <v>45947.34578703704</v>
      </c>
      <c r="C411" s="1" t="n">
        <v>46088</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51391-2025</t>
        </is>
      </c>
      <c r="B412" s="1" t="n">
        <v>45950.46918981482</v>
      </c>
      <c r="C412" s="1" t="n">
        <v>46088</v>
      </c>
      <c r="D412" t="inlineStr">
        <is>
          <t>NORRBOTTENS LÄN</t>
        </is>
      </c>
      <c r="E412" t="inlineStr">
        <is>
          <t>LULEÅ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51465-2025</t>
        </is>
      </c>
      <c r="B413" s="1" t="n">
        <v>45950.61075231482</v>
      </c>
      <c r="C413" s="1" t="n">
        <v>46088</v>
      </c>
      <c r="D413" t="inlineStr">
        <is>
          <t>NORRBOTTENS LÄN</t>
        </is>
      </c>
      <c r="E413" t="inlineStr">
        <is>
          <t>LULEÅ</t>
        </is>
      </c>
      <c r="G413" t="n">
        <v>5.8</v>
      </c>
      <c r="H413" t="n">
        <v>0</v>
      </c>
      <c r="I413" t="n">
        <v>0</v>
      </c>
      <c r="J413" t="n">
        <v>0</v>
      </c>
      <c r="K413" t="n">
        <v>0</v>
      </c>
      <c r="L413" t="n">
        <v>0</v>
      </c>
      <c r="M413" t="n">
        <v>0</v>
      </c>
      <c r="N413" t="n">
        <v>0</v>
      </c>
      <c r="O413" t="n">
        <v>0</v>
      </c>
      <c r="P413" t="n">
        <v>0</v>
      </c>
      <c r="Q413" t="n">
        <v>0</v>
      </c>
      <c r="R413" s="2" t="inlineStr"/>
    </row>
    <row r="414" ht="15" customHeight="1">
      <c r="A414" t="inlineStr">
        <is>
          <t>A 31067-2023</t>
        </is>
      </c>
      <c r="B414" s="1" t="n">
        <v>45113</v>
      </c>
      <c r="C414" s="1" t="n">
        <v>46088</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26267-2022</t>
        </is>
      </c>
      <c r="B415" s="1" t="n">
        <v>44735.5158912037</v>
      </c>
      <c r="C415" s="1" t="n">
        <v>46088</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46869-2024</t>
        </is>
      </c>
      <c r="B416" s="1" t="n">
        <v>45583</v>
      </c>
      <c r="C416" s="1" t="n">
        <v>46088</v>
      </c>
      <c r="D416" t="inlineStr">
        <is>
          <t>NORRBOTTENS LÄN</t>
        </is>
      </c>
      <c r="E416" t="inlineStr">
        <is>
          <t>LULEÅ</t>
        </is>
      </c>
      <c r="G416" t="n">
        <v>4.4</v>
      </c>
      <c r="H416" t="n">
        <v>0</v>
      </c>
      <c r="I416" t="n">
        <v>0</v>
      </c>
      <c r="J416" t="n">
        <v>0</v>
      </c>
      <c r="K416" t="n">
        <v>0</v>
      </c>
      <c r="L416" t="n">
        <v>0</v>
      </c>
      <c r="M416" t="n">
        <v>0</v>
      </c>
      <c r="N416" t="n">
        <v>0</v>
      </c>
      <c r="O416" t="n">
        <v>0</v>
      </c>
      <c r="P416" t="n">
        <v>0</v>
      </c>
      <c r="Q416" t="n">
        <v>0</v>
      </c>
      <c r="R416" s="2" t="inlineStr"/>
    </row>
    <row r="417" ht="15" customHeight="1">
      <c r="A417" t="inlineStr">
        <is>
          <t>A 51256-2025</t>
        </is>
      </c>
      <c r="B417" s="1" t="n">
        <v>45949.40681712963</v>
      </c>
      <c r="C417" s="1" t="n">
        <v>46088</v>
      </c>
      <c r="D417" t="inlineStr">
        <is>
          <t>NORRBOTTENS LÄN</t>
        </is>
      </c>
      <c r="E417" t="inlineStr">
        <is>
          <t>LULEÅ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17899-2025</t>
        </is>
      </c>
      <c r="B418" s="1" t="n">
        <v>45758.69832175926</v>
      </c>
      <c r="C418" s="1" t="n">
        <v>46088</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822-2025</t>
        </is>
      </c>
      <c r="B419" s="1" t="n">
        <v>45664</v>
      </c>
      <c r="C419" s="1" t="n">
        <v>46088</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52319-2025</t>
        </is>
      </c>
      <c r="B420" s="1" t="n">
        <v>45953.65697916667</v>
      </c>
      <c r="C420" s="1" t="n">
        <v>46088</v>
      </c>
      <c r="D420" t="inlineStr">
        <is>
          <t>NORRBOTTENS LÄN</t>
        </is>
      </c>
      <c r="E420" t="inlineStr">
        <is>
          <t>LULEÅ</t>
        </is>
      </c>
      <c r="G420" t="n">
        <v>1.1</v>
      </c>
      <c r="H420" t="n">
        <v>0</v>
      </c>
      <c r="I420" t="n">
        <v>0</v>
      </c>
      <c r="J420" t="n">
        <v>0</v>
      </c>
      <c r="K420" t="n">
        <v>0</v>
      </c>
      <c r="L420" t="n">
        <v>0</v>
      </c>
      <c r="M420" t="n">
        <v>0</v>
      </c>
      <c r="N420" t="n">
        <v>0</v>
      </c>
      <c r="O420" t="n">
        <v>0</v>
      </c>
      <c r="P420" t="n">
        <v>0</v>
      </c>
      <c r="Q420" t="n">
        <v>0</v>
      </c>
      <c r="R420" s="2" t="inlineStr"/>
    </row>
    <row r="421" ht="15" customHeight="1">
      <c r="A421" t="inlineStr">
        <is>
          <t>A 1683-2025</t>
        </is>
      </c>
      <c r="B421" s="1" t="n">
        <v>45670.69847222222</v>
      </c>
      <c r="C421" s="1" t="n">
        <v>46088</v>
      </c>
      <c r="D421" t="inlineStr">
        <is>
          <t>NORRBOTTENS LÄN</t>
        </is>
      </c>
      <c r="E421" t="inlineStr">
        <is>
          <t>LULEÅ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8750-2025</t>
        </is>
      </c>
      <c r="B422" s="1" t="n">
        <v>45712.56173611111</v>
      </c>
      <c r="C422" s="1" t="n">
        <v>46088</v>
      </c>
      <c r="D422" t="inlineStr">
        <is>
          <t>NORRBOTTENS LÄN</t>
        </is>
      </c>
      <c r="E422" t="inlineStr">
        <is>
          <t>LULEÅ</t>
        </is>
      </c>
      <c r="G422" t="n">
        <v>10.8</v>
      </c>
      <c r="H422" t="n">
        <v>0</v>
      </c>
      <c r="I422" t="n">
        <v>0</v>
      </c>
      <c r="J422" t="n">
        <v>0</v>
      </c>
      <c r="K422" t="n">
        <v>0</v>
      </c>
      <c r="L422" t="n">
        <v>0</v>
      </c>
      <c r="M422" t="n">
        <v>0</v>
      </c>
      <c r="N422" t="n">
        <v>0</v>
      </c>
      <c r="O422" t="n">
        <v>0</v>
      </c>
      <c r="P422" t="n">
        <v>0</v>
      </c>
      <c r="Q422" t="n">
        <v>0</v>
      </c>
      <c r="R422" s="2" t="inlineStr"/>
    </row>
    <row r="423" ht="15" customHeight="1">
      <c r="A423" t="inlineStr">
        <is>
          <t>A 60387-2024</t>
        </is>
      </c>
      <c r="B423" s="1" t="n">
        <v>45643.48357638889</v>
      </c>
      <c r="C423" s="1" t="n">
        <v>46088</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51981-2025</t>
        </is>
      </c>
      <c r="B424" s="1" t="n">
        <v>45952</v>
      </c>
      <c r="C424" s="1" t="n">
        <v>46088</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45182-2024</t>
        </is>
      </c>
      <c r="B425" s="1" t="n">
        <v>45575.66403935185</v>
      </c>
      <c r="C425" s="1" t="n">
        <v>46088</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14128-2023</t>
        </is>
      </c>
      <c r="B426" s="1" t="n">
        <v>45009</v>
      </c>
      <c r="C426" s="1" t="n">
        <v>46088</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52318-2025</t>
        </is>
      </c>
      <c r="B427" s="1" t="n">
        <v>45953.65693287037</v>
      </c>
      <c r="C427" s="1" t="n">
        <v>46088</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51902-2025</t>
        </is>
      </c>
      <c r="B428" s="1" t="n">
        <v>45952.44763888889</v>
      </c>
      <c r="C428" s="1" t="n">
        <v>46088</v>
      </c>
      <c r="D428" t="inlineStr">
        <is>
          <t>NORRBOTTENS LÄN</t>
        </is>
      </c>
      <c r="E428" t="inlineStr">
        <is>
          <t>LULEÅ</t>
        </is>
      </c>
      <c r="G428" t="n">
        <v>2.9</v>
      </c>
      <c r="H428" t="n">
        <v>0</v>
      </c>
      <c r="I428" t="n">
        <v>0</v>
      </c>
      <c r="J428" t="n">
        <v>0</v>
      </c>
      <c r="K428" t="n">
        <v>0</v>
      </c>
      <c r="L428" t="n">
        <v>0</v>
      </c>
      <c r="M428" t="n">
        <v>0</v>
      </c>
      <c r="N428" t="n">
        <v>0</v>
      </c>
      <c r="O428" t="n">
        <v>0</v>
      </c>
      <c r="P428" t="n">
        <v>0</v>
      </c>
      <c r="Q428" t="n">
        <v>0</v>
      </c>
      <c r="R428" s="2" t="inlineStr"/>
    </row>
    <row r="429" ht="15" customHeight="1">
      <c r="A429" t="inlineStr">
        <is>
          <t>A 52688-2025</t>
        </is>
      </c>
      <c r="B429" s="1" t="n">
        <v>45956.38578703703</v>
      </c>
      <c r="C429" s="1" t="n">
        <v>46088</v>
      </c>
      <c r="D429" t="inlineStr">
        <is>
          <t>NORRBOTTENS LÄN</t>
        </is>
      </c>
      <c r="E429" t="inlineStr">
        <is>
          <t>LULEÅ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46088</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454-2024</t>
        </is>
      </c>
      <c r="B431" s="1" t="n">
        <v>45296</v>
      </c>
      <c r="C431" s="1" t="n">
        <v>46088</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52677-2025</t>
        </is>
      </c>
      <c r="B432" s="1" t="n">
        <v>45956.34443287037</v>
      </c>
      <c r="C432" s="1" t="n">
        <v>46088</v>
      </c>
      <c r="D432" t="inlineStr">
        <is>
          <t>NORRBOTTENS LÄN</t>
        </is>
      </c>
      <c r="E432" t="inlineStr">
        <is>
          <t>LULEÅ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46088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52953-2025</t>
        </is>
      </c>
      <c r="B434" s="1" t="n">
        <v>45957.65459490741</v>
      </c>
      <c r="C434" s="1" t="n">
        <v>46088</v>
      </c>
      <c r="D434" t="inlineStr">
        <is>
          <t>NORRBOTTENS LÄN</t>
        </is>
      </c>
      <c r="E434" t="inlineStr">
        <is>
          <t>LULEÅ</t>
        </is>
      </c>
      <c r="G434" t="n">
        <v>11.8</v>
      </c>
      <c r="H434" t="n">
        <v>0</v>
      </c>
      <c r="I434" t="n">
        <v>0</v>
      </c>
      <c r="J434" t="n">
        <v>0</v>
      </c>
      <c r="K434" t="n">
        <v>0</v>
      </c>
      <c r="L434" t="n">
        <v>0</v>
      </c>
      <c r="M434" t="n">
        <v>0</v>
      </c>
      <c r="N434" t="n">
        <v>0</v>
      </c>
      <c r="O434" t="n">
        <v>0</v>
      </c>
      <c r="P434" t="n">
        <v>0</v>
      </c>
      <c r="Q434" t="n">
        <v>0</v>
      </c>
      <c r="R434" s="2" t="inlineStr"/>
    </row>
    <row r="435" ht="15" customHeight="1">
      <c r="A435" t="inlineStr">
        <is>
          <t>A 53002-2025</t>
        </is>
      </c>
      <c r="B435" s="1" t="n">
        <v>45957</v>
      </c>
      <c r="C435" s="1" t="n">
        <v>46088</v>
      </c>
      <c r="D435" t="inlineStr">
        <is>
          <t>NORRBOTTENS LÄN</t>
        </is>
      </c>
      <c r="E435" t="inlineStr">
        <is>
          <t>LULEÅ</t>
        </is>
      </c>
      <c r="G435" t="n">
        <v>19.7</v>
      </c>
      <c r="H435" t="n">
        <v>0</v>
      </c>
      <c r="I435" t="n">
        <v>0</v>
      </c>
      <c r="J435" t="n">
        <v>0</v>
      </c>
      <c r="K435" t="n">
        <v>0</v>
      </c>
      <c r="L435" t="n">
        <v>0</v>
      </c>
      <c r="M435" t="n">
        <v>0</v>
      </c>
      <c r="N435" t="n">
        <v>0</v>
      </c>
      <c r="O435" t="n">
        <v>0</v>
      </c>
      <c r="P435" t="n">
        <v>0</v>
      </c>
      <c r="Q435" t="n">
        <v>0</v>
      </c>
      <c r="R435" s="2" t="inlineStr"/>
    </row>
    <row r="436" ht="15" customHeight="1">
      <c r="A436" t="inlineStr">
        <is>
          <t>A 37783-2025</t>
        </is>
      </c>
      <c r="B436" s="1" t="n">
        <v>45880.94430555555</v>
      </c>
      <c r="C436" s="1" t="n">
        <v>46088</v>
      </c>
      <c r="D436" t="inlineStr">
        <is>
          <t>NORRBOTTENS LÄN</t>
        </is>
      </c>
      <c r="E436" t="inlineStr">
        <is>
          <t>LULEÅ</t>
        </is>
      </c>
      <c r="G436" t="n">
        <v>7.2</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46088</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52684-2025</t>
        </is>
      </c>
      <c r="B438" s="1" t="n">
        <v>45956.34519675926</v>
      </c>
      <c r="C438" s="1" t="n">
        <v>46088</v>
      </c>
      <c r="D438" t="inlineStr">
        <is>
          <t>NORRBOTTENS LÄN</t>
        </is>
      </c>
      <c r="E438" t="inlineStr">
        <is>
          <t>LULEÅ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52687-2025</t>
        </is>
      </c>
      <c r="B439" s="1" t="n">
        <v>45956.36496527777</v>
      </c>
      <c r="C439" s="1" t="n">
        <v>46088</v>
      </c>
      <c r="D439" t="inlineStr">
        <is>
          <t>NORRBOTTENS LÄN</t>
        </is>
      </c>
      <c r="E439" t="inlineStr">
        <is>
          <t>LULEÅ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53003-2025</t>
        </is>
      </c>
      <c r="B440" s="1" t="n">
        <v>45957</v>
      </c>
      <c r="C440" s="1" t="n">
        <v>46088</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38434-2025</t>
        </is>
      </c>
      <c r="B441" s="1" t="n">
        <v>45883.64178240741</v>
      </c>
      <c r="C441" s="1" t="n">
        <v>46088</v>
      </c>
      <c r="D441" t="inlineStr">
        <is>
          <t>NORRBOTTENS LÄN</t>
        </is>
      </c>
      <c r="E441" t="inlineStr">
        <is>
          <t>LULEÅ</t>
        </is>
      </c>
      <c r="G441" t="n">
        <v>11.4</v>
      </c>
      <c r="H441" t="n">
        <v>0</v>
      </c>
      <c r="I441" t="n">
        <v>0</v>
      </c>
      <c r="J441" t="n">
        <v>0</v>
      </c>
      <c r="K441" t="n">
        <v>0</v>
      </c>
      <c r="L441" t="n">
        <v>0</v>
      </c>
      <c r="M441" t="n">
        <v>0</v>
      </c>
      <c r="N441" t="n">
        <v>0</v>
      </c>
      <c r="O441" t="n">
        <v>0</v>
      </c>
      <c r="P441" t="n">
        <v>0</v>
      </c>
      <c r="Q441" t="n">
        <v>0</v>
      </c>
      <c r="R441" s="2" t="inlineStr"/>
    </row>
    <row r="442" ht="15" customHeight="1">
      <c r="A442" t="inlineStr">
        <is>
          <t>A 52678-2025</t>
        </is>
      </c>
      <c r="B442" s="1" t="n">
        <v>45956.34459490741</v>
      </c>
      <c r="C442" s="1" t="n">
        <v>46088</v>
      </c>
      <c r="D442" t="inlineStr">
        <is>
          <t>NORRBOTTENS LÄN</t>
        </is>
      </c>
      <c r="E442" t="inlineStr">
        <is>
          <t>LULEÅ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60130-2024</t>
        </is>
      </c>
      <c r="B443" s="1" t="n">
        <v>45642.59327546296</v>
      </c>
      <c r="C443" s="1" t="n">
        <v>46088</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53264-2025</t>
        </is>
      </c>
      <c r="B444" s="1" t="n">
        <v>45958.67831018518</v>
      </c>
      <c r="C444" s="1" t="n">
        <v>46088</v>
      </c>
      <c r="D444" t="inlineStr">
        <is>
          <t>NORRBOTTENS LÄN</t>
        </is>
      </c>
      <c r="E444" t="inlineStr">
        <is>
          <t>LULEÅ</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17439-2023</t>
        </is>
      </c>
      <c r="B445" s="1" t="n">
        <v>45035.92714120371</v>
      </c>
      <c r="C445" s="1" t="n">
        <v>46088</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45857-2024</t>
        </is>
      </c>
      <c r="B446" s="1" t="n">
        <v>45580.34554398148</v>
      </c>
      <c r="C446" s="1" t="n">
        <v>46088</v>
      </c>
      <c r="D446" t="inlineStr">
        <is>
          <t>NORRBOTTENS LÄN</t>
        </is>
      </c>
      <c r="E446" t="inlineStr">
        <is>
          <t>LULEÅ</t>
        </is>
      </c>
      <c r="G446" t="n">
        <v>4.6</v>
      </c>
      <c r="H446" t="n">
        <v>0</v>
      </c>
      <c r="I446" t="n">
        <v>0</v>
      </c>
      <c r="J446" t="n">
        <v>0</v>
      </c>
      <c r="K446" t="n">
        <v>0</v>
      </c>
      <c r="L446" t="n">
        <v>0</v>
      </c>
      <c r="M446" t="n">
        <v>0</v>
      </c>
      <c r="N446" t="n">
        <v>0</v>
      </c>
      <c r="O446" t="n">
        <v>0</v>
      </c>
      <c r="P446" t="n">
        <v>0</v>
      </c>
      <c r="Q446" t="n">
        <v>0</v>
      </c>
      <c r="R446" s="2" t="inlineStr"/>
    </row>
    <row r="447" ht="15" customHeight="1">
      <c r="A447" t="inlineStr">
        <is>
          <t>A 9449-2023</t>
        </is>
      </c>
      <c r="B447" s="1" t="n">
        <v>44981</v>
      </c>
      <c r="C447" s="1" t="n">
        <v>46088</v>
      </c>
      <c r="D447" t="inlineStr">
        <is>
          <t>NORRBOTTENS LÄN</t>
        </is>
      </c>
      <c r="E447" t="inlineStr">
        <is>
          <t>LULEÅ</t>
        </is>
      </c>
      <c r="G447" t="n">
        <v>6.1</v>
      </c>
      <c r="H447" t="n">
        <v>0</v>
      </c>
      <c r="I447" t="n">
        <v>0</v>
      </c>
      <c r="J447" t="n">
        <v>0</v>
      </c>
      <c r="K447" t="n">
        <v>0</v>
      </c>
      <c r="L447" t="n">
        <v>0</v>
      </c>
      <c r="M447" t="n">
        <v>0</v>
      </c>
      <c r="N447" t="n">
        <v>0</v>
      </c>
      <c r="O447" t="n">
        <v>0</v>
      </c>
      <c r="P447" t="n">
        <v>0</v>
      </c>
      <c r="Q447" t="n">
        <v>0</v>
      </c>
      <c r="R447" s="2" t="inlineStr"/>
    </row>
    <row r="448" ht="15" customHeight="1">
      <c r="A448" t="inlineStr">
        <is>
          <t>A 53780-2025</t>
        </is>
      </c>
      <c r="B448" s="1" t="n">
        <v>45960.6988425926</v>
      </c>
      <c r="C448" s="1" t="n">
        <v>46088</v>
      </c>
      <c r="D448" t="inlineStr">
        <is>
          <t>NORRBOTTENS LÄN</t>
        </is>
      </c>
      <c r="E448" t="inlineStr">
        <is>
          <t>LULEÅ</t>
        </is>
      </c>
      <c r="G448" t="n">
        <v>5.2</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46088</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6841-2024</t>
        </is>
      </c>
      <c r="B450" s="1" t="n">
        <v>45342</v>
      </c>
      <c r="C450" s="1" t="n">
        <v>46088</v>
      </c>
      <c r="D450" t="inlineStr">
        <is>
          <t>NORRBOTTENS LÄN</t>
        </is>
      </c>
      <c r="E450" t="inlineStr">
        <is>
          <t>LULEÅ</t>
        </is>
      </c>
      <c r="G450" t="n">
        <v>2.8</v>
      </c>
      <c r="H450" t="n">
        <v>0</v>
      </c>
      <c r="I450" t="n">
        <v>0</v>
      </c>
      <c r="J450" t="n">
        <v>0</v>
      </c>
      <c r="K450" t="n">
        <v>0</v>
      </c>
      <c r="L450" t="n">
        <v>0</v>
      </c>
      <c r="M450" t="n">
        <v>0</v>
      </c>
      <c r="N450" t="n">
        <v>0</v>
      </c>
      <c r="O450" t="n">
        <v>0</v>
      </c>
      <c r="P450" t="n">
        <v>0</v>
      </c>
      <c r="Q450" t="n">
        <v>0</v>
      </c>
      <c r="R450" s="2" t="inlineStr"/>
    </row>
    <row r="451" ht="15" customHeight="1">
      <c r="A451" t="inlineStr">
        <is>
          <t>A 54531-2025</t>
        </is>
      </c>
      <c r="B451" s="1" t="n">
        <v>45965</v>
      </c>
      <c r="C451" s="1" t="n">
        <v>46088</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38936-2025</t>
        </is>
      </c>
      <c r="B452" s="1" t="n">
        <v>45884</v>
      </c>
      <c r="C452" s="1" t="n">
        <v>46088</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54280-2025</t>
        </is>
      </c>
      <c r="B453" s="1" t="n">
        <v>45964.70950231481</v>
      </c>
      <c r="C453" s="1" t="n">
        <v>46088</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54442-2025</t>
        </is>
      </c>
      <c r="B454" s="1" t="n">
        <v>45965.50621527778</v>
      </c>
      <c r="C454" s="1" t="n">
        <v>46088</v>
      </c>
      <c r="D454" t="inlineStr">
        <is>
          <t>NORRBOTTENS LÄN</t>
        </is>
      </c>
      <c r="E454" t="inlineStr">
        <is>
          <t>LULEÅ</t>
        </is>
      </c>
      <c r="G454" t="n">
        <v>6.6</v>
      </c>
      <c r="H454" t="n">
        <v>0</v>
      </c>
      <c r="I454" t="n">
        <v>0</v>
      </c>
      <c r="J454" t="n">
        <v>0</v>
      </c>
      <c r="K454" t="n">
        <v>0</v>
      </c>
      <c r="L454" t="n">
        <v>0</v>
      </c>
      <c r="M454" t="n">
        <v>0</v>
      </c>
      <c r="N454" t="n">
        <v>0</v>
      </c>
      <c r="O454" t="n">
        <v>0</v>
      </c>
      <c r="P454" t="n">
        <v>0</v>
      </c>
      <c r="Q454" t="n">
        <v>0</v>
      </c>
      <c r="R454" s="2" t="inlineStr"/>
    </row>
    <row r="455" ht="15" customHeight="1">
      <c r="A455" t="inlineStr">
        <is>
          <t>A 54279-2025</t>
        </is>
      </c>
      <c r="B455" s="1" t="n">
        <v>45964.70471064815</v>
      </c>
      <c r="C455" s="1" t="n">
        <v>46088</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54398-2025</t>
        </is>
      </c>
      <c r="B456" s="1" t="n">
        <v>45965.44887731481</v>
      </c>
      <c r="C456" s="1" t="n">
        <v>46088</v>
      </c>
      <c r="D456" t="inlineStr">
        <is>
          <t>NORRBOTTENS LÄN</t>
        </is>
      </c>
      <c r="E456" t="inlineStr">
        <is>
          <t>LULEÅ</t>
        </is>
      </c>
      <c r="G456" t="n">
        <v>8.6</v>
      </c>
      <c r="H456" t="n">
        <v>0</v>
      </c>
      <c r="I456" t="n">
        <v>0</v>
      </c>
      <c r="J456" t="n">
        <v>0</v>
      </c>
      <c r="K456" t="n">
        <v>0</v>
      </c>
      <c r="L456" t="n">
        <v>0</v>
      </c>
      <c r="M456" t="n">
        <v>0</v>
      </c>
      <c r="N456" t="n">
        <v>0</v>
      </c>
      <c r="O456" t="n">
        <v>0</v>
      </c>
      <c r="P456" t="n">
        <v>0</v>
      </c>
      <c r="Q456" t="n">
        <v>0</v>
      </c>
      <c r="R456" s="2" t="inlineStr"/>
    </row>
    <row r="457" ht="15" customHeight="1">
      <c r="A457" t="inlineStr">
        <is>
          <t>A 57823-2022</t>
        </is>
      </c>
      <c r="B457" s="1" t="n">
        <v>44897</v>
      </c>
      <c r="C457" s="1" t="n">
        <v>46088</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57825-2022</t>
        </is>
      </c>
      <c r="B458" s="1" t="n">
        <v>44897</v>
      </c>
      <c r="C458" s="1" t="n">
        <v>46088</v>
      </c>
      <c r="D458" t="inlineStr">
        <is>
          <t>NORRBOTTENS LÄN</t>
        </is>
      </c>
      <c r="E458" t="inlineStr">
        <is>
          <t>LULEÅ</t>
        </is>
      </c>
      <c r="G458" t="n">
        <v>2.2</v>
      </c>
      <c r="H458" t="n">
        <v>0</v>
      </c>
      <c r="I458" t="n">
        <v>0</v>
      </c>
      <c r="J458" t="n">
        <v>0</v>
      </c>
      <c r="K458" t="n">
        <v>0</v>
      </c>
      <c r="L458" t="n">
        <v>0</v>
      </c>
      <c r="M458" t="n">
        <v>0</v>
      </c>
      <c r="N458" t="n">
        <v>0</v>
      </c>
      <c r="O458" t="n">
        <v>0</v>
      </c>
      <c r="P458" t="n">
        <v>0</v>
      </c>
      <c r="Q458" t="n">
        <v>0</v>
      </c>
      <c r="R458" s="2" t="inlineStr"/>
    </row>
    <row r="459" ht="15" customHeight="1">
      <c r="A459" t="inlineStr">
        <is>
          <t>A 54558-2025</t>
        </is>
      </c>
      <c r="B459" s="1" t="n">
        <v>45965.66197916667</v>
      </c>
      <c r="C459" s="1" t="n">
        <v>46088</v>
      </c>
      <c r="D459" t="inlineStr">
        <is>
          <t>NORRBOTTENS LÄN</t>
        </is>
      </c>
      <c r="E459" t="inlineStr">
        <is>
          <t>LULEÅ</t>
        </is>
      </c>
      <c r="G459" t="n">
        <v>0.9</v>
      </c>
      <c r="H459" t="n">
        <v>0</v>
      </c>
      <c r="I459" t="n">
        <v>0</v>
      </c>
      <c r="J459" t="n">
        <v>0</v>
      </c>
      <c r="K459" t="n">
        <v>0</v>
      </c>
      <c r="L459" t="n">
        <v>0</v>
      </c>
      <c r="M459" t="n">
        <v>0</v>
      </c>
      <c r="N459" t="n">
        <v>0</v>
      </c>
      <c r="O459" t="n">
        <v>0</v>
      </c>
      <c r="P459" t="n">
        <v>0</v>
      </c>
      <c r="Q459" t="n">
        <v>0</v>
      </c>
      <c r="R459" s="2" t="inlineStr"/>
    </row>
    <row r="460" ht="15" customHeight="1">
      <c r="A460" t="inlineStr">
        <is>
          <t>A 54559-2025</t>
        </is>
      </c>
      <c r="B460" s="1" t="n">
        <v>45965.66282407408</v>
      </c>
      <c r="C460" s="1" t="n">
        <v>46088</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27303-2022</t>
        </is>
      </c>
      <c r="B461" s="1" t="n">
        <v>44741</v>
      </c>
      <c r="C461" s="1" t="n">
        <v>46088</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54274-2025</t>
        </is>
      </c>
      <c r="B462" s="1" t="n">
        <v>45964.6821875</v>
      </c>
      <c r="C462" s="1" t="n">
        <v>46088</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10885-2023</t>
        </is>
      </c>
      <c r="B463" s="1" t="n">
        <v>44985</v>
      </c>
      <c r="C463" s="1" t="n">
        <v>46088</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20723-2021</t>
        </is>
      </c>
      <c r="B464" s="1" t="n">
        <v>44316.52800925926</v>
      </c>
      <c r="C464" s="1" t="n">
        <v>46088</v>
      </c>
      <c r="D464" t="inlineStr">
        <is>
          <t>NORRBOTTENS LÄN</t>
        </is>
      </c>
      <c r="E464" t="inlineStr">
        <is>
          <t>LULEÅ</t>
        </is>
      </c>
      <c r="G464" t="n">
        <v>7</v>
      </c>
      <c r="H464" t="n">
        <v>0</v>
      </c>
      <c r="I464" t="n">
        <v>0</v>
      </c>
      <c r="J464" t="n">
        <v>0</v>
      </c>
      <c r="K464" t="n">
        <v>0</v>
      </c>
      <c r="L464" t="n">
        <v>0</v>
      </c>
      <c r="M464" t="n">
        <v>0</v>
      </c>
      <c r="N464" t="n">
        <v>0</v>
      </c>
      <c r="O464" t="n">
        <v>0</v>
      </c>
      <c r="P464" t="n">
        <v>0</v>
      </c>
      <c r="Q464" t="n">
        <v>0</v>
      </c>
      <c r="R464" s="2" t="inlineStr"/>
    </row>
    <row r="465" ht="15" customHeight="1">
      <c r="A465" t="inlineStr">
        <is>
          <t>A 54479-2025</t>
        </is>
      </c>
      <c r="B465" s="1" t="n">
        <v>45965.58432870371</v>
      </c>
      <c r="C465" s="1" t="n">
        <v>46088</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38714-2025</t>
        </is>
      </c>
      <c r="B466" s="1" t="n">
        <v>45886.34490740741</v>
      </c>
      <c r="C466" s="1" t="n">
        <v>46088</v>
      </c>
      <c r="D466" t="inlineStr">
        <is>
          <t>NORRBOTTENS LÄN</t>
        </is>
      </c>
      <c r="E466" t="inlineStr">
        <is>
          <t>LULEÅ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54428-2025</t>
        </is>
      </c>
      <c r="B467" s="1" t="n">
        <v>45965.49263888889</v>
      </c>
      <c r="C467" s="1" t="n">
        <v>46088</v>
      </c>
      <c r="D467" t="inlineStr">
        <is>
          <t>NORRBOTTENS LÄN</t>
        </is>
      </c>
      <c r="E467" t="inlineStr">
        <is>
          <t>LULEÅ</t>
        </is>
      </c>
      <c r="G467" t="n">
        <v>0.5</v>
      </c>
      <c r="H467" t="n">
        <v>0</v>
      </c>
      <c r="I467" t="n">
        <v>0</v>
      </c>
      <c r="J467" t="n">
        <v>0</v>
      </c>
      <c r="K467" t="n">
        <v>0</v>
      </c>
      <c r="L467" t="n">
        <v>0</v>
      </c>
      <c r="M467" t="n">
        <v>0</v>
      </c>
      <c r="N467" t="n">
        <v>0</v>
      </c>
      <c r="O467" t="n">
        <v>0</v>
      </c>
      <c r="P467" t="n">
        <v>0</v>
      </c>
      <c r="Q467" t="n">
        <v>0</v>
      </c>
      <c r="R467" s="2" t="inlineStr"/>
    </row>
    <row r="468" ht="15" customHeight="1">
      <c r="A468" t="inlineStr">
        <is>
          <t>A 54436-2025</t>
        </is>
      </c>
      <c r="B468" s="1" t="n">
        <v>45965.50042824074</v>
      </c>
      <c r="C468" s="1" t="n">
        <v>46088</v>
      </c>
      <c r="D468" t="inlineStr">
        <is>
          <t>NORRBOTTENS LÄN</t>
        </is>
      </c>
      <c r="E468" t="inlineStr">
        <is>
          <t>LULEÅ</t>
        </is>
      </c>
      <c r="G468" t="n">
        <v>4.8</v>
      </c>
      <c r="H468" t="n">
        <v>0</v>
      </c>
      <c r="I468" t="n">
        <v>0</v>
      </c>
      <c r="J468" t="n">
        <v>0</v>
      </c>
      <c r="K468" t="n">
        <v>0</v>
      </c>
      <c r="L468" t="n">
        <v>0</v>
      </c>
      <c r="M468" t="n">
        <v>0</v>
      </c>
      <c r="N468" t="n">
        <v>0</v>
      </c>
      <c r="O468" t="n">
        <v>0</v>
      </c>
      <c r="P468" t="n">
        <v>0</v>
      </c>
      <c r="Q468" t="n">
        <v>0</v>
      </c>
      <c r="R468" s="2" t="inlineStr"/>
    </row>
    <row r="469" ht="15" customHeight="1">
      <c r="A469" t="inlineStr">
        <is>
          <t>A 19983-2025</t>
        </is>
      </c>
      <c r="B469" s="1" t="n">
        <v>45771.71908564815</v>
      </c>
      <c r="C469" s="1" t="n">
        <v>46088</v>
      </c>
      <c r="D469" t="inlineStr">
        <is>
          <t>NORRBOTTENS LÄN</t>
        </is>
      </c>
      <c r="E469" t="inlineStr">
        <is>
          <t>LULEÅ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806-2025</t>
        </is>
      </c>
      <c r="B470" s="1" t="n">
        <v>45664</v>
      </c>
      <c r="C470" s="1" t="n">
        <v>46088</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817-2025</t>
        </is>
      </c>
      <c r="B471" s="1" t="n">
        <v>45664</v>
      </c>
      <c r="C471" s="1" t="n">
        <v>46088</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1116-2026</t>
        </is>
      </c>
      <c r="B472" s="1" t="n">
        <v>46030</v>
      </c>
      <c r="C472" s="1" t="n">
        <v>46088</v>
      </c>
      <c r="D472" t="inlineStr">
        <is>
          <t>NORRBOTTENS LÄN</t>
        </is>
      </c>
      <c r="E472" t="inlineStr">
        <is>
          <t>LULEÅ</t>
        </is>
      </c>
      <c r="G472" t="n">
        <v>17.7</v>
      </c>
      <c r="H472" t="n">
        <v>0</v>
      </c>
      <c r="I472" t="n">
        <v>0</v>
      </c>
      <c r="J472" t="n">
        <v>0</v>
      </c>
      <c r="K472" t="n">
        <v>0</v>
      </c>
      <c r="L472" t="n">
        <v>0</v>
      </c>
      <c r="M472" t="n">
        <v>0</v>
      </c>
      <c r="N472" t="n">
        <v>0</v>
      </c>
      <c r="O472" t="n">
        <v>0</v>
      </c>
      <c r="P472" t="n">
        <v>0</v>
      </c>
      <c r="Q472" t="n">
        <v>0</v>
      </c>
      <c r="R472" s="2" t="inlineStr"/>
    </row>
    <row r="473" ht="15" customHeight="1">
      <c r="A473" t="inlineStr">
        <is>
          <t>A 61557-2024</t>
        </is>
      </c>
      <c r="B473" s="1" t="n">
        <v>45646.61081018519</v>
      </c>
      <c r="C473" s="1" t="n">
        <v>46088</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55090-2025</t>
        </is>
      </c>
      <c r="B474" s="1" t="n">
        <v>45968.34435185185</v>
      </c>
      <c r="C474" s="1" t="n">
        <v>46088</v>
      </c>
      <c r="D474" t="inlineStr">
        <is>
          <t>NORRBOTTENS LÄN</t>
        </is>
      </c>
      <c r="E474" t="inlineStr">
        <is>
          <t>LULEÅ</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43861-2023</t>
        </is>
      </c>
      <c r="B475" s="1" t="n">
        <v>45187</v>
      </c>
      <c r="C475" s="1" t="n">
        <v>46088</v>
      </c>
      <c r="D475" t="inlineStr">
        <is>
          <t>NORRBOTTENS LÄN</t>
        </is>
      </c>
      <c r="E475" t="inlineStr">
        <is>
          <t>LULEÅ</t>
        </is>
      </c>
      <c r="G475" t="n">
        <v>5.1</v>
      </c>
      <c r="H475" t="n">
        <v>0</v>
      </c>
      <c r="I475" t="n">
        <v>0</v>
      </c>
      <c r="J475" t="n">
        <v>0</v>
      </c>
      <c r="K475" t="n">
        <v>0</v>
      </c>
      <c r="L475" t="n">
        <v>0</v>
      </c>
      <c r="M475" t="n">
        <v>0</v>
      </c>
      <c r="N475" t="n">
        <v>0</v>
      </c>
      <c r="O475" t="n">
        <v>0</v>
      </c>
      <c r="P475" t="n">
        <v>0</v>
      </c>
      <c r="Q475" t="n">
        <v>0</v>
      </c>
      <c r="R475" s="2" t="inlineStr"/>
    </row>
    <row r="476" ht="15" customHeight="1">
      <c r="A476" t="inlineStr">
        <is>
          <t>A 885-2026</t>
        </is>
      </c>
      <c r="B476" s="1" t="n">
        <v>46030.44842592593</v>
      </c>
      <c r="C476" s="1" t="n">
        <v>46088</v>
      </c>
      <c r="D476" t="inlineStr">
        <is>
          <t>NORRBOTTENS LÄN</t>
        </is>
      </c>
      <c r="E476" t="inlineStr">
        <is>
          <t>LULEÅ</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55443-2025</t>
        </is>
      </c>
      <c r="B477" s="1" t="n">
        <v>45971.49157407408</v>
      </c>
      <c r="C477" s="1" t="n">
        <v>46088</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1661-2026</t>
        </is>
      </c>
      <c r="B478" s="1" t="n">
        <v>46034.55488425926</v>
      </c>
      <c r="C478" s="1" t="n">
        <v>46088</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1663-2026</t>
        </is>
      </c>
      <c r="B479" s="1" t="n">
        <v>46034.55708333333</v>
      </c>
      <c r="C479" s="1" t="n">
        <v>46088</v>
      </c>
      <c r="D479" t="inlineStr">
        <is>
          <t>NORRBOTTENS LÄN</t>
        </is>
      </c>
      <c r="E479" t="inlineStr">
        <is>
          <t>LULEÅ</t>
        </is>
      </c>
      <c r="G479" t="n">
        <v>2</v>
      </c>
      <c r="H479" t="n">
        <v>0</v>
      </c>
      <c r="I479" t="n">
        <v>0</v>
      </c>
      <c r="J479" t="n">
        <v>0</v>
      </c>
      <c r="K479" t="n">
        <v>0</v>
      </c>
      <c r="L479" t="n">
        <v>0</v>
      </c>
      <c r="M479" t="n">
        <v>0</v>
      </c>
      <c r="N479" t="n">
        <v>0</v>
      </c>
      <c r="O479" t="n">
        <v>0</v>
      </c>
      <c r="P479" t="n">
        <v>0</v>
      </c>
      <c r="Q479" t="n">
        <v>0</v>
      </c>
      <c r="R479" s="2" t="inlineStr"/>
    </row>
    <row r="480" ht="15" customHeight="1">
      <c r="A480" t="inlineStr">
        <is>
          <t>A 1666-2026</t>
        </is>
      </c>
      <c r="B480" s="1" t="n">
        <v>46034.55892361111</v>
      </c>
      <c r="C480" s="1" t="n">
        <v>46088</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46088</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9289-2023</t>
        </is>
      </c>
      <c r="B482" s="1" t="n">
        <v>44977</v>
      </c>
      <c r="C482" s="1" t="n">
        <v>46088</v>
      </c>
      <c r="D482" t="inlineStr">
        <is>
          <t>NORRBOTTENS LÄN</t>
        </is>
      </c>
      <c r="E482" t="inlineStr">
        <is>
          <t>LULEÅ</t>
        </is>
      </c>
      <c r="G482" t="n">
        <v>1.6</v>
      </c>
      <c r="H482" t="n">
        <v>0</v>
      </c>
      <c r="I482" t="n">
        <v>0</v>
      </c>
      <c r="J482" t="n">
        <v>0</v>
      </c>
      <c r="K482" t="n">
        <v>0</v>
      </c>
      <c r="L482" t="n">
        <v>0</v>
      </c>
      <c r="M482" t="n">
        <v>0</v>
      </c>
      <c r="N482" t="n">
        <v>0</v>
      </c>
      <c r="O482" t="n">
        <v>0</v>
      </c>
      <c r="P482" t="n">
        <v>0</v>
      </c>
      <c r="Q482" t="n">
        <v>0</v>
      </c>
      <c r="R482" s="2" t="inlineStr"/>
    </row>
    <row r="483" ht="15" customHeight="1">
      <c r="A483" t="inlineStr">
        <is>
          <t>A 1671-2026</t>
        </is>
      </c>
      <c r="B483" s="1" t="n">
        <v>46034.56065972222</v>
      </c>
      <c r="C483" s="1" t="n">
        <v>46088</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9706-2022</t>
        </is>
      </c>
      <c r="B484" s="1" t="n">
        <v>44617</v>
      </c>
      <c r="C484" s="1" t="n">
        <v>46088</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46088</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9278-2023</t>
        </is>
      </c>
      <c r="B486" s="1" t="n">
        <v>44977</v>
      </c>
      <c r="C486" s="1" t="n">
        <v>46088</v>
      </c>
      <c r="D486" t="inlineStr">
        <is>
          <t>NORRBOTTENS LÄN</t>
        </is>
      </c>
      <c r="E486" t="inlineStr">
        <is>
          <t>LULEÅ</t>
        </is>
      </c>
      <c r="G486" t="n">
        <v>0.7</v>
      </c>
      <c r="H486" t="n">
        <v>0</v>
      </c>
      <c r="I486" t="n">
        <v>0</v>
      </c>
      <c r="J486" t="n">
        <v>0</v>
      </c>
      <c r="K486" t="n">
        <v>0</v>
      </c>
      <c r="L486" t="n">
        <v>0</v>
      </c>
      <c r="M486" t="n">
        <v>0</v>
      </c>
      <c r="N486" t="n">
        <v>0</v>
      </c>
      <c r="O486" t="n">
        <v>0</v>
      </c>
      <c r="P486" t="n">
        <v>0</v>
      </c>
      <c r="Q486" t="n">
        <v>0</v>
      </c>
      <c r="R486" s="2" t="inlineStr"/>
    </row>
    <row r="487" ht="15" customHeight="1">
      <c r="A487" t="inlineStr">
        <is>
          <t>A 10156-2026</t>
        </is>
      </c>
      <c r="B487" s="1" t="n">
        <v>46076.3806712963</v>
      </c>
      <c r="C487" s="1" t="n">
        <v>46088</v>
      </c>
      <c r="D487" t="inlineStr">
        <is>
          <t>NORRBOTTENS LÄN</t>
        </is>
      </c>
      <c r="E487" t="inlineStr">
        <is>
          <t>LULEÅ</t>
        </is>
      </c>
      <c r="F487" t="inlineStr">
        <is>
          <t>Övriga Aktiebolag</t>
        </is>
      </c>
      <c r="G487" t="n">
        <v>9.1</v>
      </c>
      <c r="H487" t="n">
        <v>0</v>
      </c>
      <c r="I487" t="n">
        <v>0</v>
      </c>
      <c r="J487" t="n">
        <v>0</v>
      </c>
      <c r="K487" t="n">
        <v>0</v>
      </c>
      <c r="L487" t="n">
        <v>0</v>
      </c>
      <c r="M487" t="n">
        <v>0</v>
      </c>
      <c r="N487" t="n">
        <v>0</v>
      </c>
      <c r="O487" t="n">
        <v>0</v>
      </c>
      <c r="P487" t="n">
        <v>0</v>
      </c>
      <c r="Q487" t="n">
        <v>0</v>
      </c>
      <c r="R487" s="2" t="inlineStr"/>
    </row>
    <row r="488" ht="15" customHeight="1">
      <c r="A488" t="inlineStr">
        <is>
          <t>A 10166-2026</t>
        </is>
      </c>
      <c r="B488" s="1" t="n">
        <v>46076.41243055555</v>
      </c>
      <c r="C488" s="1" t="n">
        <v>46088</v>
      </c>
      <c r="D488" t="inlineStr">
        <is>
          <t>NORRBOTTENS LÄN</t>
        </is>
      </c>
      <c r="E488" t="inlineStr">
        <is>
          <t>LULEÅ</t>
        </is>
      </c>
      <c r="F488" t="inlineStr">
        <is>
          <t>Övriga Aktiebolag</t>
        </is>
      </c>
      <c r="G488" t="n">
        <v>4.2</v>
      </c>
      <c r="H488" t="n">
        <v>0</v>
      </c>
      <c r="I488" t="n">
        <v>0</v>
      </c>
      <c r="J488" t="n">
        <v>0</v>
      </c>
      <c r="K488" t="n">
        <v>0</v>
      </c>
      <c r="L488" t="n">
        <v>0</v>
      </c>
      <c r="M488" t="n">
        <v>0</v>
      </c>
      <c r="N488" t="n">
        <v>0</v>
      </c>
      <c r="O488" t="n">
        <v>0</v>
      </c>
      <c r="P488" t="n">
        <v>0</v>
      </c>
      <c r="Q488" t="n">
        <v>0</v>
      </c>
      <c r="R488" s="2" t="inlineStr"/>
    </row>
    <row r="489" ht="15" customHeight="1">
      <c r="A489" t="inlineStr">
        <is>
          <t>A 10192-2026</t>
        </is>
      </c>
      <c r="B489" s="1" t="n">
        <v>46076.45981481481</v>
      </c>
      <c r="C489" s="1" t="n">
        <v>46088</v>
      </c>
      <c r="D489" t="inlineStr">
        <is>
          <t>NORRBOTTENS LÄN</t>
        </is>
      </c>
      <c r="E489" t="inlineStr">
        <is>
          <t>LULEÅ</t>
        </is>
      </c>
      <c r="G489" t="n">
        <v>6.4</v>
      </c>
      <c r="H489" t="n">
        <v>0</v>
      </c>
      <c r="I489" t="n">
        <v>0</v>
      </c>
      <c r="J489" t="n">
        <v>0</v>
      </c>
      <c r="K489" t="n">
        <v>0</v>
      </c>
      <c r="L489" t="n">
        <v>0</v>
      </c>
      <c r="M489" t="n">
        <v>0</v>
      </c>
      <c r="N489" t="n">
        <v>0</v>
      </c>
      <c r="O489" t="n">
        <v>0</v>
      </c>
      <c r="P489" t="n">
        <v>0</v>
      </c>
      <c r="Q489" t="n">
        <v>0</v>
      </c>
      <c r="R489" s="2" t="inlineStr"/>
    </row>
    <row r="490" ht="15" customHeight="1">
      <c r="A490" t="inlineStr">
        <is>
          <t>A 55735-2025</t>
        </is>
      </c>
      <c r="B490" s="1" t="n">
        <v>45972</v>
      </c>
      <c r="C490" s="1" t="n">
        <v>46088</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42822-2024</t>
        </is>
      </c>
      <c r="B491" s="1" t="n">
        <v>45566.59611111111</v>
      </c>
      <c r="C491" s="1" t="n">
        <v>46088</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15848-2022</t>
        </is>
      </c>
      <c r="B492" s="1" t="n">
        <v>44664</v>
      </c>
      <c r="C492" s="1" t="n">
        <v>46088</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41707-2024</t>
        </is>
      </c>
      <c r="B493" s="1" t="n">
        <v>45560.69846064815</v>
      </c>
      <c r="C493" s="1" t="n">
        <v>46088</v>
      </c>
      <c r="D493" t="inlineStr">
        <is>
          <t>NORRBOTTENS LÄN</t>
        </is>
      </c>
      <c r="E493" t="inlineStr">
        <is>
          <t>LULEÅ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41708-2024</t>
        </is>
      </c>
      <c r="B494" s="1" t="n">
        <v>45560.6984837963</v>
      </c>
      <c r="C494" s="1" t="n">
        <v>46088</v>
      </c>
      <c r="D494" t="inlineStr">
        <is>
          <t>NORRBOTTENS LÄN</t>
        </is>
      </c>
      <c r="E494" t="inlineStr">
        <is>
          <t>LULEÅ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55734-2025</t>
        </is>
      </c>
      <c r="B495" s="1" t="n">
        <v>45972</v>
      </c>
      <c r="C495" s="1" t="n">
        <v>46088</v>
      </c>
      <c r="D495" t="inlineStr">
        <is>
          <t>NORRBOTTENS LÄN</t>
        </is>
      </c>
      <c r="E495" t="inlineStr">
        <is>
          <t>LULEÅ</t>
        </is>
      </c>
      <c r="G495" t="n">
        <v>7.6</v>
      </c>
      <c r="H495" t="n">
        <v>0</v>
      </c>
      <c r="I495" t="n">
        <v>0</v>
      </c>
      <c r="J495" t="n">
        <v>0</v>
      </c>
      <c r="K495" t="n">
        <v>0</v>
      </c>
      <c r="L495" t="n">
        <v>0</v>
      </c>
      <c r="M495" t="n">
        <v>0</v>
      </c>
      <c r="N495" t="n">
        <v>0</v>
      </c>
      <c r="O495" t="n">
        <v>0</v>
      </c>
      <c r="P495" t="n">
        <v>0</v>
      </c>
      <c r="Q495" t="n">
        <v>0</v>
      </c>
      <c r="R495" s="2" t="inlineStr"/>
    </row>
    <row r="496" ht="15" customHeight="1">
      <c r="A496" t="inlineStr">
        <is>
          <t>A 10163-2026</t>
        </is>
      </c>
      <c r="B496" s="1" t="n">
        <v>46076</v>
      </c>
      <c r="C496" s="1" t="n">
        <v>46088</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28498-2024</t>
        </is>
      </c>
      <c r="B497" s="1" t="n">
        <v>45477.92725694444</v>
      </c>
      <c r="C497" s="1" t="n">
        <v>46088</v>
      </c>
      <c r="D497" t="inlineStr">
        <is>
          <t>NORRBOTTENS LÄN</t>
        </is>
      </c>
      <c r="E497" t="inlineStr">
        <is>
          <t>LULEÅ</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1927-2026</t>
        </is>
      </c>
      <c r="B498" s="1" t="n">
        <v>46035.57366898148</v>
      </c>
      <c r="C498" s="1" t="n">
        <v>46088</v>
      </c>
      <c r="D498" t="inlineStr">
        <is>
          <t>NORRBOTTENS LÄN</t>
        </is>
      </c>
      <c r="E498" t="inlineStr">
        <is>
          <t>LULEÅ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56649-2025</t>
        </is>
      </c>
      <c r="B499" s="1" t="n">
        <v>45975</v>
      </c>
      <c r="C499" s="1" t="n">
        <v>46088</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56142-2025</t>
        </is>
      </c>
      <c r="B500" s="1" t="n">
        <v>45974.34443287037</v>
      </c>
      <c r="C500" s="1" t="n">
        <v>46088</v>
      </c>
      <c r="D500" t="inlineStr">
        <is>
          <t>NORRBOTTENS LÄN</t>
        </is>
      </c>
      <c r="E500" t="inlineStr">
        <is>
          <t>LULEÅ</t>
        </is>
      </c>
      <c r="F500" t="inlineStr">
        <is>
          <t>Naturvårdsverket</t>
        </is>
      </c>
      <c r="G500" t="n">
        <v>2.5</v>
      </c>
      <c r="H500" t="n">
        <v>0</v>
      </c>
      <c r="I500" t="n">
        <v>0</v>
      </c>
      <c r="J500" t="n">
        <v>0</v>
      </c>
      <c r="K500" t="n">
        <v>0</v>
      </c>
      <c r="L500" t="n">
        <v>0</v>
      </c>
      <c r="M500" t="n">
        <v>0</v>
      </c>
      <c r="N500" t="n">
        <v>0</v>
      </c>
      <c r="O500" t="n">
        <v>0</v>
      </c>
      <c r="P500" t="n">
        <v>0</v>
      </c>
      <c r="Q500" t="n">
        <v>0</v>
      </c>
      <c r="R500" s="2" t="inlineStr"/>
    </row>
    <row r="501" ht="15" customHeight="1">
      <c r="A501" t="inlineStr">
        <is>
          <t>A 56643-2025</t>
        </is>
      </c>
      <c r="B501" s="1" t="n">
        <v>45975.62664351852</v>
      </c>
      <c r="C501" s="1" t="n">
        <v>46088</v>
      </c>
      <c r="D501" t="inlineStr">
        <is>
          <t>NORRBOTTENS LÄN</t>
        </is>
      </c>
      <c r="E501" t="inlineStr">
        <is>
          <t>LULEÅ</t>
        </is>
      </c>
      <c r="G501" t="n">
        <v>4.4</v>
      </c>
      <c r="H501" t="n">
        <v>0</v>
      </c>
      <c r="I501" t="n">
        <v>0</v>
      </c>
      <c r="J501" t="n">
        <v>0</v>
      </c>
      <c r="K501" t="n">
        <v>0</v>
      </c>
      <c r="L501" t="n">
        <v>0</v>
      </c>
      <c r="M501" t="n">
        <v>0</v>
      </c>
      <c r="N501" t="n">
        <v>0</v>
      </c>
      <c r="O501" t="n">
        <v>0</v>
      </c>
      <c r="P501" t="n">
        <v>0</v>
      </c>
      <c r="Q501" t="n">
        <v>0</v>
      </c>
      <c r="R501" s="2" t="inlineStr"/>
    </row>
    <row r="502" ht="15" customHeight="1">
      <c r="A502" t="inlineStr">
        <is>
          <t>A 1928-2026</t>
        </is>
      </c>
      <c r="B502" s="1" t="n">
        <v>46035.57373842593</v>
      </c>
      <c r="C502" s="1" t="n">
        <v>46088</v>
      </c>
      <c r="D502" t="inlineStr">
        <is>
          <t>NORRBOTTENS LÄN</t>
        </is>
      </c>
      <c r="E502" t="inlineStr">
        <is>
          <t>LULEÅ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56677-2025</t>
        </is>
      </c>
      <c r="B503" s="1" t="n">
        <v>45975.72868055556</v>
      </c>
      <c r="C503" s="1" t="n">
        <v>46088</v>
      </c>
      <c r="D503" t="inlineStr">
        <is>
          <t>NORRBOTTENS LÄN</t>
        </is>
      </c>
      <c r="E503" t="inlineStr">
        <is>
          <t>LULEÅ</t>
        </is>
      </c>
      <c r="G503" t="n">
        <v>5.9</v>
      </c>
      <c r="H503" t="n">
        <v>0</v>
      </c>
      <c r="I503" t="n">
        <v>0</v>
      </c>
      <c r="J503" t="n">
        <v>0</v>
      </c>
      <c r="K503" t="n">
        <v>0</v>
      </c>
      <c r="L503" t="n">
        <v>0</v>
      </c>
      <c r="M503" t="n">
        <v>0</v>
      </c>
      <c r="N503" t="n">
        <v>0</v>
      </c>
      <c r="O503" t="n">
        <v>0</v>
      </c>
      <c r="P503" t="n">
        <v>0</v>
      </c>
      <c r="Q503" t="n">
        <v>0</v>
      </c>
      <c r="R503" s="2" t="inlineStr"/>
    </row>
    <row r="504" ht="15" customHeight="1">
      <c r="A504" t="inlineStr">
        <is>
          <t>A 56862-2025</t>
        </is>
      </c>
      <c r="B504" s="1" t="n">
        <v>45978.50950231482</v>
      </c>
      <c r="C504" s="1" t="n">
        <v>46088</v>
      </c>
      <c r="D504" t="inlineStr">
        <is>
          <t>NORRBOTTENS LÄN</t>
        </is>
      </c>
      <c r="E504" t="inlineStr">
        <is>
          <t>LULEÅ</t>
        </is>
      </c>
      <c r="G504" t="n">
        <v>1.9</v>
      </c>
      <c r="H504" t="n">
        <v>0</v>
      </c>
      <c r="I504" t="n">
        <v>0</v>
      </c>
      <c r="J504" t="n">
        <v>0</v>
      </c>
      <c r="K504" t="n">
        <v>0</v>
      </c>
      <c r="L504" t="n">
        <v>0</v>
      </c>
      <c r="M504" t="n">
        <v>0</v>
      </c>
      <c r="N504" t="n">
        <v>0</v>
      </c>
      <c r="O504" t="n">
        <v>0</v>
      </c>
      <c r="P504" t="n">
        <v>0</v>
      </c>
      <c r="Q504" t="n">
        <v>0</v>
      </c>
      <c r="R504" s="2" t="inlineStr"/>
    </row>
    <row r="505" ht="15" customHeight="1">
      <c r="A505" t="inlineStr">
        <is>
          <t>A 8235-2025</t>
        </is>
      </c>
      <c r="B505" s="1" t="n">
        <v>45708</v>
      </c>
      <c r="C505" s="1" t="n">
        <v>46088</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8243-2025</t>
        </is>
      </c>
      <c r="B506" s="1" t="n">
        <v>45708</v>
      </c>
      <c r="C506" s="1" t="n">
        <v>46088</v>
      </c>
      <c r="D506" t="inlineStr">
        <is>
          <t>NORRBOTTENS LÄN</t>
        </is>
      </c>
      <c r="E506" t="inlineStr">
        <is>
          <t>LULEÅ</t>
        </is>
      </c>
      <c r="G506" t="n">
        <v>5.8</v>
      </c>
      <c r="H506" t="n">
        <v>0</v>
      </c>
      <c r="I506" t="n">
        <v>0</v>
      </c>
      <c r="J506" t="n">
        <v>0</v>
      </c>
      <c r="K506" t="n">
        <v>0</v>
      </c>
      <c r="L506" t="n">
        <v>0</v>
      </c>
      <c r="M506" t="n">
        <v>0</v>
      </c>
      <c r="N506" t="n">
        <v>0</v>
      </c>
      <c r="O506" t="n">
        <v>0</v>
      </c>
      <c r="P506" t="n">
        <v>0</v>
      </c>
      <c r="Q506" t="n">
        <v>0</v>
      </c>
      <c r="R506" s="2" t="inlineStr"/>
    </row>
    <row r="507" ht="15" customHeight="1">
      <c r="A507" t="inlineStr">
        <is>
          <t>A 8247-2025</t>
        </is>
      </c>
      <c r="B507" s="1" t="n">
        <v>45708</v>
      </c>
      <c r="C507" s="1" t="n">
        <v>46088</v>
      </c>
      <c r="D507" t="inlineStr">
        <is>
          <t>NORRBOTTENS LÄN</t>
        </is>
      </c>
      <c r="E507" t="inlineStr">
        <is>
          <t>LULEÅ</t>
        </is>
      </c>
      <c r="G507" t="n">
        <v>5.8</v>
      </c>
      <c r="H507" t="n">
        <v>0</v>
      </c>
      <c r="I507" t="n">
        <v>0</v>
      </c>
      <c r="J507" t="n">
        <v>0</v>
      </c>
      <c r="K507" t="n">
        <v>0</v>
      </c>
      <c r="L507" t="n">
        <v>0</v>
      </c>
      <c r="M507" t="n">
        <v>0</v>
      </c>
      <c r="N507" t="n">
        <v>0</v>
      </c>
      <c r="O507" t="n">
        <v>0</v>
      </c>
      <c r="P507" t="n">
        <v>0</v>
      </c>
      <c r="Q507" t="n">
        <v>0</v>
      </c>
      <c r="R507" s="2" t="inlineStr"/>
    </row>
    <row r="508" ht="15" customHeight="1">
      <c r="A508" t="inlineStr">
        <is>
          <t>A 56932-2025</t>
        </is>
      </c>
      <c r="B508" s="1" t="n">
        <v>45978.61122685186</v>
      </c>
      <c r="C508" s="1" t="n">
        <v>46088</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8214-2025</t>
        </is>
      </c>
      <c r="B509" s="1" t="n">
        <v>45708</v>
      </c>
      <c r="C509" s="1" t="n">
        <v>46088</v>
      </c>
      <c r="D509" t="inlineStr">
        <is>
          <t>NORRBOTTENS LÄN</t>
        </is>
      </c>
      <c r="E509" t="inlineStr">
        <is>
          <t>LULEÅ</t>
        </is>
      </c>
      <c r="G509" t="n">
        <v>9.9</v>
      </c>
      <c r="H509" t="n">
        <v>0</v>
      </c>
      <c r="I509" t="n">
        <v>0</v>
      </c>
      <c r="J509" t="n">
        <v>0</v>
      </c>
      <c r="K509" t="n">
        <v>0</v>
      </c>
      <c r="L509" t="n">
        <v>0</v>
      </c>
      <c r="M509" t="n">
        <v>0</v>
      </c>
      <c r="N509" t="n">
        <v>0</v>
      </c>
      <c r="O509" t="n">
        <v>0</v>
      </c>
      <c r="P509" t="n">
        <v>0</v>
      </c>
      <c r="Q509" t="n">
        <v>0</v>
      </c>
      <c r="R509" s="2" t="inlineStr"/>
    </row>
    <row r="510" ht="15" customHeight="1">
      <c r="A510" t="inlineStr">
        <is>
          <t>A 57230-2025</t>
        </is>
      </c>
      <c r="B510" s="1" t="n">
        <v>45979.61831018519</v>
      </c>
      <c r="C510" s="1" t="n">
        <v>46088</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56853-2025</t>
        </is>
      </c>
      <c r="B511" s="1" t="n">
        <v>45978.49459490741</v>
      </c>
      <c r="C511" s="1" t="n">
        <v>46088</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10611-2025</t>
        </is>
      </c>
      <c r="B512" s="1" t="n">
        <v>45721</v>
      </c>
      <c r="C512" s="1" t="n">
        <v>46088</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57076-2025</t>
        </is>
      </c>
      <c r="B513" s="1" t="n">
        <v>45979.40319444444</v>
      </c>
      <c r="C513" s="1" t="n">
        <v>46088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57142-2025</t>
        </is>
      </c>
      <c r="B514" s="1" t="n">
        <v>45978</v>
      </c>
      <c r="C514" s="1" t="n">
        <v>46088</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56860-2025</t>
        </is>
      </c>
      <c r="B515" s="1" t="n">
        <v>45978.50525462963</v>
      </c>
      <c r="C515" s="1" t="n">
        <v>46088</v>
      </c>
      <c r="D515" t="inlineStr">
        <is>
          <t>NORRBOTTENS LÄN</t>
        </is>
      </c>
      <c r="E515" t="inlineStr">
        <is>
          <t>LULEÅ</t>
        </is>
      </c>
      <c r="G515" t="n">
        <v>1.2</v>
      </c>
      <c r="H515" t="n">
        <v>0</v>
      </c>
      <c r="I515" t="n">
        <v>0</v>
      </c>
      <c r="J515" t="n">
        <v>0</v>
      </c>
      <c r="K515" t="n">
        <v>0</v>
      </c>
      <c r="L515" t="n">
        <v>0</v>
      </c>
      <c r="M515" t="n">
        <v>0</v>
      </c>
      <c r="N515" t="n">
        <v>0</v>
      </c>
      <c r="O515" t="n">
        <v>0</v>
      </c>
      <c r="P515" t="n">
        <v>0</v>
      </c>
      <c r="Q515" t="n">
        <v>0</v>
      </c>
      <c r="R515" s="2" t="inlineStr"/>
    </row>
    <row r="516" ht="15" customHeight="1">
      <c r="A516" t="inlineStr">
        <is>
          <t>A 56852-2025</t>
        </is>
      </c>
      <c r="B516" s="1" t="n">
        <v>45978</v>
      </c>
      <c r="C516" s="1" t="n">
        <v>46088</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57143-2025</t>
        </is>
      </c>
      <c r="B517" s="1" t="n">
        <v>45978</v>
      </c>
      <c r="C517" s="1" t="n">
        <v>46088</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14216-2025</t>
        </is>
      </c>
      <c r="B518" s="1" t="n">
        <v>45740</v>
      </c>
      <c r="C518" s="1" t="n">
        <v>46088</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46088</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11294-2024</t>
        </is>
      </c>
      <c r="B520" s="1" t="n">
        <v>45371</v>
      </c>
      <c r="C520" s="1" t="n">
        <v>46088</v>
      </c>
      <c r="D520" t="inlineStr">
        <is>
          <t>NORRBOTTENS LÄN</t>
        </is>
      </c>
      <c r="E520" t="inlineStr">
        <is>
          <t>LULEÅ</t>
        </is>
      </c>
      <c r="G520" t="n">
        <v>0.4</v>
      </c>
      <c r="H520" t="n">
        <v>0</v>
      </c>
      <c r="I520" t="n">
        <v>0</v>
      </c>
      <c r="J520" t="n">
        <v>0</v>
      </c>
      <c r="K520" t="n">
        <v>0</v>
      </c>
      <c r="L520" t="n">
        <v>0</v>
      </c>
      <c r="M520" t="n">
        <v>0</v>
      </c>
      <c r="N520" t="n">
        <v>0</v>
      </c>
      <c r="O520" t="n">
        <v>0</v>
      </c>
      <c r="P520" t="n">
        <v>0</v>
      </c>
      <c r="Q520" t="n">
        <v>0</v>
      </c>
      <c r="R520" s="2" t="inlineStr"/>
    </row>
    <row r="521" ht="15" customHeight="1">
      <c r="A521" t="inlineStr">
        <is>
          <t>A 57723-2025</t>
        </is>
      </c>
      <c r="B521" s="1" t="n">
        <v>45981.49033564814</v>
      </c>
      <c r="C521" s="1" t="n">
        <v>46088</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57751-2025</t>
        </is>
      </c>
      <c r="B522" s="1" t="n">
        <v>45981.54108796296</v>
      </c>
      <c r="C522" s="1" t="n">
        <v>46088</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60584-2024</t>
        </is>
      </c>
      <c r="B523" s="1" t="n">
        <v>45644.34611111111</v>
      </c>
      <c r="C523" s="1" t="n">
        <v>46088</v>
      </c>
      <c r="D523" t="inlineStr">
        <is>
          <t>NORRBOTTENS LÄN</t>
        </is>
      </c>
      <c r="E523" t="inlineStr">
        <is>
          <t>LULEÅ</t>
        </is>
      </c>
      <c r="G523" t="n">
        <v>0.6</v>
      </c>
      <c r="H523" t="n">
        <v>0</v>
      </c>
      <c r="I523" t="n">
        <v>0</v>
      </c>
      <c r="J523" t="n">
        <v>0</v>
      </c>
      <c r="K523" t="n">
        <v>0</v>
      </c>
      <c r="L523" t="n">
        <v>0</v>
      </c>
      <c r="M523" t="n">
        <v>0</v>
      </c>
      <c r="N523" t="n">
        <v>0</v>
      </c>
      <c r="O523" t="n">
        <v>0</v>
      </c>
      <c r="P523" t="n">
        <v>0</v>
      </c>
      <c r="Q523" t="n">
        <v>0</v>
      </c>
      <c r="R523" s="2" t="inlineStr"/>
    </row>
    <row r="524" ht="15" customHeight="1">
      <c r="A524" t="inlineStr">
        <is>
          <t>A 2539-2026</t>
        </is>
      </c>
      <c r="B524" s="1" t="n">
        <v>46037.45152777778</v>
      </c>
      <c r="C524" s="1" t="n">
        <v>46088</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12782-2023</t>
        </is>
      </c>
      <c r="B525" s="1" t="n">
        <v>45000</v>
      </c>
      <c r="C525" s="1" t="n">
        <v>46088</v>
      </c>
      <c r="D525" t="inlineStr">
        <is>
          <t>NORRBOTTENS LÄN</t>
        </is>
      </c>
      <c r="E525" t="inlineStr">
        <is>
          <t>LULEÅ</t>
        </is>
      </c>
      <c r="G525" t="n">
        <v>2.8</v>
      </c>
      <c r="H525" t="n">
        <v>0</v>
      </c>
      <c r="I525" t="n">
        <v>0</v>
      </c>
      <c r="J525" t="n">
        <v>0</v>
      </c>
      <c r="K525" t="n">
        <v>0</v>
      </c>
      <c r="L525" t="n">
        <v>0</v>
      </c>
      <c r="M525" t="n">
        <v>0</v>
      </c>
      <c r="N525" t="n">
        <v>0</v>
      </c>
      <c r="O525" t="n">
        <v>0</v>
      </c>
      <c r="P525" t="n">
        <v>0</v>
      </c>
      <c r="Q525" t="n">
        <v>0</v>
      </c>
      <c r="R525" s="2" t="inlineStr"/>
    </row>
    <row r="526" ht="15" customHeight="1">
      <c r="A526" t="inlineStr">
        <is>
          <t>A 58049-2025</t>
        </is>
      </c>
      <c r="B526" s="1" t="n">
        <v>45982.51090277778</v>
      </c>
      <c r="C526" s="1" t="n">
        <v>46088</v>
      </c>
      <c r="D526" t="inlineStr">
        <is>
          <t>NORRBOTTENS LÄN</t>
        </is>
      </c>
      <c r="E526" t="inlineStr">
        <is>
          <t>LULEÅ</t>
        </is>
      </c>
      <c r="G526" t="n">
        <v>4.4</v>
      </c>
      <c r="H526" t="n">
        <v>0</v>
      </c>
      <c r="I526" t="n">
        <v>0</v>
      </c>
      <c r="J526" t="n">
        <v>0</v>
      </c>
      <c r="K526" t="n">
        <v>0</v>
      </c>
      <c r="L526" t="n">
        <v>0</v>
      </c>
      <c r="M526" t="n">
        <v>0</v>
      </c>
      <c r="N526" t="n">
        <v>0</v>
      </c>
      <c r="O526" t="n">
        <v>0</v>
      </c>
      <c r="P526" t="n">
        <v>0</v>
      </c>
      <c r="Q526" t="n">
        <v>0</v>
      </c>
      <c r="R526" s="2" t="inlineStr"/>
    </row>
    <row r="527" ht="15" customHeight="1">
      <c r="A527" t="inlineStr">
        <is>
          <t>A 57518-2024</t>
        </is>
      </c>
      <c r="B527" s="1" t="n">
        <v>45629</v>
      </c>
      <c r="C527" s="1" t="n">
        <v>46088</v>
      </c>
      <c r="D527" t="inlineStr">
        <is>
          <t>NORRBOTTENS LÄN</t>
        </is>
      </c>
      <c r="E527" t="inlineStr">
        <is>
          <t>LULEÅ</t>
        </is>
      </c>
      <c r="G527" t="n">
        <v>3.4</v>
      </c>
      <c r="H527" t="n">
        <v>0</v>
      </c>
      <c r="I527" t="n">
        <v>0</v>
      </c>
      <c r="J527" t="n">
        <v>0</v>
      </c>
      <c r="K527" t="n">
        <v>0</v>
      </c>
      <c r="L527" t="n">
        <v>0</v>
      </c>
      <c r="M527" t="n">
        <v>0</v>
      </c>
      <c r="N527" t="n">
        <v>0</v>
      </c>
      <c r="O527" t="n">
        <v>0</v>
      </c>
      <c r="P527" t="n">
        <v>0</v>
      </c>
      <c r="Q527" t="n">
        <v>0</v>
      </c>
      <c r="R527" s="2" t="inlineStr"/>
    </row>
    <row r="528" ht="15" customHeight="1">
      <c r="A528" t="inlineStr">
        <is>
          <t>A 433-2022</t>
        </is>
      </c>
      <c r="B528" s="1" t="n">
        <v>44565.92903935185</v>
      </c>
      <c r="C528" s="1" t="n">
        <v>46088</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61488-2024</t>
        </is>
      </c>
      <c r="B529" s="1" t="n">
        <v>45646.54873842592</v>
      </c>
      <c r="C529" s="1" t="n">
        <v>46088</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59239-2025</t>
        </is>
      </c>
      <c r="B530" s="1" t="n">
        <v>45988.63575231482</v>
      </c>
      <c r="C530" s="1" t="n">
        <v>46088</v>
      </c>
      <c r="D530" t="inlineStr">
        <is>
          <t>NORRBOTTENS LÄN</t>
        </is>
      </c>
      <c r="E530" t="inlineStr">
        <is>
          <t>LULEÅ</t>
        </is>
      </c>
      <c r="G530" t="n">
        <v>5.3</v>
      </c>
      <c r="H530" t="n">
        <v>0</v>
      </c>
      <c r="I530" t="n">
        <v>0</v>
      </c>
      <c r="J530" t="n">
        <v>0</v>
      </c>
      <c r="K530" t="n">
        <v>0</v>
      </c>
      <c r="L530" t="n">
        <v>0</v>
      </c>
      <c r="M530" t="n">
        <v>0</v>
      </c>
      <c r="N530" t="n">
        <v>0</v>
      </c>
      <c r="O530" t="n">
        <v>0</v>
      </c>
      <c r="P530" t="n">
        <v>0</v>
      </c>
      <c r="Q530" t="n">
        <v>0</v>
      </c>
      <c r="R530" s="2" t="inlineStr"/>
    </row>
    <row r="531" ht="15" customHeight="1">
      <c r="A531" t="inlineStr">
        <is>
          <t>A 59437-2025</t>
        </is>
      </c>
      <c r="B531" s="1" t="n">
        <v>45989.556875</v>
      </c>
      <c r="C531" s="1" t="n">
        <v>46088</v>
      </c>
      <c r="D531" t="inlineStr">
        <is>
          <t>NORRBOTTENS LÄN</t>
        </is>
      </c>
      <c r="E531" t="inlineStr">
        <is>
          <t>LULEÅ</t>
        </is>
      </c>
      <c r="G531" t="n">
        <v>1.9</v>
      </c>
      <c r="H531" t="n">
        <v>0</v>
      </c>
      <c r="I531" t="n">
        <v>0</v>
      </c>
      <c r="J531" t="n">
        <v>0</v>
      </c>
      <c r="K531" t="n">
        <v>0</v>
      </c>
      <c r="L531" t="n">
        <v>0</v>
      </c>
      <c r="M531" t="n">
        <v>0</v>
      </c>
      <c r="N531" t="n">
        <v>0</v>
      </c>
      <c r="O531" t="n">
        <v>0</v>
      </c>
      <c r="P531" t="n">
        <v>0</v>
      </c>
      <c r="Q531" t="n">
        <v>0</v>
      </c>
      <c r="R531" s="2" t="inlineStr"/>
    </row>
    <row r="532" ht="15" customHeight="1">
      <c r="A532" t="inlineStr">
        <is>
          <t>A 8204-2025</t>
        </is>
      </c>
      <c r="B532" s="1" t="n">
        <v>45708</v>
      </c>
      <c r="C532" s="1" t="n">
        <v>46088</v>
      </c>
      <c r="D532" t="inlineStr">
        <is>
          <t>NORRBOTTENS LÄN</t>
        </is>
      </c>
      <c r="E532" t="inlineStr">
        <is>
          <t>LULEÅ</t>
        </is>
      </c>
      <c r="G532" t="n">
        <v>10.7</v>
      </c>
      <c r="H532" t="n">
        <v>0</v>
      </c>
      <c r="I532" t="n">
        <v>0</v>
      </c>
      <c r="J532" t="n">
        <v>0</v>
      </c>
      <c r="K532" t="n">
        <v>0</v>
      </c>
      <c r="L532" t="n">
        <v>0</v>
      </c>
      <c r="M532" t="n">
        <v>0</v>
      </c>
      <c r="N532" t="n">
        <v>0</v>
      </c>
      <c r="O532" t="n">
        <v>0</v>
      </c>
      <c r="P532" t="n">
        <v>0</v>
      </c>
      <c r="Q532" t="n">
        <v>0</v>
      </c>
      <c r="R532" s="2" t="inlineStr"/>
    </row>
    <row r="533" ht="15" customHeight="1">
      <c r="A533" t="inlineStr">
        <is>
          <t>A 59514-2025</t>
        </is>
      </c>
      <c r="B533" s="1" t="n">
        <v>45989.64967592592</v>
      </c>
      <c r="C533" s="1" t="n">
        <v>46088</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8764-2025</t>
        </is>
      </c>
      <c r="B534" s="1" t="n">
        <v>45712.58021990741</v>
      </c>
      <c r="C534" s="1" t="n">
        <v>46088</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2547-2026</t>
        </is>
      </c>
      <c r="B535" s="1" t="n">
        <v>46037.46954861111</v>
      </c>
      <c r="C535" s="1" t="n">
        <v>46088</v>
      </c>
      <c r="D535" t="inlineStr">
        <is>
          <t>NORRBOTTENS LÄN</t>
        </is>
      </c>
      <c r="E535" t="inlineStr">
        <is>
          <t>LULEÅ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2567-2026</t>
        </is>
      </c>
      <c r="B536" s="1" t="n">
        <v>46037.49084490741</v>
      </c>
      <c r="C536" s="1" t="n">
        <v>46088</v>
      </c>
      <c r="D536" t="inlineStr">
        <is>
          <t>NORRBOTTENS LÄN</t>
        </is>
      </c>
      <c r="E536" t="inlineStr">
        <is>
          <t>LULEÅ</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59502-2025</t>
        </is>
      </c>
      <c r="B537" s="1" t="n">
        <v>45989</v>
      </c>
      <c r="C537" s="1" t="n">
        <v>46088</v>
      </c>
      <c r="D537" t="inlineStr">
        <is>
          <t>NORRBOTTENS LÄN</t>
        </is>
      </c>
      <c r="E537" t="inlineStr">
        <is>
          <t>LULEÅ</t>
        </is>
      </c>
      <c r="G537" t="n">
        <v>1.9</v>
      </c>
      <c r="H537" t="n">
        <v>0</v>
      </c>
      <c r="I537" t="n">
        <v>0</v>
      </c>
      <c r="J537" t="n">
        <v>0</v>
      </c>
      <c r="K537" t="n">
        <v>0</v>
      </c>
      <c r="L537" t="n">
        <v>0</v>
      </c>
      <c r="M537" t="n">
        <v>0</v>
      </c>
      <c r="N537" t="n">
        <v>0</v>
      </c>
      <c r="O537" t="n">
        <v>0</v>
      </c>
      <c r="P537" t="n">
        <v>0</v>
      </c>
      <c r="Q537" t="n">
        <v>0</v>
      </c>
      <c r="R537" s="2" t="inlineStr"/>
    </row>
    <row r="538" ht="15" customHeight="1">
      <c r="A538" t="inlineStr">
        <is>
          <t>A 60001-2025</t>
        </is>
      </c>
      <c r="B538" s="1" t="n">
        <v>45992</v>
      </c>
      <c r="C538" s="1" t="n">
        <v>46088</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52400-2023</t>
        </is>
      </c>
      <c r="B539" s="1" t="n">
        <v>45224</v>
      </c>
      <c r="C539" s="1" t="n">
        <v>46088</v>
      </c>
      <c r="D539" t="inlineStr">
        <is>
          <t>NORRBOTTENS LÄN</t>
        </is>
      </c>
      <c r="E539" t="inlineStr">
        <is>
          <t>LULEÅ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53185-2022</t>
        </is>
      </c>
      <c r="B540" s="1" t="n">
        <v>44876.57346064815</v>
      </c>
      <c r="C540" s="1" t="n">
        <v>46088</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59731-2025</t>
        </is>
      </c>
      <c r="B541" s="1" t="n">
        <v>45992.56959490741</v>
      </c>
      <c r="C541" s="1" t="n">
        <v>46088</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59599-2025</t>
        </is>
      </c>
      <c r="B542" s="1" t="n">
        <v>45992</v>
      </c>
      <c r="C542" s="1" t="n">
        <v>46088</v>
      </c>
      <c r="D542" t="inlineStr">
        <is>
          <t>NORRBOTTENS LÄN</t>
        </is>
      </c>
      <c r="E542" t="inlineStr">
        <is>
          <t>LULEÅ</t>
        </is>
      </c>
      <c r="G542" t="n">
        <v>5</v>
      </c>
      <c r="H542" t="n">
        <v>0</v>
      </c>
      <c r="I542" t="n">
        <v>0</v>
      </c>
      <c r="J542" t="n">
        <v>0</v>
      </c>
      <c r="K542" t="n">
        <v>0</v>
      </c>
      <c r="L542" t="n">
        <v>0</v>
      </c>
      <c r="M542" t="n">
        <v>0</v>
      </c>
      <c r="N542" t="n">
        <v>0</v>
      </c>
      <c r="O542" t="n">
        <v>0</v>
      </c>
      <c r="P542" t="n">
        <v>0</v>
      </c>
      <c r="Q542" t="n">
        <v>0</v>
      </c>
      <c r="R542" s="2" t="inlineStr"/>
    </row>
    <row r="543" ht="15" customHeight="1">
      <c r="A543" t="inlineStr">
        <is>
          <t>A 59671-2025</t>
        </is>
      </c>
      <c r="B543" s="1" t="n">
        <v>45992.45798611111</v>
      </c>
      <c r="C543" s="1" t="n">
        <v>46088</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59616-2025</t>
        </is>
      </c>
      <c r="B544" s="1" t="n">
        <v>45992</v>
      </c>
      <c r="C544" s="1" t="n">
        <v>46088</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14187-2025</t>
        </is>
      </c>
      <c r="B545" s="1" t="n">
        <v>45740</v>
      </c>
      <c r="C545" s="1" t="n">
        <v>46088</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14193-2025</t>
        </is>
      </c>
      <c r="B546" s="1" t="n">
        <v>45740</v>
      </c>
      <c r="C546" s="1" t="n">
        <v>46088</v>
      </c>
      <c r="D546" t="inlineStr">
        <is>
          <t>NORRBOTTENS LÄN</t>
        </is>
      </c>
      <c r="E546" t="inlineStr">
        <is>
          <t>LULEÅ</t>
        </is>
      </c>
      <c r="G546" t="n">
        <v>0.9</v>
      </c>
      <c r="H546" t="n">
        <v>0</v>
      </c>
      <c r="I546" t="n">
        <v>0</v>
      </c>
      <c r="J546" t="n">
        <v>0</v>
      </c>
      <c r="K546" t="n">
        <v>0</v>
      </c>
      <c r="L546" t="n">
        <v>0</v>
      </c>
      <c r="M546" t="n">
        <v>0</v>
      </c>
      <c r="N546" t="n">
        <v>0</v>
      </c>
      <c r="O546" t="n">
        <v>0</v>
      </c>
      <c r="P546" t="n">
        <v>0</v>
      </c>
      <c r="Q546" t="n">
        <v>0</v>
      </c>
      <c r="R546" s="2" t="inlineStr"/>
    </row>
    <row r="547" ht="15" customHeight="1">
      <c r="A547" t="inlineStr">
        <is>
          <t>A 14195-2025</t>
        </is>
      </c>
      <c r="B547" s="1" t="n">
        <v>45740</v>
      </c>
      <c r="C547" s="1" t="n">
        <v>46088</v>
      </c>
      <c r="D547" t="inlineStr">
        <is>
          <t>NORRBOTTENS LÄN</t>
        </is>
      </c>
      <c r="E547" t="inlineStr">
        <is>
          <t>LULEÅ</t>
        </is>
      </c>
      <c r="G547" t="n">
        <v>0.8</v>
      </c>
      <c r="H547" t="n">
        <v>0</v>
      </c>
      <c r="I547" t="n">
        <v>0</v>
      </c>
      <c r="J547" t="n">
        <v>0</v>
      </c>
      <c r="K547" t="n">
        <v>0</v>
      </c>
      <c r="L547" t="n">
        <v>0</v>
      </c>
      <c r="M547" t="n">
        <v>0</v>
      </c>
      <c r="N547" t="n">
        <v>0</v>
      </c>
      <c r="O547" t="n">
        <v>0</v>
      </c>
      <c r="P547" t="n">
        <v>0</v>
      </c>
      <c r="Q547" t="n">
        <v>0</v>
      </c>
      <c r="R547" s="2" t="inlineStr"/>
    </row>
    <row r="548" ht="15" customHeight="1">
      <c r="A548" t="inlineStr">
        <is>
          <t>A 12549-2024</t>
        </is>
      </c>
      <c r="B548" s="1" t="n">
        <v>45379</v>
      </c>
      <c r="C548" s="1" t="n">
        <v>46088</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46088</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11049-2026</t>
        </is>
      </c>
      <c r="B550" s="1" t="n">
        <v>46079.58974537037</v>
      </c>
      <c r="C550" s="1" t="n">
        <v>46088</v>
      </c>
      <c r="D550" t="inlineStr">
        <is>
          <t>NORRBOTTENS LÄN</t>
        </is>
      </c>
      <c r="E550" t="inlineStr">
        <is>
          <t>LULEÅ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59586-2025</t>
        </is>
      </c>
      <c r="B551" s="1" t="n">
        <v>45992</v>
      </c>
      <c r="C551" s="1" t="n">
        <v>46088</v>
      </c>
      <c r="D551" t="inlineStr">
        <is>
          <t>NORRBOTTENS LÄN</t>
        </is>
      </c>
      <c r="E551" t="inlineStr">
        <is>
          <t>LULEÅ</t>
        </is>
      </c>
      <c r="G551" t="n">
        <v>3.4</v>
      </c>
      <c r="H551" t="n">
        <v>0</v>
      </c>
      <c r="I551" t="n">
        <v>0</v>
      </c>
      <c r="J551" t="n">
        <v>0</v>
      </c>
      <c r="K551" t="n">
        <v>0</v>
      </c>
      <c r="L551" t="n">
        <v>0</v>
      </c>
      <c r="M551" t="n">
        <v>0</v>
      </c>
      <c r="N551" t="n">
        <v>0</v>
      </c>
      <c r="O551" t="n">
        <v>0</v>
      </c>
      <c r="P551" t="n">
        <v>0</v>
      </c>
      <c r="Q551" t="n">
        <v>0</v>
      </c>
      <c r="R551" s="2" t="inlineStr"/>
    </row>
    <row r="552" ht="15" customHeight="1">
      <c r="A552" t="inlineStr">
        <is>
          <t>A 60245-2025</t>
        </is>
      </c>
      <c r="B552" s="1" t="n">
        <v>45993</v>
      </c>
      <c r="C552" s="1" t="n">
        <v>46088</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44005-2024</t>
        </is>
      </c>
      <c r="B553" s="1" t="n">
        <v>45572.54814814815</v>
      </c>
      <c r="C553" s="1" t="n">
        <v>46088</v>
      </c>
      <c r="D553" t="inlineStr">
        <is>
          <t>NORRBOTTENS LÄN</t>
        </is>
      </c>
      <c r="E553" t="inlineStr">
        <is>
          <t>LULEÅ</t>
        </is>
      </c>
      <c r="G553" t="n">
        <v>14.8</v>
      </c>
      <c r="H553" t="n">
        <v>0</v>
      </c>
      <c r="I553" t="n">
        <v>0</v>
      </c>
      <c r="J553" t="n">
        <v>0</v>
      </c>
      <c r="K553" t="n">
        <v>0</v>
      </c>
      <c r="L553" t="n">
        <v>0</v>
      </c>
      <c r="M553" t="n">
        <v>0</v>
      </c>
      <c r="N553" t="n">
        <v>0</v>
      </c>
      <c r="O553" t="n">
        <v>0</v>
      </c>
      <c r="P553" t="n">
        <v>0</v>
      </c>
      <c r="Q553" t="n">
        <v>0</v>
      </c>
      <c r="R553" s="2" t="inlineStr"/>
    </row>
    <row r="554" ht="15" customHeight="1">
      <c r="A554" t="inlineStr">
        <is>
          <t>A 60056-2025</t>
        </is>
      </c>
      <c r="B554" s="1" t="n">
        <v>45993</v>
      </c>
      <c r="C554" s="1" t="n">
        <v>46088</v>
      </c>
      <c r="D554" t="inlineStr">
        <is>
          <t>NORRBOTTENS LÄN</t>
        </is>
      </c>
      <c r="E554" t="inlineStr">
        <is>
          <t>LULEÅ</t>
        </is>
      </c>
      <c r="G554" t="n">
        <v>2.2</v>
      </c>
      <c r="H554" t="n">
        <v>0</v>
      </c>
      <c r="I554" t="n">
        <v>0</v>
      </c>
      <c r="J554" t="n">
        <v>0</v>
      </c>
      <c r="K554" t="n">
        <v>0</v>
      </c>
      <c r="L554" t="n">
        <v>0</v>
      </c>
      <c r="M554" t="n">
        <v>0</v>
      </c>
      <c r="N554" t="n">
        <v>0</v>
      </c>
      <c r="O554" t="n">
        <v>0</v>
      </c>
      <c r="P554" t="n">
        <v>0</v>
      </c>
      <c r="Q554" t="n">
        <v>0</v>
      </c>
      <c r="R554" s="2" t="inlineStr"/>
    </row>
    <row r="555" ht="15" customHeight="1">
      <c r="A555" t="inlineStr">
        <is>
          <t>A 59554-2025</t>
        </is>
      </c>
      <c r="B555" s="1" t="n">
        <v>45990.65666666667</v>
      </c>
      <c r="C555" s="1" t="n">
        <v>46088</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39816-2024</t>
        </is>
      </c>
      <c r="B556" s="1" t="n">
        <v>45553.3859837963</v>
      </c>
      <c r="C556" s="1" t="n">
        <v>46088</v>
      </c>
      <c r="D556" t="inlineStr">
        <is>
          <t>NORRBOTTENS LÄN</t>
        </is>
      </c>
      <c r="E556" t="inlineStr">
        <is>
          <t>LULEÅ</t>
        </is>
      </c>
      <c r="F556" t="inlineStr">
        <is>
          <t>Naturvårdsverket</t>
        </is>
      </c>
      <c r="G556" t="n">
        <v>11.1</v>
      </c>
      <c r="H556" t="n">
        <v>0</v>
      </c>
      <c r="I556" t="n">
        <v>0</v>
      </c>
      <c r="J556" t="n">
        <v>0</v>
      </c>
      <c r="K556" t="n">
        <v>0</v>
      </c>
      <c r="L556" t="n">
        <v>0</v>
      </c>
      <c r="M556" t="n">
        <v>0</v>
      </c>
      <c r="N556" t="n">
        <v>0</v>
      </c>
      <c r="O556" t="n">
        <v>0</v>
      </c>
      <c r="P556" t="n">
        <v>0</v>
      </c>
      <c r="Q556" t="n">
        <v>0</v>
      </c>
      <c r="R556" s="2" t="inlineStr"/>
    </row>
    <row r="557" ht="15" customHeight="1">
      <c r="A557" t="inlineStr">
        <is>
          <t>A 59660-2025</t>
        </is>
      </c>
      <c r="B557" s="1" t="n">
        <v>45992.44833333333</v>
      </c>
      <c r="C557" s="1" t="n">
        <v>46088</v>
      </c>
      <c r="D557" t="inlineStr">
        <is>
          <t>NORRBOTTENS LÄN</t>
        </is>
      </c>
      <c r="E557" t="inlineStr">
        <is>
          <t>LULEÅ</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38358-2023</t>
        </is>
      </c>
      <c r="B558" s="1" t="n">
        <v>45161.94293981481</v>
      </c>
      <c r="C558" s="1" t="n">
        <v>46088</v>
      </c>
      <c r="D558" t="inlineStr">
        <is>
          <t>NORRBOTTENS LÄN</t>
        </is>
      </c>
      <c r="E558" t="inlineStr">
        <is>
          <t>LULEÅ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59605-2025</t>
        </is>
      </c>
      <c r="B559" s="1" t="n">
        <v>45992</v>
      </c>
      <c r="C559" s="1" t="n">
        <v>46088</v>
      </c>
      <c r="D559" t="inlineStr">
        <is>
          <t>NORRBOTTENS LÄN</t>
        </is>
      </c>
      <c r="E559" t="inlineStr">
        <is>
          <t>LULEÅ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59596-2025</t>
        </is>
      </c>
      <c r="B560" s="1" t="n">
        <v>45992</v>
      </c>
      <c r="C560" s="1" t="n">
        <v>46088</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58760-2023</t>
        </is>
      </c>
      <c r="B561" s="1" t="n">
        <v>45251</v>
      </c>
      <c r="C561" s="1" t="n">
        <v>46088</v>
      </c>
      <c r="D561" t="inlineStr">
        <is>
          <t>NORRBOTTENS LÄN</t>
        </is>
      </c>
      <c r="E561" t="inlineStr">
        <is>
          <t>LULEÅ</t>
        </is>
      </c>
      <c r="G561" t="n">
        <v>5.4</v>
      </c>
      <c r="H561" t="n">
        <v>0</v>
      </c>
      <c r="I561" t="n">
        <v>0</v>
      </c>
      <c r="J561" t="n">
        <v>0</v>
      </c>
      <c r="K561" t="n">
        <v>0</v>
      </c>
      <c r="L561" t="n">
        <v>0</v>
      </c>
      <c r="M561" t="n">
        <v>0</v>
      </c>
      <c r="N561" t="n">
        <v>0</v>
      </c>
      <c r="O561" t="n">
        <v>0</v>
      </c>
      <c r="P561" t="n">
        <v>0</v>
      </c>
      <c r="Q561" t="n">
        <v>0</v>
      </c>
      <c r="R561" s="2" t="inlineStr"/>
    </row>
    <row r="562" ht="15" customHeight="1">
      <c r="A562" t="inlineStr">
        <is>
          <t>A 59670-2025</t>
        </is>
      </c>
      <c r="B562" s="1" t="n">
        <v>45992.45686342593</v>
      </c>
      <c r="C562" s="1" t="n">
        <v>46088</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8816-2023</t>
        </is>
      </c>
      <c r="B563" s="1" t="n">
        <v>44973</v>
      </c>
      <c r="C563" s="1" t="n">
        <v>46088</v>
      </c>
      <c r="D563" t="inlineStr">
        <is>
          <t>NORRBOTTENS LÄN</t>
        </is>
      </c>
      <c r="E563" t="inlineStr">
        <is>
          <t>LULEÅ</t>
        </is>
      </c>
      <c r="G563" t="n">
        <v>7.4</v>
      </c>
      <c r="H563" t="n">
        <v>0</v>
      </c>
      <c r="I563" t="n">
        <v>0</v>
      </c>
      <c r="J563" t="n">
        <v>0</v>
      </c>
      <c r="K563" t="n">
        <v>0</v>
      </c>
      <c r="L563" t="n">
        <v>0</v>
      </c>
      <c r="M563" t="n">
        <v>0</v>
      </c>
      <c r="N563" t="n">
        <v>0</v>
      </c>
      <c r="O563" t="n">
        <v>0</v>
      </c>
      <c r="P563" t="n">
        <v>0</v>
      </c>
      <c r="Q563" t="n">
        <v>0</v>
      </c>
      <c r="R563" s="2" t="inlineStr"/>
    </row>
    <row r="564" ht="15" customHeight="1">
      <c r="A564" t="inlineStr">
        <is>
          <t>A 8068-2023</t>
        </is>
      </c>
      <c r="B564" s="1" t="n">
        <v>44974.36233796296</v>
      </c>
      <c r="C564" s="1" t="n">
        <v>46088</v>
      </c>
      <c r="D564" t="inlineStr">
        <is>
          <t>NORRBOTTENS LÄN</t>
        </is>
      </c>
      <c r="E564" t="inlineStr">
        <is>
          <t>LULEÅ</t>
        </is>
      </c>
      <c r="G564" t="n">
        <v>5.4</v>
      </c>
      <c r="H564" t="n">
        <v>0</v>
      </c>
      <c r="I564" t="n">
        <v>0</v>
      </c>
      <c r="J564" t="n">
        <v>0</v>
      </c>
      <c r="K564" t="n">
        <v>0</v>
      </c>
      <c r="L564" t="n">
        <v>0</v>
      </c>
      <c r="M564" t="n">
        <v>0</v>
      </c>
      <c r="N564" t="n">
        <v>0</v>
      </c>
      <c r="O564" t="n">
        <v>0</v>
      </c>
      <c r="P564" t="n">
        <v>0</v>
      </c>
      <c r="Q564" t="n">
        <v>0</v>
      </c>
      <c r="R564" s="2" t="inlineStr"/>
    </row>
    <row r="565" ht="15" customHeight="1">
      <c r="A565" t="inlineStr">
        <is>
          <t>A 60732-2025</t>
        </is>
      </c>
      <c r="B565" s="1" t="n">
        <v>45995</v>
      </c>
      <c r="C565" s="1" t="n">
        <v>46088</v>
      </c>
      <c r="D565" t="inlineStr">
        <is>
          <t>NORRBOTTENS LÄN</t>
        </is>
      </c>
      <c r="E565" t="inlineStr">
        <is>
          <t>LULEÅ</t>
        </is>
      </c>
      <c r="G565" t="n">
        <v>5.4</v>
      </c>
      <c r="H565" t="n">
        <v>0</v>
      </c>
      <c r="I565" t="n">
        <v>0</v>
      </c>
      <c r="J565" t="n">
        <v>0</v>
      </c>
      <c r="K565" t="n">
        <v>0</v>
      </c>
      <c r="L565" t="n">
        <v>0</v>
      </c>
      <c r="M565" t="n">
        <v>0</v>
      </c>
      <c r="N565" t="n">
        <v>0</v>
      </c>
      <c r="O565" t="n">
        <v>0</v>
      </c>
      <c r="P565" t="n">
        <v>0</v>
      </c>
      <c r="Q565" t="n">
        <v>0</v>
      </c>
      <c r="R565" s="2" t="inlineStr"/>
    </row>
    <row r="566" ht="15" customHeight="1">
      <c r="A566" t="inlineStr">
        <is>
          <t>A 60369-2025</t>
        </is>
      </c>
      <c r="B566" s="1" t="n">
        <v>45995.34258101852</v>
      </c>
      <c r="C566" s="1" t="n">
        <v>46088</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12602-2024</t>
        </is>
      </c>
      <c r="B567" s="1" t="n">
        <v>45381</v>
      </c>
      <c r="C567" s="1" t="n">
        <v>46088</v>
      </c>
      <c r="D567" t="inlineStr">
        <is>
          <t>NORRBOTTENS LÄN</t>
        </is>
      </c>
      <c r="E567" t="inlineStr">
        <is>
          <t>LULEÅ</t>
        </is>
      </c>
      <c r="G567" t="n">
        <v>5.6</v>
      </c>
      <c r="H567" t="n">
        <v>0</v>
      </c>
      <c r="I567" t="n">
        <v>0</v>
      </c>
      <c r="J567" t="n">
        <v>0</v>
      </c>
      <c r="K567" t="n">
        <v>0</v>
      </c>
      <c r="L567" t="n">
        <v>0</v>
      </c>
      <c r="M567" t="n">
        <v>0</v>
      </c>
      <c r="N567" t="n">
        <v>0</v>
      </c>
      <c r="O567" t="n">
        <v>0</v>
      </c>
      <c r="P567" t="n">
        <v>0</v>
      </c>
      <c r="Q567" t="n">
        <v>0</v>
      </c>
      <c r="R567" s="2" t="inlineStr"/>
    </row>
    <row r="568" ht="15" customHeight="1">
      <c r="A568" t="inlineStr">
        <is>
          <t>A 11298-2026</t>
        </is>
      </c>
      <c r="B568" s="1" t="n">
        <v>46080.62799768519</v>
      </c>
      <c r="C568" s="1" t="n">
        <v>46088</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60690-2025</t>
        </is>
      </c>
      <c r="B569" s="1" t="n">
        <v>45996</v>
      </c>
      <c r="C569" s="1" t="n">
        <v>46088</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61146-2025</t>
        </is>
      </c>
      <c r="B570" s="1" t="n">
        <v>45999</v>
      </c>
      <c r="C570" s="1" t="n">
        <v>46088</v>
      </c>
      <c r="D570" t="inlineStr">
        <is>
          <t>NORRBOTTENS LÄN</t>
        </is>
      </c>
      <c r="E570" t="inlineStr">
        <is>
          <t>LULEÅ</t>
        </is>
      </c>
      <c r="G570" t="n">
        <v>2</v>
      </c>
      <c r="H570" t="n">
        <v>0</v>
      </c>
      <c r="I570" t="n">
        <v>0</v>
      </c>
      <c r="J570" t="n">
        <v>0</v>
      </c>
      <c r="K570" t="n">
        <v>0</v>
      </c>
      <c r="L570" t="n">
        <v>0</v>
      </c>
      <c r="M570" t="n">
        <v>0</v>
      </c>
      <c r="N570" t="n">
        <v>0</v>
      </c>
      <c r="O570" t="n">
        <v>0</v>
      </c>
      <c r="P570" t="n">
        <v>0</v>
      </c>
      <c r="Q570" t="n">
        <v>0</v>
      </c>
      <c r="R570" s="2" t="inlineStr"/>
    </row>
    <row r="571" ht="15" customHeight="1">
      <c r="A571" t="inlineStr">
        <is>
          <t>A 60706-2025</t>
        </is>
      </c>
      <c r="B571" s="1" t="n">
        <v>45996.60962962963</v>
      </c>
      <c r="C571" s="1" t="n">
        <v>46088</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60695-2025</t>
        </is>
      </c>
      <c r="B572" s="1" t="n">
        <v>45996.59778935185</v>
      </c>
      <c r="C572" s="1" t="n">
        <v>46088</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60702-2025</t>
        </is>
      </c>
      <c r="B573" s="1" t="n">
        <v>45996.60475694444</v>
      </c>
      <c r="C573" s="1" t="n">
        <v>46088</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5058-2025</t>
        </is>
      </c>
      <c r="B574" s="1" t="n">
        <v>45691.46903935185</v>
      </c>
      <c r="C574" s="1" t="n">
        <v>46088</v>
      </c>
      <c r="D574" t="inlineStr">
        <is>
          <t>NORRBOTTENS LÄN</t>
        </is>
      </c>
      <c r="E574" t="inlineStr">
        <is>
          <t>LULEÅ</t>
        </is>
      </c>
      <c r="G574" t="n">
        <v>1.2</v>
      </c>
      <c r="H574" t="n">
        <v>0</v>
      </c>
      <c r="I574" t="n">
        <v>0</v>
      </c>
      <c r="J574" t="n">
        <v>0</v>
      </c>
      <c r="K574" t="n">
        <v>0</v>
      </c>
      <c r="L574" t="n">
        <v>0</v>
      </c>
      <c r="M574" t="n">
        <v>0</v>
      </c>
      <c r="N574" t="n">
        <v>0</v>
      </c>
      <c r="O574" t="n">
        <v>0</v>
      </c>
      <c r="P574" t="n">
        <v>0</v>
      </c>
      <c r="Q574" t="n">
        <v>0</v>
      </c>
      <c r="R574" s="2" t="inlineStr"/>
    </row>
    <row r="575" ht="15" customHeight="1">
      <c r="A575" t="inlineStr">
        <is>
          <t>A 62697-2022</t>
        </is>
      </c>
      <c r="B575" s="1" t="n">
        <v>44917</v>
      </c>
      <c r="C575" s="1" t="n">
        <v>46088</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9502-2025</t>
        </is>
      </c>
      <c r="B576" s="1" t="n">
        <v>45714</v>
      </c>
      <c r="C576" s="1" t="n">
        <v>46088</v>
      </c>
      <c r="D576" t="inlineStr">
        <is>
          <t>NORRBOTTENS LÄN</t>
        </is>
      </c>
      <c r="E576" t="inlineStr">
        <is>
          <t>LULEÅ</t>
        </is>
      </c>
      <c r="G576" t="n">
        <v>5.6</v>
      </c>
      <c r="H576" t="n">
        <v>0</v>
      </c>
      <c r="I576" t="n">
        <v>0</v>
      </c>
      <c r="J576" t="n">
        <v>0</v>
      </c>
      <c r="K576" t="n">
        <v>0</v>
      </c>
      <c r="L576" t="n">
        <v>0</v>
      </c>
      <c r="M576" t="n">
        <v>0</v>
      </c>
      <c r="N576" t="n">
        <v>0</v>
      </c>
      <c r="O576" t="n">
        <v>0</v>
      </c>
      <c r="P576" t="n">
        <v>0</v>
      </c>
      <c r="Q576" t="n">
        <v>0</v>
      </c>
      <c r="R576" s="2" t="inlineStr"/>
    </row>
    <row r="577" ht="15" customHeight="1">
      <c r="A577" t="inlineStr">
        <is>
          <t>A 61315-2022</t>
        </is>
      </c>
      <c r="B577" s="1" t="n">
        <v>44909</v>
      </c>
      <c r="C577" s="1" t="n">
        <v>46088</v>
      </c>
      <c r="D577" t="inlineStr">
        <is>
          <t>NORRBOTTENS LÄN</t>
        </is>
      </c>
      <c r="E577" t="inlineStr">
        <is>
          <t>LULEÅ</t>
        </is>
      </c>
      <c r="G577" t="n">
        <v>2.8</v>
      </c>
      <c r="H577" t="n">
        <v>0</v>
      </c>
      <c r="I577" t="n">
        <v>0</v>
      </c>
      <c r="J577" t="n">
        <v>0</v>
      </c>
      <c r="K577" t="n">
        <v>0</v>
      </c>
      <c r="L577" t="n">
        <v>0</v>
      </c>
      <c r="M577" t="n">
        <v>0</v>
      </c>
      <c r="N577" t="n">
        <v>0</v>
      </c>
      <c r="O577" t="n">
        <v>0</v>
      </c>
      <c r="P577" t="n">
        <v>0</v>
      </c>
      <c r="Q577" t="n">
        <v>0</v>
      </c>
      <c r="R577" s="2" t="inlineStr"/>
    </row>
    <row r="578" ht="15" customHeight="1">
      <c r="A578" t="inlineStr">
        <is>
          <t>A 14196-2025</t>
        </is>
      </c>
      <c r="B578" s="1" t="n">
        <v>45740</v>
      </c>
      <c r="C578" s="1" t="n">
        <v>46088</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61104-2025</t>
        </is>
      </c>
      <c r="B579" s="1" t="n">
        <v>46000.44612268519</v>
      </c>
      <c r="C579" s="1" t="n">
        <v>46088</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61272-2025</t>
        </is>
      </c>
      <c r="B580" s="1" t="n">
        <v>46000.6856712963</v>
      </c>
      <c r="C580" s="1" t="n">
        <v>46088</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51655-2023</t>
        </is>
      </c>
      <c r="B581" s="1" t="n">
        <v>45215</v>
      </c>
      <c r="C581" s="1" t="n">
        <v>46088</v>
      </c>
      <c r="D581" t="inlineStr">
        <is>
          <t>NORRBOTTENS LÄN</t>
        </is>
      </c>
      <c r="E581" t="inlineStr">
        <is>
          <t>LULEÅ</t>
        </is>
      </c>
      <c r="G581" t="n">
        <v>7.5</v>
      </c>
      <c r="H581" t="n">
        <v>0</v>
      </c>
      <c r="I581" t="n">
        <v>0</v>
      </c>
      <c r="J581" t="n">
        <v>0</v>
      </c>
      <c r="K581" t="n">
        <v>0</v>
      </c>
      <c r="L581" t="n">
        <v>0</v>
      </c>
      <c r="M581" t="n">
        <v>0</v>
      </c>
      <c r="N581" t="n">
        <v>0</v>
      </c>
      <c r="O581" t="n">
        <v>0</v>
      </c>
      <c r="P581" t="n">
        <v>0</v>
      </c>
      <c r="Q581" t="n">
        <v>0</v>
      </c>
      <c r="R581" s="2" t="inlineStr"/>
    </row>
    <row r="582" ht="15" customHeight="1">
      <c r="A582" t="inlineStr">
        <is>
          <t>A 11288-2026</t>
        </is>
      </c>
      <c r="B582" s="1" t="n">
        <v>46080.60869212963</v>
      </c>
      <c r="C582" s="1" t="n">
        <v>46088</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50632-2021</t>
        </is>
      </c>
      <c r="B583" s="1" t="n">
        <v>44459</v>
      </c>
      <c r="C583" s="1" t="n">
        <v>46088</v>
      </c>
      <c r="D583" t="inlineStr">
        <is>
          <t>NORRBOTTENS LÄN</t>
        </is>
      </c>
      <c r="E583" t="inlineStr">
        <is>
          <t>LULEÅ</t>
        </is>
      </c>
      <c r="G583" t="n">
        <v>3.5</v>
      </c>
      <c r="H583" t="n">
        <v>0</v>
      </c>
      <c r="I583" t="n">
        <v>0</v>
      </c>
      <c r="J583" t="n">
        <v>0</v>
      </c>
      <c r="K583" t="n">
        <v>0</v>
      </c>
      <c r="L583" t="n">
        <v>0</v>
      </c>
      <c r="M583" t="n">
        <v>0</v>
      </c>
      <c r="N583" t="n">
        <v>0</v>
      </c>
      <c r="O583" t="n">
        <v>0</v>
      </c>
      <c r="P583" t="n">
        <v>0</v>
      </c>
      <c r="Q583" t="n">
        <v>0</v>
      </c>
      <c r="R583" s="2" t="inlineStr"/>
    </row>
    <row r="584" ht="15" customHeight="1">
      <c r="A584" t="inlineStr">
        <is>
          <t>A 57911-2023</t>
        </is>
      </c>
      <c r="B584" s="1" t="n">
        <v>45247</v>
      </c>
      <c r="C584" s="1" t="n">
        <v>46088</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61520-2025</t>
        </is>
      </c>
      <c r="B585" s="1" t="n">
        <v>46001.68658564815</v>
      </c>
      <c r="C585" s="1" t="n">
        <v>46088</v>
      </c>
      <c r="D585" t="inlineStr">
        <is>
          <t>NORRBOTTENS LÄN</t>
        </is>
      </c>
      <c r="E585" t="inlineStr">
        <is>
          <t>LULEÅ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3306-2026</t>
        </is>
      </c>
      <c r="B586" s="1" t="n">
        <v>46041.66591435186</v>
      </c>
      <c r="C586" s="1" t="n">
        <v>46088</v>
      </c>
      <c r="D586" t="inlineStr">
        <is>
          <t>NORRBOTTENS LÄN</t>
        </is>
      </c>
      <c r="E586" t="inlineStr">
        <is>
          <t>LULEÅ</t>
        </is>
      </c>
      <c r="G586" t="n">
        <v>4.4</v>
      </c>
      <c r="H586" t="n">
        <v>0</v>
      </c>
      <c r="I586" t="n">
        <v>0</v>
      </c>
      <c r="J586" t="n">
        <v>0</v>
      </c>
      <c r="K586" t="n">
        <v>0</v>
      </c>
      <c r="L586" t="n">
        <v>0</v>
      </c>
      <c r="M586" t="n">
        <v>0</v>
      </c>
      <c r="N586" t="n">
        <v>0</v>
      </c>
      <c r="O586" t="n">
        <v>0</v>
      </c>
      <c r="P586" t="n">
        <v>0</v>
      </c>
      <c r="Q586" t="n">
        <v>0</v>
      </c>
      <c r="R586" s="2" t="inlineStr"/>
    </row>
    <row r="587" ht="15" customHeight="1">
      <c r="A587" t="inlineStr">
        <is>
          <t>A 3304-2026</t>
        </is>
      </c>
      <c r="B587" s="1" t="n">
        <v>46041.66304398148</v>
      </c>
      <c r="C587" s="1" t="n">
        <v>46088</v>
      </c>
      <c r="D587" t="inlineStr">
        <is>
          <t>NORRBOTTENS LÄN</t>
        </is>
      </c>
      <c r="E587" t="inlineStr">
        <is>
          <t>LULEÅ</t>
        </is>
      </c>
      <c r="G587" t="n">
        <v>4.9</v>
      </c>
      <c r="H587" t="n">
        <v>0</v>
      </c>
      <c r="I587" t="n">
        <v>0</v>
      </c>
      <c r="J587" t="n">
        <v>0</v>
      </c>
      <c r="K587" t="n">
        <v>0</v>
      </c>
      <c r="L587" t="n">
        <v>0</v>
      </c>
      <c r="M587" t="n">
        <v>0</v>
      </c>
      <c r="N587" t="n">
        <v>0</v>
      </c>
      <c r="O587" t="n">
        <v>0</v>
      </c>
      <c r="P587" t="n">
        <v>0</v>
      </c>
      <c r="Q587" t="n">
        <v>0</v>
      </c>
      <c r="R587" s="2" t="inlineStr"/>
    </row>
    <row r="588" ht="15" customHeight="1">
      <c r="A588" t="inlineStr">
        <is>
          <t>A 35918-2024</t>
        </is>
      </c>
      <c r="B588" s="1" t="n">
        <v>45533</v>
      </c>
      <c r="C588" s="1" t="n">
        <v>46088</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46088</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8767-2025</t>
        </is>
      </c>
      <c r="B590" s="1" t="n">
        <v>45712.58931712963</v>
      </c>
      <c r="C590" s="1" t="n">
        <v>46088</v>
      </c>
      <c r="D590" t="inlineStr">
        <is>
          <t>NORRBOTTENS LÄN</t>
        </is>
      </c>
      <c r="E590" t="inlineStr">
        <is>
          <t>LULEÅ</t>
        </is>
      </c>
      <c r="G590" t="n">
        <v>3.4</v>
      </c>
      <c r="H590" t="n">
        <v>0</v>
      </c>
      <c r="I590" t="n">
        <v>0</v>
      </c>
      <c r="J590" t="n">
        <v>0</v>
      </c>
      <c r="K590" t="n">
        <v>0</v>
      </c>
      <c r="L590" t="n">
        <v>0</v>
      </c>
      <c r="M590" t="n">
        <v>0</v>
      </c>
      <c r="N590" t="n">
        <v>0</v>
      </c>
      <c r="O590" t="n">
        <v>0</v>
      </c>
      <c r="P590" t="n">
        <v>0</v>
      </c>
      <c r="Q590" t="n">
        <v>0</v>
      </c>
      <c r="R590" s="2" t="inlineStr"/>
    </row>
    <row r="591" ht="15" customHeight="1">
      <c r="A591" t="inlineStr">
        <is>
          <t>A 6958-2025</t>
        </is>
      </c>
      <c r="B591" s="1" t="n">
        <v>45701.49054398148</v>
      </c>
      <c r="C591" s="1" t="n">
        <v>46088</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61634-2025</t>
        </is>
      </c>
      <c r="B592" s="1" t="n">
        <v>46002.41836805556</v>
      </c>
      <c r="C592" s="1" t="n">
        <v>46088</v>
      </c>
      <c r="D592" t="inlineStr">
        <is>
          <t>NORRBOTTENS LÄN</t>
        </is>
      </c>
      <c r="E592" t="inlineStr">
        <is>
          <t>LULEÅ</t>
        </is>
      </c>
      <c r="G592" t="n">
        <v>4.1</v>
      </c>
      <c r="H592" t="n">
        <v>0</v>
      </c>
      <c r="I592" t="n">
        <v>0</v>
      </c>
      <c r="J592" t="n">
        <v>0</v>
      </c>
      <c r="K592" t="n">
        <v>0</v>
      </c>
      <c r="L592" t="n">
        <v>0</v>
      </c>
      <c r="M592" t="n">
        <v>0</v>
      </c>
      <c r="N592" t="n">
        <v>0</v>
      </c>
      <c r="O592" t="n">
        <v>0</v>
      </c>
      <c r="P592" t="n">
        <v>0</v>
      </c>
      <c r="Q592" t="n">
        <v>0</v>
      </c>
      <c r="R592" s="2" t="inlineStr"/>
    </row>
    <row r="593" ht="15" customHeight="1">
      <c r="A593" t="inlineStr">
        <is>
          <t>A 60121-2024</t>
        </is>
      </c>
      <c r="B593" s="1" t="n">
        <v>45642.58465277778</v>
      </c>
      <c r="C593" s="1" t="n">
        <v>46088</v>
      </c>
      <c r="D593" t="inlineStr">
        <is>
          <t>NORRBOTTENS LÄN</t>
        </is>
      </c>
      <c r="E593" t="inlineStr">
        <is>
          <t>LULEÅ</t>
        </is>
      </c>
      <c r="G593" t="n">
        <v>1.6</v>
      </c>
      <c r="H593" t="n">
        <v>0</v>
      </c>
      <c r="I593" t="n">
        <v>0</v>
      </c>
      <c r="J593" t="n">
        <v>0</v>
      </c>
      <c r="K593" t="n">
        <v>0</v>
      </c>
      <c r="L593" t="n">
        <v>0</v>
      </c>
      <c r="M593" t="n">
        <v>0</v>
      </c>
      <c r="N593" t="n">
        <v>0</v>
      </c>
      <c r="O593" t="n">
        <v>0</v>
      </c>
      <c r="P593" t="n">
        <v>0</v>
      </c>
      <c r="Q593" t="n">
        <v>0</v>
      </c>
      <c r="R593" s="2" t="inlineStr"/>
    </row>
    <row r="594" ht="15" customHeight="1">
      <c r="A594" t="inlineStr">
        <is>
          <t>A 62135-2025</t>
        </is>
      </c>
      <c r="B594" s="1" t="n">
        <v>46006</v>
      </c>
      <c r="C594" s="1" t="n">
        <v>46088</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62188-2025</t>
        </is>
      </c>
      <c r="B595" s="1" t="n">
        <v>46006.5471412037</v>
      </c>
      <c r="C595" s="1" t="n">
        <v>46088</v>
      </c>
      <c r="D595" t="inlineStr">
        <is>
          <t>NORRBOTTENS LÄN</t>
        </is>
      </c>
      <c r="E595" t="inlineStr">
        <is>
          <t>LULEÅ</t>
        </is>
      </c>
      <c r="G595" t="n">
        <v>2.8</v>
      </c>
      <c r="H595" t="n">
        <v>0</v>
      </c>
      <c r="I595" t="n">
        <v>0</v>
      </c>
      <c r="J595" t="n">
        <v>0</v>
      </c>
      <c r="K595" t="n">
        <v>0</v>
      </c>
      <c r="L595" t="n">
        <v>0</v>
      </c>
      <c r="M595" t="n">
        <v>0</v>
      </c>
      <c r="N595" t="n">
        <v>0</v>
      </c>
      <c r="O595" t="n">
        <v>0</v>
      </c>
      <c r="P595" t="n">
        <v>0</v>
      </c>
      <c r="Q595" t="n">
        <v>0</v>
      </c>
      <c r="R595" s="2" t="inlineStr"/>
    </row>
    <row r="596" ht="15" customHeight="1">
      <c r="A596" t="inlineStr">
        <is>
          <t>A 29490-2023</t>
        </is>
      </c>
      <c r="B596" s="1" t="n">
        <v>45098</v>
      </c>
      <c r="C596" s="1" t="n">
        <v>46088</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29510-2023</t>
        </is>
      </c>
      <c r="B597" s="1" t="n">
        <v>45098</v>
      </c>
      <c r="C597" s="1" t="n">
        <v>46088</v>
      </c>
      <c r="D597" t="inlineStr">
        <is>
          <t>NORRBOTTENS LÄN</t>
        </is>
      </c>
      <c r="E597" t="inlineStr">
        <is>
          <t>LULEÅ</t>
        </is>
      </c>
      <c r="G597" t="n">
        <v>3.8</v>
      </c>
      <c r="H597" t="n">
        <v>0</v>
      </c>
      <c r="I597" t="n">
        <v>0</v>
      </c>
      <c r="J597" t="n">
        <v>0</v>
      </c>
      <c r="K597" t="n">
        <v>0</v>
      </c>
      <c r="L597" t="n">
        <v>0</v>
      </c>
      <c r="M597" t="n">
        <v>0</v>
      </c>
      <c r="N597" t="n">
        <v>0</v>
      </c>
      <c r="O597" t="n">
        <v>0</v>
      </c>
      <c r="P597" t="n">
        <v>0</v>
      </c>
      <c r="Q597" t="n">
        <v>0</v>
      </c>
      <c r="R597" s="2" t="inlineStr"/>
    </row>
    <row r="598" ht="15" customHeight="1">
      <c r="A598" t="inlineStr">
        <is>
          <t>A 7880-2025</t>
        </is>
      </c>
      <c r="B598" s="1" t="n">
        <v>45706.785</v>
      </c>
      <c r="C598" s="1" t="n">
        <v>46088</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62191-2025</t>
        </is>
      </c>
      <c r="B599" s="1" t="n">
        <v>46006.54866898148</v>
      </c>
      <c r="C599" s="1" t="n">
        <v>46088</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62565-2025</t>
        </is>
      </c>
      <c r="B600" s="1" t="n">
        <v>46007.69832175926</v>
      </c>
      <c r="C600" s="1" t="n">
        <v>46088</v>
      </c>
      <c r="D600" t="inlineStr">
        <is>
          <t>NORRBOTTENS LÄN</t>
        </is>
      </c>
      <c r="E600" t="inlineStr">
        <is>
          <t>LULEÅ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62190-2025</t>
        </is>
      </c>
      <c r="B601" s="1" t="n">
        <v>46006.54785879629</v>
      </c>
      <c r="C601" s="1" t="n">
        <v>46088</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62947-2025</t>
        </is>
      </c>
      <c r="B602" s="1" t="n">
        <v>46009</v>
      </c>
      <c r="C602" s="1" t="n">
        <v>46088</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13063-2024</t>
        </is>
      </c>
      <c r="B603" s="1" t="n">
        <v>45385</v>
      </c>
      <c r="C603" s="1" t="n">
        <v>46088</v>
      </c>
      <c r="D603" t="inlineStr">
        <is>
          <t>NORRBOTTENS LÄN</t>
        </is>
      </c>
      <c r="E603" t="inlineStr">
        <is>
          <t>LULEÅ</t>
        </is>
      </c>
      <c r="G603" t="n">
        <v>2.5</v>
      </c>
      <c r="H603" t="n">
        <v>0</v>
      </c>
      <c r="I603" t="n">
        <v>0</v>
      </c>
      <c r="J603" t="n">
        <v>0</v>
      </c>
      <c r="K603" t="n">
        <v>0</v>
      </c>
      <c r="L603" t="n">
        <v>0</v>
      </c>
      <c r="M603" t="n">
        <v>0</v>
      </c>
      <c r="N603" t="n">
        <v>0</v>
      </c>
      <c r="O603" t="n">
        <v>0</v>
      </c>
      <c r="P603" t="n">
        <v>0</v>
      </c>
      <c r="Q603" t="n">
        <v>0</v>
      </c>
      <c r="R603" s="2" t="inlineStr"/>
    </row>
    <row r="604" ht="15" customHeight="1">
      <c r="A604" t="inlineStr">
        <is>
          <t>A 13065-2024</t>
        </is>
      </c>
      <c r="B604" s="1" t="n">
        <v>45385</v>
      </c>
      <c r="C604" s="1" t="n">
        <v>46088</v>
      </c>
      <c r="D604" t="inlineStr">
        <is>
          <t>NORRBOTTENS LÄN</t>
        </is>
      </c>
      <c r="E604" t="inlineStr">
        <is>
          <t>LULEÅ</t>
        </is>
      </c>
      <c r="G604" t="n">
        <v>2.2</v>
      </c>
      <c r="H604" t="n">
        <v>0</v>
      </c>
      <c r="I604" t="n">
        <v>0</v>
      </c>
      <c r="J604" t="n">
        <v>0</v>
      </c>
      <c r="K604" t="n">
        <v>0</v>
      </c>
      <c r="L604" t="n">
        <v>0</v>
      </c>
      <c r="M604" t="n">
        <v>0</v>
      </c>
      <c r="N604" t="n">
        <v>0</v>
      </c>
      <c r="O604" t="n">
        <v>0</v>
      </c>
      <c r="P604" t="n">
        <v>0</v>
      </c>
      <c r="Q604" t="n">
        <v>0</v>
      </c>
      <c r="R604" s="2" t="inlineStr"/>
    </row>
    <row r="605" ht="15" customHeight="1">
      <c r="A605" t="inlineStr">
        <is>
          <t>A 62039-2025</t>
        </is>
      </c>
      <c r="B605" s="1" t="n">
        <v>46005</v>
      </c>
      <c r="C605" s="1" t="n">
        <v>46088</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62993-2025</t>
        </is>
      </c>
      <c r="B606" s="1" t="n">
        <v>46009.53162037037</v>
      </c>
      <c r="C606" s="1" t="n">
        <v>46088</v>
      </c>
      <c r="D606" t="inlineStr">
        <is>
          <t>NORRBOTTENS LÄN</t>
        </is>
      </c>
      <c r="E606" t="inlineStr">
        <is>
          <t>LULEÅ</t>
        </is>
      </c>
      <c r="G606" t="n">
        <v>9.6</v>
      </c>
      <c r="H606" t="n">
        <v>0</v>
      </c>
      <c r="I606" t="n">
        <v>0</v>
      </c>
      <c r="J606" t="n">
        <v>0</v>
      </c>
      <c r="K606" t="n">
        <v>0</v>
      </c>
      <c r="L606" t="n">
        <v>0</v>
      </c>
      <c r="M606" t="n">
        <v>0</v>
      </c>
      <c r="N606" t="n">
        <v>0</v>
      </c>
      <c r="O606" t="n">
        <v>0</v>
      </c>
      <c r="P606" t="n">
        <v>0</v>
      </c>
      <c r="Q606" t="n">
        <v>0</v>
      </c>
      <c r="R606" s="2" t="inlineStr"/>
    </row>
    <row r="607" ht="15" customHeight="1">
      <c r="A607" t="inlineStr">
        <is>
          <t>A 17898-2025</t>
        </is>
      </c>
      <c r="B607" s="1" t="n">
        <v>45758</v>
      </c>
      <c r="C607" s="1" t="n">
        <v>46088</v>
      </c>
      <c r="D607" t="inlineStr">
        <is>
          <t>NORRBOTTENS LÄN</t>
        </is>
      </c>
      <c r="E607" t="inlineStr">
        <is>
          <t>LULEÅ</t>
        </is>
      </c>
      <c r="G607" t="n">
        <v>2.1</v>
      </c>
      <c r="H607" t="n">
        <v>0</v>
      </c>
      <c r="I607" t="n">
        <v>0</v>
      </c>
      <c r="J607" t="n">
        <v>0</v>
      </c>
      <c r="K607" t="n">
        <v>0</v>
      </c>
      <c r="L607" t="n">
        <v>0</v>
      </c>
      <c r="M607" t="n">
        <v>0</v>
      </c>
      <c r="N607" t="n">
        <v>0</v>
      </c>
      <c r="O607" t="n">
        <v>0</v>
      </c>
      <c r="P607" t="n">
        <v>0</v>
      </c>
      <c r="Q607" t="n">
        <v>0</v>
      </c>
      <c r="R607" s="2" t="inlineStr"/>
    </row>
    <row r="608" ht="15" customHeight="1">
      <c r="A608" t="inlineStr">
        <is>
          <t>A 17900-2025</t>
        </is>
      </c>
      <c r="B608" s="1" t="n">
        <v>45758.69837962963</v>
      </c>
      <c r="C608" s="1" t="n">
        <v>46088</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58759-2023</t>
        </is>
      </c>
      <c r="B609" s="1" t="n">
        <v>45251</v>
      </c>
      <c r="C609" s="1" t="n">
        <v>46088</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62783-2025</t>
        </is>
      </c>
      <c r="B610" s="1" t="n">
        <v>46008.61600694444</v>
      </c>
      <c r="C610" s="1" t="n">
        <v>46088</v>
      </c>
      <c r="D610" t="inlineStr">
        <is>
          <t>NORRBOTTENS LÄN</t>
        </is>
      </c>
      <c r="E610" t="inlineStr">
        <is>
          <t>LULEÅ</t>
        </is>
      </c>
      <c r="G610" t="n">
        <v>5.6</v>
      </c>
      <c r="H610" t="n">
        <v>0</v>
      </c>
      <c r="I610" t="n">
        <v>0</v>
      </c>
      <c r="J610" t="n">
        <v>0</v>
      </c>
      <c r="K610" t="n">
        <v>0</v>
      </c>
      <c r="L610" t="n">
        <v>0</v>
      </c>
      <c r="M610" t="n">
        <v>0</v>
      </c>
      <c r="N610" t="n">
        <v>0</v>
      </c>
      <c r="O610" t="n">
        <v>0</v>
      </c>
      <c r="P610" t="n">
        <v>0</v>
      </c>
      <c r="Q610" t="n">
        <v>0</v>
      </c>
      <c r="R610" s="2" t="inlineStr"/>
    </row>
    <row r="611" ht="15" customHeight="1">
      <c r="A611" t="inlineStr">
        <is>
          <t>A 12116-2025</t>
        </is>
      </c>
      <c r="B611" s="1" t="n">
        <v>45729.36509259259</v>
      </c>
      <c r="C611" s="1" t="n">
        <v>46088</v>
      </c>
      <c r="D611" t="inlineStr">
        <is>
          <t>NORRBOTTENS LÄN</t>
        </is>
      </c>
      <c r="E611" t="inlineStr">
        <is>
          <t>LULEÅ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62899-2025</t>
        </is>
      </c>
      <c r="B612" s="1" t="n">
        <v>46009.34431712963</v>
      </c>
      <c r="C612" s="1" t="n">
        <v>46088</v>
      </c>
      <c r="D612" t="inlineStr">
        <is>
          <t>NORRBOTTENS LÄN</t>
        </is>
      </c>
      <c r="E612" t="inlineStr">
        <is>
          <t>LULEÅ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1312-2024</t>
        </is>
      </c>
      <c r="B613" s="1" t="n">
        <v>45303</v>
      </c>
      <c r="C613" s="1" t="n">
        <v>46088</v>
      </c>
      <c r="D613" t="inlineStr">
        <is>
          <t>NORRBOTTENS LÄN</t>
        </is>
      </c>
      <c r="E613" t="inlineStr">
        <is>
          <t>LULEÅ</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12307-2026</t>
        </is>
      </c>
      <c r="B614" s="1" t="n">
        <v>46087.58144675926</v>
      </c>
      <c r="C614" s="1" t="n">
        <v>46088</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63233-2025</t>
        </is>
      </c>
      <c r="B615" s="1" t="n">
        <v>46010.51313657407</v>
      </c>
      <c r="C615" s="1" t="n">
        <v>46088</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46158-2021</t>
        </is>
      </c>
      <c r="B616" s="1" t="n">
        <v>44442.43422453704</v>
      </c>
      <c r="C616" s="1" t="n">
        <v>46088</v>
      </c>
      <c r="D616" t="inlineStr">
        <is>
          <t>NORRBOTTENS LÄN</t>
        </is>
      </c>
      <c r="E616" t="inlineStr">
        <is>
          <t>LULEÅ</t>
        </is>
      </c>
      <c r="G616" t="n">
        <v>4.8</v>
      </c>
      <c r="H616" t="n">
        <v>0</v>
      </c>
      <c r="I616" t="n">
        <v>0</v>
      </c>
      <c r="J616" t="n">
        <v>0</v>
      </c>
      <c r="K616" t="n">
        <v>0</v>
      </c>
      <c r="L616" t="n">
        <v>0</v>
      </c>
      <c r="M616" t="n">
        <v>0</v>
      </c>
      <c r="N616" t="n">
        <v>0</v>
      </c>
      <c r="O616" t="n">
        <v>0</v>
      </c>
      <c r="P616" t="n">
        <v>0</v>
      </c>
      <c r="Q616" t="n">
        <v>0</v>
      </c>
      <c r="R616" s="2" t="inlineStr"/>
    </row>
    <row r="617" ht="15" customHeight="1">
      <c r="A617" t="inlineStr">
        <is>
          <t>A 63204-2025</t>
        </is>
      </c>
      <c r="B617" s="1" t="n">
        <v>46010.46950231482</v>
      </c>
      <c r="C617" s="1" t="n">
        <v>46088</v>
      </c>
      <c r="D617" t="inlineStr">
        <is>
          <t>NORRBOTTENS LÄN</t>
        </is>
      </c>
      <c r="E617" t="inlineStr">
        <is>
          <t>LULEÅ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57327-2024</t>
        </is>
      </c>
      <c r="B618" s="1" t="n">
        <v>45629.62572916667</v>
      </c>
      <c r="C618" s="1" t="n">
        <v>46088</v>
      </c>
      <c r="D618" t="inlineStr">
        <is>
          <t>NORRBOTTENS LÄN</t>
        </is>
      </c>
      <c r="E618" t="inlineStr">
        <is>
          <t>LULEÅ</t>
        </is>
      </c>
      <c r="F618" t="inlineStr">
        <is>
          <t>Övriga Aktiebolag</t>
        </is>
      </c>
      <c r="G618" t="n">
        <v>6.5</v>
      </c>
      <c r="H618" t="n">
        <v>0</v>
      </c>
      <c r="I618" t="n">
        <v>0</v>
      </c>
      <c r="J618" t="n">
        <v>0</v>
      </c>
      <c r="K618" t="n">
        <v>0</v>
      </c>
      <c r="L618" t="n">
        <v>0</v>
      </c>
      <c r="M618" t="n">
        <v>0</v>
      </c>
      <c r="N618" t="n">
        <v>0</v>
      </c>
      <c r="O618" t="n">
        <v>0</v>
      </c>
      <c r="P618" t="n">
        <v>0</v>
      </c>
      <c r="Q618" t="n">
        <v>0</v>
      </c>
      <c r="R618" s="2" t="inlineStr"/>
    </row>
    <row r="619" ht="15" customHeight="1">
      <c r="A619" t="inlineStr">
        <is>
          <t>A 63211-2025</t>
        </is>
      </c>
      <c r="B619" s="1" t="n">
        <v>46010.47768518519</v>
      </c>
      <c r="C619" s="1" t="n">
        <v>46088</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44462-2025</t>
        </is>
      </c>
      <c r="B620" s="1" t="n">
        <v>45916</v>
      </c>
      <c r="C620" s="1" t="n">
        <v>46088</v>
      </c>
      <c r="D620" t="inlineStr">
        <is>
          <t>NORRBOTTENS LÄN</t>
        </is>
      </c>
      <c r="E620" t="inlineStr">
        <is>
          <t>LULEÅ</t>
        </is>
      </c>
      <c r="G620" t="n">
        <v>5</v>
      </c>
      <c r="H620" t="n">
        <v>0</v>
      </c>
      <c r="I620" t="n">
        <v>0</v>
      </c>
      <c r="J620" t="n">
        <v>0</v>
      </c>
      <c r="K620" t="n">
        <v>0</v>
      </c>
      <c r="L620" t="n">
        <v>0</v>
      </c>
      <c r="M620" t="n">
        <v>0</v>
      </c>
      <c r="N620" t="n">
        <v>0</v>
      </c>
      <c r="O620" t="n">
        <v>0</v>
      </c>
      <c r="P620" t="n">
        <v>0</v>
      </c>
      <c r="Q620" t="n">
        <v>0</v>
      </c>
      <c r="R620" s="2" t="inlineStr"/>
    </row>
    <row r="621" ht="15" customHeight="1">
      <c r="A621" t="inlineStr">
        <is>
          <t>A 58823-2024</t>
        </is>
      </c>
      <c r="B621" s="1" t="n">
        <v>45635</v>
      </c>
      <c r="C621" s="1" t="n">
        <v>46088</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58827-2024</t>
        </is>
      </c>
      <c r="B622" s="1" t="n">
        <v>45635</v>
      </c>
      <c r="C622" s="1" t="n">
        <v>46088</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115-2025</t>
        </is>
      </c>
      <c r="B623" s="1" t="n">
        <v>45659.51613425926</v>
      </c>
      <c r="C623" s="1" t="n">
        <v>46088</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63359-2025</t>
        </is>
      </c>
      <c r="B624" s="1" t="n">
        <v>46010.67465277778</v>
      </c>
      <c r="C624" s="1" t="n">
        <v>46088</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63208-2025</t>
        </is>
      </c>
      <c r="B625" s="1" t="n">
        <v>46010.47444444444</v>
      </c>
      <c r="C625" s="1" t="n">
        <v>46088</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44443-2025</t>
        </is>
      </c>
      <c r="B626" s="1" t="n">
        <v>45916</v>
      </c>
      <c r="C626" s="1" t="n">
        <v>46088</v>
      </c>
      <c r="D626" t="inlineStr">
        <is>
          <t>NORRBOTTENS LÄN</t>
        </is>
      </c>
      <c r="E626" t="inlineStr">
        <is>
          <t>LULEÅ</t>
        </is>
      </c>
      <c r="G626" t="n">
        <v>8.9</v>
      </c>
      <c r="H626" t="n">
        <v>0</v>
      </c>
      <c r="I626" t="n">
        <v>0</v>
      </c>
      <c r="J626" t="n">
        <v>0</v>
      </c>
      <c r="K626" t="n">
        <v>0</v>
      </c>
      <c r="L626" t="n">
        <v>0</v>
      </c>
      <c r="M626" t="n">
        <v>0</v>
      </c>
      <c r="N626" t="n">
        <v>0</v>
      </c>
      <c r="O626" t="n">
        <v>0</v>
      </c>
      <c r="P626" t="n">
        <v>0</v>
      </c>
      <c r="Q626" t="n">
        <v>0</v>
      </c>
      <c r="R626" s="2" t="inlineStr"/>
    </row>
    <row r="627" ht="15" customHeight="1">
      <c r="A627" t="inlineStr">
        <is>
          <t>A 44463-2025</t>
        </is>
      </c>
      <c r="B627" s="1" t="n">
        <v>45916</v>
      </c>
      <c r="C627" s="1" t="n">
        <v>46088</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63941-2025</t>
        </is>
      </c>
      <c r="B628" s="1" t="n">
        <v>46010</v>
      </c>
      <c r="C628" s="1" t="n">
        <v>46088</v>
      </c>
      <c r="D628" t="inlineStr">
        <is>
          <t>NORRBOTTENS LÄN</t>
        </is>
      </c>
      <c r="E628" t="inlineStr">
        <is>
          <t>LULEÅ</t>
        </is>
      </c>
      <c r="G628" t="n">
        <v>1.8</v>
      </c>
      <c r="H628" t="n">
        <v>0</v>
      </c>
      <c r="I628" t="n">
        <v>0</v>
      </c>
      <c r="J628" t="n">
        <v>0</v>
      </c>
      <c r="K628" t="n">
        <v>0</v>
      </c>
      <c r="L628" t="n">
        <v>0</v>
      </c>
      <c r="M628" t="n">
        <v>0</v>
      </c>
      <c r="N628" t="n">
        <v>0</v>
      </c>
      <c r="O628" t="n">
        <v>0</v>
      </c>
      <c r="P628" t="n">
        <v>0</v>
      </c>
      <c r="Q628" t="n">
        <v>0</v>
      </c>
      <c r="R628" s="2" t="inlineStr"/>
    </row>
    <row r="629" ht="15" customHeight="1">
      <c r="A629" t="inlineStr">
        <is>
          <t>A 63942-2025</t>
        </is>
      </c>
      <c r="B629" s="1" t="n">
        <v>46010</v>
      </c>
      <c r="C629" s="1" t="n">
        <v>46088</v>
      </c>
      <c r="D629" t="inlineStr">
        <is>
          <t>NORRBOTTENS LÄN</t>
        </is>
      </c>
      <c r="E629" t="inlineStr">
        <is>
          <t>LULEÅ</t>
        </is>
      </c>
      <c r="G629" t="n">
        <v>5.7</v>
      </c>
      <c r="H629" t="n">
        <v>0</v>
      </c>
      <c r="I629" t="n">
        <v>0</v>
      </c>
      <c r="J629" t="n">
        <v>0</v>
      </c>
      <c r="K629" t="n">
        <v>0</v>
      </c>
      <c r="L629" t="n">
        <v>0</v>
      </c>
      <c r="M629" t="n">
        <v>0</v>
      </c>
      <c r="N629" t="n">
        <v>0</v>
      </c>
      <c r="O629" t="n">
        <v>0</v>
      </c>
      <c r="P629" t="n">
        <v>0</v>
      </c>
      <c r="Q629" t="n">
        <v>0</v>
      </c>
      <c r="R629" s="2" t="inlineStr"/>
    </row>
    <row r="630" ht="15" customHeight="1">
      <c r="A630" t="inlineStr">
        <is>
          <t>A 63943-2025</t>
        </is>
      </c>
      <c r="B630" s="1" t="n">
        <v>46010</v>
      </c>
      <c r="C630" s="1" t="n">
        <v>46088</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64062-2025</t>
        </is>
      </c>
      <c r="B631" s="1" t="n">
        <v>46010</v>
      </c>
      <c r="C631" s="1" t="n">
        <v>46088</v>
      </c>
      <c r="D631" t="inlineStr">
        <is>
          <t>NORRBOTTENS LÄN</t>
        </is>
      </c>
      <c r="E631" t="inlineStr">
        <is>
          <t>LULEÅ</t>
        </is>
      </c>
      <c r="G631" t="n">
        <v>0.3</v>
      </c>
      <c r="H631" t="n">
        <v>0</v>
      </c>
      <c r="I631" t="n">
        <v>0</v>
      </c>
      <c r="J631" t="n">
        <v>0</v>
      </c>
      <c r="K631" t="n">
        <v>0</v>
      </c>
      <c r="L631" t="n">
        <v>0</v>
      </c>
      <c r="M631" t="n">
        <v>0</v>
      </c>
      <c r="N631" t="n">
        <v>0</v>
      </c>
      <c r="O631" t="n">
        <v>0</v>
      </c>
      <c r="P631" t="n">
        <v>0</v>
      </c>
      <c r="Q631" t="n">
        <v>0</v>
      </c>
      <c r="R631" s="2" t="inlineStr"/>
    </row>
    <row r="632" ht="15" customHeight="1">
      <c r="A632" t="inlineStr">
        <is>
          <t>A 63403-2025</t>
        </is>
      </c>
      <c r="B632" s="1" t="n">
        <v>46012.60145833333</v>
      </c>
      <c r="C632" s="1" t="n">
        <v>46088</v>
      </c>
      <c r="D632" t="inlineStr">
        <is>
          <t>NORRBOTTENS LÄN</t>
        </is>
      </c>
      <c r="E632" t="inlineStr">
        <is>
          <t>LULEÅ</t>
        </is>
      </c>
      <c r="G632" t="n">
        <v>1.3</v>
      </c>
      <c r="H632" t="n">
        <v>0</v>
      </c>
      <c r="I632" t="n">
        <v>0</v>
      </c>
      <c r="J632" t="n">
        <v>0</v>
      </c>
      <c r="K632" t="n">
        <v>0</v>
      </c>
      <c r="L632" t="n">
        <v>0</v>
      </c>
      <c r="M632" t="n">
        <v>0</v>
      </c>
      <c r="N632" t="n">
        <v>0</v>
      </c>
      <c r="O632" t="n">
        <v>0</v>
      </c>
      <c r="P632" t="n">
        <v>0</v>
      </c>
      <c r="Q632" t="n">
        <v>0</v>
      </c>
      <c r="R632" s="2" t="inlineStr"/>
    </row>
    <row r="633" ht="15" customHeight="1">
      <c r="A633" t="inlineStr">
        <is>
          <t>A 63940-2025</t>
        </is>
      </c>
      <c r="B633" s="1" t="n">
        <v>46010</v>
      </c>
      <c r="C633" s="1" t="n">
        <v>46088</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22017-2024</t>
        </is>
      </c>
      <c r="B634" s="1" t="n">
        <v>45443</v>
      </c>
      <c r="C634" s="1" t="n">
        <v>46088</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63210-2025</t>
        </is>
      </c>
      <c r="B635" s="1" t="n">
        <v>46010.4771875</v>
      </c>
      <c r="C635" s="1" t="n">
        <v>46088</v>
      </c>
      <c r="D635" t="inlineStr">
        <is>
          <t>NORRBOTTENS LÄN</t>
        </is>
      </c>
      <c r="E635" t="inlineStr">
        <is>
          <t>LULEÅ</t>
        </is>
      </c>
      <c r="G635" t="n">
        <v>10</v>
      </c>
      <c r="H635" t="n">
        <v>0</v>
      </c>
      <c r="I635" t="n">
        <v>0</v>
      </c>
      <c r="J635" t="n">
        <v>0</v>
      </c>
      <c r="K635" t="n">
        <v>0</v>
      </c>
      <c r="L635" t="n">
        <v>0</v>
      </c>
      <c r="M635" t="n">
        <v>0</v>
      </c>
      <c r="N635" t="n">
        <v>0</v>
      </c>
      <c r="O635" t="n">
        <v>0</v>
      </c>
      <c r="P635" t="n">
        <v>0</v>
      </c>
      <c r="Q635" t="n">
        <v>0</v>
      </c>
      <c r="R635" s="2" t="inlineStr"/>
    </row>
    <row r="636" ht="15" customHeight="1">
      <c r="A636" t="inlineStr">
        <is>
          <t>A 58831-2024</t>
        </is>
      </c>
      <c r="B636" s="1" t="n">
        <v>45635</v>
      </c>
      <c r="C636" s="1" t="n">
        <v>46088</v>
      </c>
      <c r="D636" t="inlineStr">
        <is>
          <t>NORRBOTTENS LÄN</t>
        </is>
      </c>
      <c r="E636" t="inlineStr">
        <is>
          <t>LULEÅ</t>
        </is>
      </c>
      <c r="G636" t="n">
        <v>0.3</v>
      </c>
      <c r="H636" t="n">
        <v>0</v>
      </c>
      <c r="I636" t="n">
        <v>0</v>
      </c>
      <c r="J636" t="n">
        <v>0</v>
      </c>
      <c r="K636" t="n">
        <v>0</v>
      </c>
      <c r="L636" t="n">
        <v>0</v>
      </c>
      <c r="M636" t="n">
        <v>0</v>
      </c>
      <c r="N636" t="n">
        <v>0</v>
      </c>
      <c r="O636" t="n">
        <v>0</v>
      </c>
      <c r="P636" t="n">
        <v>0</v>
      </c>
      <c r="Q636" t="n">
        <v>0</v>
      </c>
      <c r="R636" s="2" t="inlineStr"/>
    </row>
    <row r="637" ht="15" customHeight="1">
      <c r="A637" t="inlineStr">
        <is>
          <t>A 63725-2025</t>
        </is>
      </c>
      <c r="B637" s="1" t="n">
        <v>46010</v>
      </c>
      <c r="C637" s="1" t="n">
        <v>46088</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22007-2024</t>
        </is>
      </c>
      <c r="B638" s="1" t="n">
        <v>45443</v>
      </c>
      <c r="C638" s="1" t="n">
        <v>46088</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38885-2023</t>
        </is>
      </c>
      <c r="B639" s="1" t="n">
        <v>45161</v>
      </c>
      <c r="C639" s="1" t="n">
        <v>46088</v>
      </c>
      <c r="D639" t="inlineStr">
        <is>
          <t>NORRBOTTENS LÄN</t>
        </is>
      </c>
      <c r="E639" t="inlineStr">
        <is>
          <t>LULEÅ</t>
        </is>
      </c>
      <c r="G639" t="n">
        <v>0.4</v>
      </c>
      <c r="H639" t="n">
        <v>0</v>
      </c>
      <c r="I639" t="n">
        <v>0</v>
      </c>
      <c r="J639" t="n">
        <v>0</v>
      </c>
      <c r="K639" t="n">
        <v>0</v>
      </c>
      <c r="L639" t="n">
        <v>0</v>
      </c>
      <c r="M639" t="n">
        <v>0</v>
      </c>
      <c r="N639" t="n">
        <v>0</v>
      </c>
      <c r="O639" t="n">
        <v>0</v>
      </c>
      <c r="P639" t="n">
        <v>0</v>
      </c>
      <c r="Q639" t="n">
        <v>0</v>
      </c>
      <c r="R639" s="2" t="inlineStr"/>
    </row>
    <row r="640" ht="15" customHeight="1">
      <c r="A640" t="inlineStr">
        <is>
          <t>A 19533-2025</t>
        </is>
      </c>
      <c r="B640" s="1" t="n">
        <v>45770.47331018518</v>
      </c>
      <c r="C640" s="1" t="n">
        <v>46088</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17290-2025</t>
        </is>
      </c>
      <c r="B641" s="1" t="n">
        <v>45756.58515046296</v>
      </c>
      <c r="C641" s="1" t="n">
        <v>46088</v>
      </c>
      <c r="D641" t="inlineStr">
        <is>
          <t>NORRBOTTENS LÄN</t>
        </is>
      </c>
      <c r="E641" t="inlineStr">
        <is>
          <t>LULEÅ</t>
        </is>
      </c>
      <c r="G641" t="n">
        <v>5.6</v>
      </c>
      <c r="H641" t="n">
        <v>0</v>
      </c>
      <c r="I641" t="n">
        <v>0</v>
      </c>
      <c r="J641" t="n">
        <v>0</v>
      </c>
      <c r="K641" t="n">
        <v>0</v>
      </c>
      <c r="L641" t="n">
        <v>0</v>
      </c>
      <c r="M641" t="n">
        <v>0</v>
      </c>
      <c r="N641" t="n">
        <v>0</v>
      </c>
      <c r="O641" t="n">
        <v>0</v>
      </c>
      <c r="P641" t="n">
        <v>0</v>
      </c>
      <c r="Q641" t="n">
        <v>0</v>
      </c>
      <c r="R641" s="2" t="inlineStr"/>
    </row>
    <row r="642" ht="15" customHeight="1">
      <c r="A642" t="inlineStr">
        <is>
          <t>A 28150-2024</t>
        </is>
      </c>
      <c r="B642" s="1" t="n">
        <v>45476.76228009259</v>
      </c>
      <c r="C642" s="1" t="n">
        <v>46088</v>
      </c>
      <c r="D642" t="inlineStr">
        <is>
          <t>NORRBOTTENS LÄN</t>
        </is>
      </c>
      <c r="E642" t="inlineStr">
        <is>
          <t>LULEÅ</t>
        </is>
      </c>
      <c r="G642" t="n">
        <v>4</v>
      </c>
      <c r="H642" t="n">
        <v>0</v>
      </c>
      <c r="I642" t="n">
        <v>0</v>
      </c>
      <c r="J642" t="n">
        <v>0</v>
      </c>
      <c r="K642" t="n">
        <v>0</v>
      </c>
      <c r="L642" t="n">
        <v>0</v>
      </c>
      <c r="M642" t="n">
        <v>0</v>
      </c>
      <c r="N642" t="n">
        <v>0</v>
      </c>
      <c r="O642" t="n">
        <v>0</v>
      </c>
      <c r="P642" t="n">
        <v>0</v>
      </c>
      <c r="Q642" t="n">
        <v>0</v>
      </c>
      <c r="R642" s="2" t="inlineStr"/>
    </row>
    <row r="643" ht="15" customHeight="1">
      <c r="A643" t="inlineStr">
        <is>
          <t>A 4316-2026</t>
        </is>
      </c>
      <c r="B643" s="1" t="n">
        <v>46045.44876157407</v>
      </c>
      <c r="C643" s="1" t="n">
        <v>46088</v>
      </c>
      <c r="D643" t="inlineStr">
        <is>
          <t>NORRBOTTENS LÄN</t>
        </is>
      </c>
      <c r="E643" t="inlineStr">
        <is>
          <t>LULEÅ</t>
        </is>
      </c>
      <c r="G643" t="n">
        <v>9.6</v>
      </c>
      <c r="H643" t="n">
        <v>0</v>
      </c>
      <c r="I643" t="n">
        <v>0</v>
      </c>
      <c r="J643" t="n">
        <v>0</v>
      </c>
      <c r="K643" t="n">
        <v>0</v>
      </c>
      <c r="L643" t="n">
        <v>0</v>
      </c>
      <c r="M643" t="n">
        <v>0</v>
      </c>
      <c r="N643" t="n">
        <v>0</v>
      </c>
      <c r="O643" t="n">
        <v>0</v>
      </c>
      <c r="P643" t="n">
        <v>0</v>
      </c>
      <c r="Q643" t="n">
        <v>0</v>
      </c>
      <c r="R643" s="2" t="inlineStr"/>
    </row>
    <row r="644" ht="15" customHeight="1">
      <c r="A644" t="inlineStr">
        <is>
          <t>A 1513-2025</t>
        </is>
      </c>
      <c r="B644" s="1" t="n">
        <v>45670.45391203704</v>
      </c>
      <c r="C644" s="1" t="n">
        <v>46088</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52667-2024</t>
        </is>
      </c>
      <c r="B645" s="1" t="n">
        <v>45610</v>
      </c>
      <c r="C645" s="1" t="n">
        <v>46088</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54824-2022</t>
        </is>
      </c>
      <c r="B646" s="1" t="n">
        <v>44883.92393518519</v>
      </c>
      <c r="C646" s="1" t="n">
        <v>46088</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34992-2024</t>
        </is>
      </c>
      <c r="B647" s="1" t="n">
        <v>45527</v>
      </c>
      <c r="C647" s="1" t="n">
        <v>46088</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57264-2022</t>
        </is>
      </c>
      <c r="B648" s="1" t="n">
        <v>44895</v>
      </c>
      <c r="C648" s="1" t="n">
        <v>46088</v>
      </c>
      <c r="D648" t="inlineStr">
        <is>
          <t>NORRBOTTENS LÄN</t>
        </is>
      </c>
      <c r="E648" t="inlineStr">
        <is>
          <t>LULEÅ</t>
        </is>
      </c>
      <c r="G648" t="n">
        <v>8</v>
      </c>
      <c r="H648" t="n">
        <v>0</v>
      </c>
      <c r="I648" t="n">
        <v>0</v>
      </c>
      <c r="J648" t="n">
        <v>0</v>
      </c>
      <c r="K648" t="n">
        <v>0</v>
      </c>
      <c r="L648" t="n">
        <v>0</v>
      </c>
      <c r="M648" t="n">
        <v>0</v>
      </c>
      <c r="N648" t="n">
        <v>0</v>
      </c>
      <c r="O648" t="n">
        <v>0</v>
      </c>
      <c r="P648" t="n">
        <v>0</v>
      </c>
      <c r="Q648" t="n">
        <v>0</v>
      </c>
      <c r="R648" s="2" t="inlineStr"/>
    </row>
    <row r="649" ht="15" customHeight="1">
      <c r="A649" t="inlineStr">
        <is>
          <t>A 17427-2023</t>
        </is>
      </c>
      <c r="B649" s="1" t="n">
        <v>45035</v>
      </c>
      <c r="C649" s="1" t="n">
        <v>46088</v>
      </c>
      <c r="D649" t="inlineStr">
        <is>
          <t>NORRBOTTENS LÄN</t>
        </is>
      </c>
      <c r="E649" t="inlineStr">
        <is>
          <t>LULEÅ</t>
        </is>
      </c>
      <c r="G649" t="n">
        <v>1.3</v>
      </c>
      <c r="H649" t="n">
        <v>0</v>
      </c>
      <c r="I649" t="n">
        <v>0</v>
      </c>
      <c r="J649" t="n">
        <v>0</v>
      </c>
      <c r="K649" t="n">
        <v>0</v>
      </c>
      <c r="L649" t="n">
        <v>0</v>
      </c>
      <c r="M649" t="n">
        <v>0</v>
      </c>
      <c r="N649" t="n">
        <v>0</v>
      </c>
      <c r="O649" t="n">
        <v>0</v>
      </c>
      <c r="P649" t="n">
        <v>0</v>
      </c>
      <c r="Q649" t="n">
        <v>0</v>
      </c>
      <c r="R649" s="2" t="inlineStr"/>
    </row>
    <row r="650" ht="15" customHeight="1">
      <c r="A650" t="inlineStr">
        <is>
          <t>A 1685-2025</t>
        </is>
      </c>
      <c r="B650" s="1" t="n">
        <v>45670.69877314815</v>
      </c>
      <c r="C650" s="1" t="n">
        <v>46088</v>
      </c>
      <c r="D650" t="inlineStr">
        <is>
          <t>NORRBOTTENS LÄN</t>
        </is>
      </c>
      <c r="E650" t="inlineStr">
        <is>
          <t>LULEÅ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3184-2025</t>
        </is>
      </c>
      <c r="B651" s="1" t="n">
        <v>45679</v>
      </c>
      <c r="C651" s="1" t="n">
        <v>46088</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49720-2024</t>
        </is>
      </c>
      <c r="B652" s="1" t="n">
        <v>45596.72625</v>
      </c>
      <c r="C652" s="1" t="n">
        <v>46088</v>
      </c>
      <c r="D652" t="inlineStr">
        <is>
          <t>NORRBOTTENS LÄN</t>
        </is>
      </c>
      <c r="E652" t="inlineStr">
        <is>
          <t>LULEÅ</t>
        </is>
      </c>
      <c r="G652" t="n">
        <v>3.3</v>
      </c>
      <c r="H652" t="n">
        <v>0</v>
      </c>
      <c r="I652" t="n">
        <v>0</v>
      </c>
      <c r="J652" t="n">
        <v>0</v>
      </c>
      <c r="K652" t="n">
        <v>0</v>
      </c>
      <c r="L652" t="n">
        <v>0</v>
      </c>
      <c r="M652" t="n">
        <v>0</v>
      </c>
      <c r="N652" t="n">
        <v>0</v>
      </c>
      <c r="O652" t="n">
        <v>0</v>
      </c>
      <c r="P652" t="n">
        <v>0</v>
      </c>
      <c r="Q652" t="n">
        <v>0</v>
      </c>
      <c r="R652" s="2" t="inlineStr"/>
    </row>
    <row r="653" ht="15" customHeight="1">
      <c r="A653" t="inlineStr">
        <is>
          <t>A 5131-2025</t>
        </is>
      </c>
      <c r="B653" s="1" t="n">
        <v>45691.57331018519</v>
      </c>
      <c r="C653" s="1" t="n">
        <v>46088</v>
      </c>
      <c r="D653" t="inlineStr">
        <is>
          <t>NORRBOTTENS LÄN</t>
        </is>
      </c>
      <c r="E653" t="inlineStr">
        <is>
          <t>LULEÅ</t>
        </is>
      </c>
      <c r="G653" t="n">
        <v>1.8</v>
      </c>
      <c r="H653" t="n">
        <v>0</v>
      </c>
      <c r="I653" t="n">
        <v>0</v>
      </c>
      <c r="J653" t="n">
        <v>0</v>
      </c>
      <c r="K653" t="n">
        <v>0</v>
      </c>
      <c r="L653" t="n">
        <v>0</v>
      </c>
      <c r="M653" t="n">
        <v>0</v>
      </c>
      <c r="N653" t="n">
        <v>0</v>
      </c>
      <c r="O653" t="n">
        <v>0</v>
      </c>
      <c r="P653" t="n">
        <v>0</v>
      </c>
      <c r="Q653" t="n">
        <v>0</v>
      </c>
      <c r="R653" s="2" t="inlineStr"/>
    </row>
    <row r="654" ht="15" customHeight="1">
      <c r="A654" t="inlineStr">
        <is>
          <t>A 12865-2023</t>
        </is>
      </c>
      <c r="B654" s="1" t="n">
        <v>45001</v>
      </c>
      <c r="C654" s="1" t="n">
        <v>46088</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44531-2023</t>
        </is>
      </c>
      <c r="B655" s="1" t="n">
        <v>45183</v>
      </c>
      <c r="C655" s="1" t="n">
        <v>46088</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47931-2024</t>
        </is>
      </c>
      <c r="B656" s="1" t="n">
        <v>45589</v>
      </c>
      <c r="C656" s="1" t="n">
        <v>46088</v>
      </c>
      <c r="D656" t="inlineStr">
        <is>
          <t>NORRBOTTENS LÄN</t>
        </is>
      </c>
      <c r="E656" t="inlineStr">
        <is>
          <t>LULEÅ</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57764-2022</t>
        </is>
      </c>
      <c r="B657" s="1" t="n">
        <v>44890</v>
      </c>
      <c r="C657" s="1" t="n">
        <v>46088</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17176-2024</t>
        </is>
      </c>
      <c r="B658" s="1" t="n">
        <v>45412</v>
      </c>
      <c r="C658" s="1" t="n">
        <v>46088</v>
      </c>
      <c r="D658" t="inlineStr">
        <is>
          <t>NORRBOTTENS LÄN</t>
        </is>
      </c>
      <c r="E658" t="inlineStr">
        <is>
          <t>LULEÅ</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40974-2024</t>
        </is>
      </c>
      <c r="B659" s="1" t="n">
        <v>45558.6815162037</v>
      </c>
      <c r="C659" s="1" t="n">
        <v>46088</v>
      </c>
      <c r="D659" t="inlineStr">
        <is>
          <t>NORRBOTTENS LÄN</t>
        </is>
      </c>
      <c r="E659" t="inlineStr">
        <is>
          <t>LULEÅ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72756-2021</t>
        </is>
      </c>
      <c r="B660" s="1" t="n">
        <v>44546.92277777778</v>
      </c>
      <c r="C660" s="1" t="n">
        <v>46088</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22364-2021</t>
        </is>
      </c>
      <c r="B661" s="1" t="n">
        <v>44322</v>
      </c>
      <c r="C661" s="1" t="n">
        <v>46088</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7689-2025</t>
        </is>
      </c>
      <c r="B662" s="1" t="n">
        <v>45706</v>
      </c>
      <c r="C662" s="1" t="n">
        <v>46088</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29555-2024</t>
        </is>
      </c>
      <c r="B663" s="1" t="n">
        <v>45484</v>
      </c>
      <c r="C663" s="1" t="n">
        <v>46088</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60721-2024</t>
        </is>
      </c>
      <c r="B664" s="1" t="n">
        <v>45644</v>
      </c>
      <c r="C664" s="1" t="n">
        <v>46088</v>
      </c>
      <c r="D664" t="inlineStr">
        <is>
          <t>NORRBOTTENS LÄN</t>
        </is>
      </c>
      <c r="E664" t="inlineStr">
        <is>
          <t>LULEÅ</t>
        </is>
      </c>
      <c r="G664" t="n">
        <v>0.3</v>
      </c>
      <c r="H664" t="n">
        <v>0</v>
      </c>
      <c r="I664" t="n">
        <v>0</v>
      </c>
      <c r="J664" t="n">
        <v>0</v>
      </c>
      <c r="K664" t="n">
        <v>0</v>
      </c>
      <c r="L664" t="n">
        <v>0</v>
      </c>
      <c r="M664" t="n">
        <v>0</v>
      </c>
      <c r="N664" t="n">
        <v>0</v>
      </c>
      <c r="O664" t="n">
        <v>0</v>
      </c>
      <c r="P664" t="n">
        <v>0</v>
      </c>
      <c r="Q664" t="n">
        <v>0</v>
      </c>
      <c r="R664" s="2" t="inlineStr"/>
    </row>
    <row r="665" ht="15" customHeight="1">
      <c r="A665" t="inlineStr">
        <is>
          <t>A 20690-2024</t>
        </is>
      </c>
      <c r="B665" s="1" t="n">
        <v>45436</v>
      </c>
      <c r="C665" s="1" t="n">
        <v>46088</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4237-2025</t>
        </is>
      </c>
      <c r="B666" s="1" t="n">
        <v>45685</v>
      </c>
      <c r="C666" s="1" t="n">
        <v>46088</v>
      </c>
      <c r="D666" t="inlineStr">
        <is>
          <t>NORRBOTTENS LÄN</t>
        </is>
      </c>
      <c r="E666" t="inlineStr">
        <is>
          <t>LULEÅ</t>
        </is>
      </c>
      <c r="G666" t="n">
        <v>4.9</v>
      </c>
      <c r="H666" t="n">
        <v>0</v>
      </c>
      <c r="I666" t="n">
        <v>0</v>
      </c>
      <c r="J666" t="n">
        <v>0</v>
      </c>
      <c r="K666" t="n">
        <v>0</v>
      </c>
      <c r="L666" t="n">
        <v>0</v>
      </c>
      <c r="M666" t="n">
        <v>0</v>
      </c>
      <c r="N666" t="n">
        <v>0</v>
      </c>
      <c r="O666" t="n">
        <v>0</v>
      </c>
      <c r="P666" t="n">
        <v>0</v>
      </c>
      <c r="Q666" t="n">
        <v>0</v>
      </c>
      <c r="R666" s="2" t="inlineStr"/>
    </row>
    <row r="667" ht="15" customHeight="1">
      <c r="A667" t="inlineStr">
        <is>
          <t>A 59115-2021</t>
        </is>
      </c>
      <c r="B667" s="1" t="n">
        <v>44490.43877314815</v>
      </c>
      <c r="C667" s="1" t="n">
        <v>46088</v>
      </c>
      <c r="D667" t="inlineStr">
        <is>
          <t>NORRBOTTENS LÄN</t>
        </is>
      </c>
      <c r="E667" t="inlineStr">
        <is>
          <t>LULEÅ</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26925-2024</t>
        </is>
      </c>
      <c r="B668" s="1" t="n">
        <v>45470.93118055556</v>
      </c>
      <c r="C668" s="1" t="n">
        <v>46088</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37765-2021</t>
        </is>
      </c>
      <c r="B669" s="1" t="n">
        <v>44400</v>
      </c>
      <c r="C669" s="1" t="n">
        <v>46088</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5038-2025</t>
        </is>
      </c>
      <c r="B670" s="1" t="n">
        <v>45691.42896990741</v>
      </c>
      <c r="C670" s="1" t="n">
        <v>46088</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5051-2025</t>
        </is>
      </c>
      <c r="B671" s="1" t="n">
        <v>45691.45101851852</v>
      </c>
      <c r="C671" s="1" t="n">
        <v>46088</v>
      </c>
      <c r="D671" t="inlineStr">
        <is>
          <t>NORRBOTTENS LÄN</t>
        </is>
      </c>
      <c r="E671" t="inlineStr">
        <is>
          <t>LULEÅ</t>
        </is>
      </c>
      <c r="G671" t="n">
        <v>0.9</v>
      </c>
      <c r="H671" t="n">
        <v>0</v>
      </c>
      <c r="I671" t="n">
        <v>0</v>
      </c>
      <c r="J671" t="n">
        <v>0</v>
      </c>
      <c r="K671" t="n">
        <v>0</v>
      </c>
      <c r="L671" t="n">
        <v>0</v>
      </c>
      <c r="M671" t="n">
        <v>0</v>
      </c>
      <c r="N671" t="n">
        <v>0</v>
      </c>
      <c r="O671" t="n">
        <v>0</v>
      </c>
      <c r="P671" t="n">
        <v>0</v>
      </c>
      <c r="Q671" t="n">
        <v>0</v>
      </c>
      <c r="R671" s="2" t="inlineStr"/>
    </row>
    <row r="672" ht="15" customHeight="1">
      <c r="A672" t="inlineStr">
        <is>
          <t>A 47246-2022</t>
        </is>
      </c>
      <c r="B672" s="1" t="n">
        <v>44852</v>
      </c>
      <c r="C672" s="1" t="n">
        <v>46088</v>
      </c>
      <c r="D672" t="inlineStr">
        <is>
          <t>NORRBOTTENS LÄN</t>
        </is>
      </c>
      <c r="E672" t="inlineStr">
        <is>
          <t>LULEÅ</t>
        </is>
      </c>
      <c r="G672" t="n">
        <v>2.9</v>
      </c>
      <c r="H672" t="n">
        <v>0</v>
      </c>
      <c r="I672" t="n">
        <v>0</v>
      </c>
      <c r="J672" t="n">
        <v>0</v>
      </c>
      <c r="K672" t="n">
        <v>0</v>
      </c>
      <c r="L672" t="n">
        <v>0</v>
      </c>
      <c r="M672" t="n">
        <v>0</v>
      </c>
      <c r="N672" t="n">
        <v>0</v>
      </c>
      <c r="O672" t="n">
        <v>0</v>
      </c>
      <c r="P672" t="n">
        <v>0</v>
      </c>
      <c r="Q672" t="n">
        <v>0</v>
      </c>
      <c r="R672" s="2" t="inlineStr"/>
    </row>
    <row r="673" ht="15" customHeight="1">
      <c r="A673" t="inlineStr">
        <is>
          <t>A 30785-2024</t>
        </is>
      </c>
      <c r="B673" s="1" t="n">
        <v>45496</v>
      </c>
      <c r="C673" s="1" t="n">
        <v>46088</v>
      </c>
      <c r="D673" t="inlineStr">
        <is>
          <t>NORRBOTTENS LÄN</t>
        </is>
      </c>
      <c r="E673" t="inlineStr">
        <is>
          <t>LULEÅ</t>
        </is>
      </c>
      <c r="F673" t="inlineStr">
        <is>
          <t>Naturvårdsverket</t>
        </is>
      </c>
      <c r="G673" t="n">
        <v>11.7</v>
      </c>
      <c r="H673" t="n">
        <v>0</v>
      </c>
      <c r="I673" t="n">
        <v>0</v>
      </c>
      <c r="J673" t="n">
        <v>0</v>
      </c>
      <c r="K673" t="n">
        <v>0</v>
      </c>
      <c r="L673" t="n">
        <v>0</v>
      </c>
      <c r="M673" t="n">
        <v>0</v>
      </c>
      <c r="N673" t="n">
        <v>0</v>
      </c>
      <c r="O673" t="n">
        <v>0</v>
      </c>
      <c r="P673" t="n">
        <v>0</v>
      </c>
      <c r="Q673" t="n">
        <v>0</v>
      </c>
      <c r="R673" s="2" t="inlineStr"/>
    </row>
    <row r="674" ht="15" customHeight="1">
      <c r="A674" t="inlineStr">
        <is>
          <t>A 8022-2024</t>
        </is>
      </c>
      <c r="B674" s="1" t="n">
        <v>45350</v>
      </c>
      <c r="C674" s="1" t="n">
        <v>46088</v>
      </c>
      <c r="D674" t="inlineStr">
        <is>
          <t>NORRBOTTENS LÄN</t>
        </is>
      </c>
      <c r="E674" t="inlineStr">
        <is>
          <t>LULEÅ</t>
        </is>
      </c>
      <c r="G674" t="n">
        <v>2.3</v>
      </c>
      <c r="H674" t="n">
        <v>0</v>
      </c>
      <c r="I674" t="n">
        <v>0</v>
      </c>
      <c r="J674" t="n">
        <v>0</v>
      </c>
      <c r="K674" t="n">
        <v>0</v>
      </c>
      <c r="L674" t="n">
        <v>0</v>
      </c>
      <c r="M674" t="n">
        <v>0</v>
      </c>
      <c r="N674" t="n">
        <v>0</v>
      </c>
      <c r="O674" t="n">
        <v>0</v>
      </c>
      <c r="P674" t="n">
        <v>0</v>
      </c>
      <c r="Q674" t="n">
        <v>0</v>
      </c>
      <c r="R674" s="2" t="inlineStr"/>
    </row>
    <row r="675" ht="15" customHeight="1">
      <c r="A675" t="inlineStr">
        <is>
          <t>A 12539-2024</t>
        </is>
      </c>
      <c r="B675" s="1" t="n">
        <v>45379</v>
      </c>
      <c r="C675" s="1" t="n">
        <v>46088</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30727-2023</t>
        </is>
      </c>
      <c r="B676" s="1" t="n">
        <v>45112</v>
      </c>
      <c r="C676" s="1" t="n">
        <v>46088</v>
      </c>
      <c r="D676" t="inlineStr">
        <is>
          <t>NORRBOTTENS LÄN</t>
        </is>
      </c>
      <c r="E676" t="inlineStr">
        <is>
          <t>LULEÅ</t>
        </is>
      </c>
      <c r="G676" t="n">
        <v>1.8</v>
      </c>
      <c r="H676" t="n">
        <v>0</v>
      </c>
      <c r="I676" t="n">
        <v>0</v>
      </c>
      <c r="J676" t="n">
        <v>0</v>
      </c>
      <c r="K676" t="n">
        <v>0</v>
      </c>
      <c r="L676" t="n">
        <v>0</v>
      </c>
      <c r="M676" t="n">
        <v>0</v>
      </c>
      <c r="N676" t="n">
        <v>0</v>
      </c>
      <c r="O676" t="n">
        <v>0</v>
      </c>
      <c r="P676" t="n">
        <v>0</v>
      </c>
      <c r="Q676" t="n">
        <v>0</v>
      </c>
      <c r="R676" s="2" t="inlineStr"/>
    </row>
    <row r="677" ht="15" customHeight="1">
      <c r="A677" t="inlineStr">
        <is>
          <t>A 59400-2024</t>
        </is>
      </c>
      <c r="B677" s="1" t="n">
        <v>45638</v>
      </c>
      <c r="C677" s="1" t="n">
        <v>46088</v>
      </c>
      <c r="D677" t="inlineStr">
        <is>
          <t>NORRBOTTENS LÄN</t>
        </is>
      </c>
      <c r="E677" t="inlineStr">
        <is>
          <t>LULEÅ</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35249-2021</t>
        </is>
      </c>
      <c r="B678" s="1" t="n">
        <v>44384</v>
      </c>
      <c r="C678" s="1" t="n">
        <v>46088</v>
      </c>
      <c r="D678" t="inlineStr">
        <is>
          <t>NORRBOTTENS LÄN</t>
        </is>
      </c>
      <c r="E678" t="inlineStr">
        <is>
          <t>LULEÅ</t>
        </is>
      </c>
      <c r="G678" t="n">
        <v>2.4</v>
      </c>
      <c r="H678" t="n">
        <v>0</v>
      </c>
      <c r="I678" t="n">
        <v>0</v>
      </c>
      <c r="J678" t="n">
        <v>0</v>
      </c>
      <c r="K678" t="n">
        <v>0</v>
      </c>
      <c r="L678" t="n">
        <v>0</v>
      </c>
      <c r="M678" t="n">
        <v>0</v>
      </c>
      <c r="N678" t="n">
        <v>0</v>
      </c>
      <c r="O678" t="n">
        <v>0</v>
      </c>
      <c r="P678" t="n">
        <v>0</v>
      </c>
      <c r="Q678" t="n">
        <v>0</v>
      </c>
      <c r="R678" s="2" t="inlineStr"/>
    </row>
    <row r="679" ht="15" customHeight="1">
      <c r="A679" t="inlineStr">
        <is>
          <t>A 35962-2021</t>
        </is>
      </c>
      <c r="B679" s="1" t="n">
        <v>44385</v>
      </c>
      <c r="C679" s="1" t="n">
        <v>46088</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46088</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10183-2025</t>
        </is>
      </c>
      <c r="B681" s="1" t="n">
        <v>45719</v>
      </c>
      <c r="C681" s="1" t="n">
        <v>46088</v>
      </c>
      <c r="D681" t="inlineStr">
        <is>
          <t>NORRBOTTENS LÄN</t>
        </is>
      </c>
      <c r="E681" t="inlineStr">
        <is>
          <t>LULEÅ</t>
        </is>
      </c>
      <c r="G681" t="n">
        <v>2.4</v>
      </c>
      <c r="H681" t="n">
        <v>0</v>
      </c>
      <c r="I681" t="n">
        <v>0</v>
      </c>
      <c r="J681" t="n">
        <v>0</v>
      </c>
      <c r="K681" t="n">
        <v>0</v>
      </c>
      <c r="L681" t="n">
        <v>0</v>
      </c>
      <c r="M681" t="n">
        <v>0</v>
      </c>
      <c r="N681" t="n">
        <v>0</v>
      </c>
      <c r="O681" t="n">
        <v>0</v>
      </c>
      <c r="P681" t="n">
        <v>0</v>
      </c>
      <c r="Q681" t="n">
        <v>0</v>
      </c>
      <c r="R681" s="2" t="inlineStr"/>
    </row>
    <row r="682" ht="15" customHeight="1">
      <c r="A682" t="inlineStr">
        <is>
          <t>A 61866-2023</t>
        </is>
      </c>
      <c r="B682" s="1" t="n">
        <v>45264</v>
      </c>
      <c r="C682" s="1" t="n">
        <v>46088</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3693-2025</t>
        </is>
      </c>
      <c r="B683" s="1" t="n">
        <v>45681.46563657407</v>
      </c>
      <c r="C683" s="1" t="n">
        <v>46088</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23819-2023</t>
        </is>
      </c>
      <c r="B684" s="1" t="n">
        <v>45075</v>
      </c>
      <c r="C684" s="1" t="n">
        <v>46088</v>
      </c>
      <c r="D684" t="inlineStr">
        <is>
          <t>NORRBOTTENS LÄN</t>
        </is>
      </c>
      <c r="E684" t="inlineStr">
        <is>
          <t>LULEÅ</t>
        </is>
      </c>
      <c r="G684" t="n">
        <v>1.3</v>
      </c>
      <c r="H684" t="n">
        <v>0</v>
      </c>
      <c r="I684" t="n">
        <v>0</v>
      </c>
      <c r="J684" t="n">
        <v>0</v>
      </c>
      <c r="K684" t="n">
        <v>0</v>
      </c>
      <c r="L684" t="n">
        <v>0</v>
      </c>
      <c r="M684" t="n">
        <v>0</v>
      </c>
      <c r="N684" t="n">
        <v>0</v>
      </c>
      <c r="O684" t="n">
        <v>0</v>
      </c>
      <c r="P684" t="n">
        <v>0</v>
      </c>
      <c r="Q684" t="n">
        <v>0</v>
      </c>
      <c r="R684" s="2" t="inlineStr"/>
    </row>
    <row r="685" ht="15" customHeight="1">
      <c r="A685" t="inlineStr">
        <is>
          <t>A 14447-2023</t>
        </is>
      </c>
      <c r="B685" s="1" t="n">
        <v>45012</v>
      </c>
      <c r="C685" s="1" t="n">
        <v>46088</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17304-2025</t>
        </is>
      </c>
      <c r="B686" s="1" t="n">
        <v>45756</v>
      </c>
      <c r="C686" s="1" t="n">
        <v>46088</v>
      </c>
      <c r="D686" t="inlineStr">
        <is>
          <t>NORRBOTTENS LÄN</t>
        </is>
      </c>
      <c r="E686" t="inlineStr">
        <is>
          <t>LULEÅ</t>
        </is>
      </c>
      <c r="G686" t="n">
        <v>2.8</v>
      </c>
      <c r="H686" t="n">
        <v>0</v>
      </c>
      <c r="I686" t="n">
        <v>0</v>
      </c>
      <c r="J686" t="n">
        <v>0</v>
      </c>
      <c r="K686" t="n">
        <v>0</v>
      </c>
      <c r="L686" t="n">
        <v>0</v>
      </c>
      <c r="M686" t="n">
        <v>0</v>
      </c>
      <c r="N686" t="n">
        <v>0</v>
      </c>
      <c r="O686" t="n">
        <v>0</v>
      </c>
      <c r="P686" t="n">
        <v>0</v>
      </c>
      <c r="Q686" t="n">
        <v>0</v>
      </c>
      <c r="R686" s="2" t="inlineStr"/>
    </row>
    <row r="687" ht="15" customHeight="1">
      <c r="A687" t="inlineStr">
        <is>
          <t>A 17306-2025</t>
        </is>
      </c>
      <c r="B687" s="1" t="n">
        <v>45756.60434027778</v>
      </c>
      <c r="C687" s="1" t="n">
        <v>46088</v>
      </c>
      <c r="D687" t="inlineStr">
        <is>
          <t>NORRBOTTENS LÄN</t>
        </is>
      </c>
      <c r="E687" t="inlineStr">
        <is>
          <t>LULEÅ</t>
        </is>
      </c>
      <c r="G687" t="n">
        <v>0.8</v>
      </c>
      <c r="H687" t="n">
        <v>0</v>
      </c>
      <c r="I687" t="n">
        <v>0</v>
      </c>
      <c r="J687" t="n">
        <v>0</v>
      </c>
      <c r="K687" t="n">
        <v>0</v>
      </c>
      <c r="L687" t="n">
        <v>0</v>
      </c>
      <c r="M687" t="n">
        <v>0</v>
      </c>
      <c r="N687" t="n">
        <v>0</v>
      </c>
      <c r="O687" t="n">
        <v>0</v>
      </c>
      <c r="P687" t="n">
        <v>0</v>
      </c>
      <c r="Q687" t="n">
        <v>0</v>
      </c>
      <c r="R687" s="2" t="inlineStr"/>
    </row>
    <row r="688" ht="15" customHeight="1">
      <c r="A688" t="inlineStr">
        <is>
          <t>A 57826-2022</t>
        </is>
      </c>
      <c r="B688" s="1" t="n">
        <v>44897</v>
      </c>
      <c r="C688" s="1" t="n">
        <v>46088</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42102-2024</t>
        </is>
      </c>
      <c r="B689" s="1" t="n">
        <v>45562.35875</v>
      </c>
      <c r="C689" s="1" t="n">
        <v>46088</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23744-2023</t>
        </is>
      </c>
      <c r="B690" s="1" t="n">
        <v>45077.82532407407</v>
      </c>
      <c r="C690" s="1" t="n">
        <v>46088</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1572-2025</t>
        </is>
      </c>
      <c r="B691" s="1" t="n">
        <v>45670.55724537037</v>
      </c>
      <c r="C691" s="1" t="n">
        <v>46088</v>
      </c>
      <c r="D691" t="inlineStr">
        <is>
          <t>NORRBOTTENS LÄN</t>
        </is>
      </c>
      <c r="E691" t="inlineStr">
        <is>
          <t>LULEÅ</t>
        </is>
      </c>
      <c r="G691" t="n">
        <v>5.2</v>
      </c>
      <c r="H691" t="n">
        <v>0</v>
      </c>
      <c r="I691" t="n">
        <v>0</v>
      </c>
      <c r="J691" t="n">
        <v>0</v>
      </c>
      <c r="K691" t="n">
        <v>0</v>
      </c>
      <c r="L691" t="n">
        <v>0</v>
      </c>
      <c r="M691" t="n">
        <v>0</v>
      </c>
      <c r="N691" t="n">
        <v>0</v>
      </c>
      <c r="O691" t="n">
        <v>0</v>
      </c>
      <c r="P691" t="n">
        <v>0</v>
      </c>
      <c r="Q691" t="n">
        <v>0</v>
      </c>
      <c r="R691" s="2" t="inlineStr"/>
    </row>
    <row r="692" ht="15" customHeight="1">
      <c r="A692" t="inlineStr">
        <is>
          <t>A 4940-2025</t>
        </is>
      </c>
      <c r="B692" s="1" t="n">
        <v>45688.69949074074</v>
      </c>
      <c r="C692" s="1" t="n">
        <v>46088</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59681-2023</t>
        </is>
      </c>
      <c r="B693" s="1" t="n">
        <v>45255</v>
      </c>
      <c r="C693" s="1" t="n">
        <v>46088</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49648-2024</t>
        </is>
      </c>
      <c r="B694" s="1" t="n">
        <v>45596</v>
      </c>
      <c r="C694" s="1" t="n">
        <v>46088</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1017-2025</t>
        </is>
      </c>
      <c r="B695" s="1" t="n">
        <v>45665</v>
      </c>
      <c r="C695" s="1" t="n">
        <v>46088</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12282-2024</t>
        </is>
      </c>
      <c r="B696" s="1" t="n">
        <v>45378</v>
      </c>
      <c r="C696" s="1" t="n">
        <v>46088</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12551-2024</t>
        </is>
      </c>
      <c r="B697" s="1" t="n">
        <v>45379</v>
      </c>
      <c r="C697" s="1" t="n">
        <v>46088</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17175-2024</t>
        </is>
      </c>
      <c r="B698" s="1" t="n">
        <v>45412</v>
      </c>
      <c r="C698" s="1" t="n">
        <v>46088</v>
      </c>
      <c r="D698" t="inlineStr">
        <is>
          <t>NORRBOTTENS LÄN</t>
        </is>
      </c>
      <c r="E698" t="inlineStr">
        <is>
          <t>LULEÅ</t>
        </is>
      </c>
      <c r="F698" t="inlineStr">
        <is>
          <t>SCA</t>
        </is>
      </c>
      <c r="G698" t="n">
        <v>18.5</v>
      </c>
      <c r="H698" t="n">
        <v>0</v>
      </c>
      <c r="I698" t="n">
        <v>0</v>
      </c>
      <c r="J698" t="n">
        <v>0</v>
      </c>
      <c r="K698" t="n">
        <v>0</v>
      </c>
      <c r="L698" t="n">
        <v>0</v>
      </c>
      <c r="M698" t="n">
        <v>0</v>
      </c>
      <c r="N698" t="n">
        <v>0</v>
      </c>
      <c r="O698" t="n">
        <v>0</v>
      </c>
      <c r="P698" t="n">
        <v>0</v>
      </c>
      <c r="Q698" t="n">
        <v>0</v>
      </c>
      <c r="R698" s="2" t="inlineStr"/>
    </row>
    <row r="699" ht="15" customHeight="1">
      <c r="A699" t="inlineStr">
        <is>
          <t>A 35234-2021</t>
        </is>
      </c>
      <c r="B699" s="1" t="n">
        <v>44384</v>
      </c>
      <c r="C699" s="1" t="n">
        <v>46088</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54213-2023</t>
        </is>
      </c>
      <c r="B700" s="1" t="n">
        <v>45232</v>
      </c>
      <c r="C700" s="1" t="n">
        <v>46088</v>
      </c>
      <c r="D700" t="inlineStr">
        <is>
          <t>NORRBOTTENS LÄN</t>
        </is>
      </c>
      <c r="E700" t="inlineStr">
        <is>
          <t>LULEÅ</t>
        </is>
      </c>
      <c r="G700" t="n">
        <v>0.2</v>
      </c>
      <c r="H700" t="n">
        <v>0</v>
      </c>
      <c r="I700" t="n">
        <v>0</v>
      </c>
      <c r="J700" t="n">
        <v>0</v>
      </c>
      <c r="K700" t="n">
        <v>0</v>
      </c>
      <c r="L700" t="n">
        <v>0</v>
      </c>
      <c r="M700" t="n">
        <v>0</v>
      </c>
      <c r="N700" t="n">
        <v>0</v>
      </c>
      <c r="O700" t="n">
        <v>0</v>
      </c>
      <c r="P700" t="n">
        <v>0</v>
      </c>
      <c r="Q700" t="n">
        <v>0</v>
      </c>
      <c r="R700" s="2" t="inlineStr"/>
    </row>
    <row r="701" ht="15" customHeight="1">
      <c r="A701" t="inlineStr">
        <is>
          <t>A 11135-2025</t>
        </is>
      </c>
      <c r="B701" s="1" t="n">
        <v>45723.65663194445</v>
      </c>
      <c r="C701" s="1" t="n">
        <v>46088</v>
      </c>
      <c r="D701" t="inlineStr">
        <is>
          <t>NORRBOTTENS LÄN</t>
        </is>
      </c>
      <c r="E701" t="inlineStr">
        <is>
          <t>LULEÅ</t>
        </is>
      </c>
      <c r="G701" t="n">
        <v>16.7</v>
      </c>
      <c r="H701" t="n">
        <v>0</v>
      </c>
      <c r="I701" t="n">
        <v>0</v>
      </c>
      <c r="J701" t="n">
        <v>0</v>
      </c>
      <c r="K701" t="n">
        <v>0</v>
      </c>
      <c r="L701" t="n">
        <v>0</v>
      </c>
      <c r="M701" t="n">
        <v>0</v>
      </c>
      <c r="N701" t="n">
        <v>0</v>
      </c>
      <c r="O701" t="n">
        <v>0</v>
      </c>
      <c r="P701" t="n">
        <v>0</v>
      </c>
      <c r="Q701" t="n">
        <v>0</v>
      </c>
      <c r="R701" s="2" t="inlineStr"/>
    </row>
    <row r="702" ht="15" customHeight="1">
      <c r="A702" t="inlineStr">
        <is>
          <t>A 60954-2021</t>
        </is>
      </c>
      <c r="B702" s="1" t="n">
        <v>44496</v>
      </c>
      <c r="C702" s="1" t="n">
        <v>46088</v>
      </c>
      <c r="D702" t="inlineStr">
        <is>
          <t>NORRBOTTENS LÄN</t>
        </is>
      </c>
      <c r="E702" t="inlineStr">
        <is>
          <t>LULEÅ</t>
        </is>
      </c>
      <c r="G702" t="n">
        <v>1.9</v>
      </c>
      <c r="H702" t="n">
        <v>0</v>
      </c>
      <c r="I702" t="n">
        <v>0</v>
      </c>
      <c r="J702" t="n">
        <v>0</v>
      </c>
      <c r="K702" t="n">
        <v>0</v>
      </c>
      <c r="L702" t="n">
        <v>0</v>
      </c>
      <c r="M702" t="n">
        <v>0</v>
      </c>
      <c r="N702" t="n">
        <v>0</v>
      </c>
      <c r="O702" t="n">
        <v>0</v>
      </c>
      <c r="P702" t="n">
        <v>0</v>
      </c>
      <c r="Q702" t="n">
        <v>0</v>
      </c>
      <c r="R702" s="2" t="inlineStr"/>
    </row>
    <row r="703" ht="15" customHeight="1">
      <c r="A703" t="inlineStr">
        <is>
          <t>A 20063-2023</t>
        </is>
      </c>
      <c r="B703" s="1" t="n">
        <v>45054</v>
      </c>
      <c r="C703" s="1" t="n">
        <v>46088</v>
      </c>
      <c r="D703" t="inlineStr">
        <is>
          <t>NORRBOTTENS LÄN</t>
        </is>
      </c>
      <c r="E703" t="inlineStr">
        <is>
          <t>LULEÅ</t>
        </is>
      </c>
      <c r="G703" t="n">
        <v>2.2</v>
      </c>
      <c r="H703" t="n">
        <v>0</v>
      </c>
      <c r="I703" t="n">
        <v>0</v>
      </c>
      <c r="J703" t="n">
        <v>0</v>
      </c>
      <c r="K703" t="n">
        <v>0</v>
      </c>
      <c r="L703" t="n">
        <v>0</v>
      </c>
      <c r="M703" t="n">
        <v>0</v>
      </c>
      <c r="N703" t="n">
        <v>0</v>
      </c>
      <c r="O703" t="n">
        <v>0</v>
      </c>
      <c r="P703" t="n">
        <v>0</v>
      </c>
      <c r="Q703" t="n">
        <v>0</v>
      </c>
      <c r="R703" s="2" t="inlineStr"/>
    </row>
    <row r="704" ht="15" customHeight="1">
      <c r="A704" t="inlineStr">
        <is>
          <t>A 26253-2023</t>
        </is>
      </c>
      <c r="B704" s="1" t="n">
        <v>45091</v>
      </c>
      <c r="C704" s="1" t="n">
        <v>46088</v>
      </c>
      <c r="D704" t="inlineStr">
        <is>
          <t>NORRBOTTENS LÄN</t>
        </is>
      </c>
      <c r="E704" t="inlineStr">
        <is>
          <t>LULEÅ</t>
        </is>
      </c>
      <c r="G704" t="n">
        <v>4.9</v>
      </c>
      <c r="H704" t="n">
        <v>0</v>
      </c>
      <c r="I704" t="n">
        <v>0</v>
      </c>
      <c r="J704" t="n">
        <v>0</v>
      </c>
      <c r="K704" t="n">
        <v>0</v>
      </c>
      <c r="L704" t="n">
        <v>0</v>
      </c>
      <c r="M704" t="n">
        <v>0</v>
      </c>
      <c r="N704" t="n">
        <v>0</v>
      </c>
      <c r="O704" t="n">
        <v>0</v>
      </c>
      <c r="P704" t="n">
        <v>0</v>
      </c>
      <c r="Q704" t="n">
        <v>0</v>
      </c>
      <c r="R704" s="2" t="inlineStr"/>
    </row>
    <row r="705" ht="15" customHeight="1">
      <c r="A705" t="inlineStr">
        <is>
          <t>A 49857-2023</t>
        </is>
      </c>
      <c r="B705" s="1" t="n">
        <v>45212</v>
      </c>
      <c r="C705" s="1" t="n">
        <v>46088</v>
      </c>
      <c r="D705" t="inlineStr">
        <is>
          <t>NORRBOTTENS LÄN</t>
        </is>
      </c>
      <c r="E705" t="inlineStr">
        <is>
          <t>LULEÅ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49858-2023</t>
        </is>
      </c>
      <c r="B706" s="1" t="n">
        <v>45212.95483796296</v>
      </c>
      <c r="C706" s="1" t="n">
        <v>46088</v>
      </c>
      <c r="D706" t="inlineStr">
        <is>
          <t>NORRBOTTENS LÄN</t>
        </is>
      </c>
      <c r="E706" t="inlineStr">
        <is>
          <t>LULEÅ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44330-2024</t>
        </is>
      </c>
      <c r="B707" s="1" t="n">
        <v>45573.60027777778</v>
      </c>
      <c r="C707" s="1" t="n">
        <v>46088</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42103-2024</t>
        </is>
      </c>
      <c r="B708" s="1" t="n">
        <v>45562</v>
      </c>
      <c r="C708" s="1" t="n">
        <v>46088</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18208-2023</t>
        </is>
      </c>
      <c r="B709" s="1" t="n">
        <v>45040</v>
      </c>
      <c r="C709" s="1" t="n">
        <v>46088</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704-2025</t>
        </is>
      </c>
      <c r="B710" s="1" t="n">
        <v>45663</v>
      </c>
      <c r="C710" s="1" t="n">
        <v>46088</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731-2025</t>
        </is>
      </c>
      <c r="B711" s="1" t="n">
        <v>45664</v>
      </c>
      <c r="C711" s="1" t="n">
        <v>46088</v>
      </c>
      <c r="D711" t="inlineStr">
        <is>
          <t>NORRBOTTENS LÄN</t>
        </is>
      </c>
      <c r="E711" t="inlineStr">
        <is>
          <t>LULEÅ</t>
        </is>
      </c>
      <c r="G711" t="n">
        <v>0.4</v>
      </c>
      <c r="H711" t="n">
        <v>0</v>
      </c>
      <c r="I711" t="n">
        <v>0</v>
      </c>
      <c r="J711" t="n">
        <v>0</v>
      </c>
      <c r="K711" t="n">
        <v>0</v>
      </c>
      <c r="L711" t="n">
        <v>0</v>
      </c>
      <c r="M711" t="n">
        <v>0</v>
      </c>
      <c r="N711" t="n">
        <v>0</v>
      </c>
      <c r="O711" t="n">
        <v>0</v>
      </c>
      <c r="P711" t="n">
        <v>0</v>
      </c>
      <c r="Q711" t="n">
        <v>0</v>
      </c>
      <c r="R711" s="2" t="inlineStr"/>
    </row>
    <row r="712" ht="15" customHeight="1">
      <c r="A712" t="inlineStr">
        <is>
          <t>A 23730-2023</t>
        </is>
      </c>
      <c r="B712" s="1" t="n">
        <v>45077</v>
      </c>
      <c r="C712" s="1" t="n">
        <v>46088</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53985-2023</t>
        </is>
      </c>
      <c r="B713" s="1" t="n">
        <v>45225</v>
      </c>
      <c r="C713" s="1" t="n">
        <v>46088</v>
      </c>
      <c r="D713" t="inlineStr">
        <is>
          <t>NORRBOTTENS LÄN</t>
        </is>
      </c>
      <c r="E713" t="inlineStr">
        <is>
          <t>LULEÅ</t>
        </is>
      </c>
      <c r="G713" t="n">
        <v>3.2</v>
      </c>
      <c r="H713" t="n">
        <v>0</v>
      </c>
      <c r="I713" t="n">
        <v>0</v>
      </c>
      <c r="J713" t="n">
        <v>0</v>
      </c>
      <c r="K713" t="n">
        <v>0</v>
      </c>
      <c r="L713" t="n">
        <v>0</v>
      </c>
      <c r="M713" t="n">
        <v>0</v>
      </c>
      <c r="N713" t="n">
        <v>0</v>
      </c>
      <c r="O713" t="n">
        <v>0</v>
      </c>
      <c r="P713" t="n">
        <v>0</v>
      </c>
      <c r="Q713" t="n">
        <v>0</v>
      </c>
      <c r="R713" s="2" t="inlineStr"/>
    </row>
    <row r="714" ht="15" customHeight="1">
      <c r="A714" t="inlineStr">
        <is>
          <t>A 2561-2022</t>
        </is>
      </c>
      <c r="B714" s="1" t="n">
        <v>44579</v>
      </c>
      <c r="C714" s="1" t="n">
        <v>46088</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48059-2023</t>
        </is>
      </c>
      <c r="B715" s="1" t="n">
        <v>45204</v>
      </c>
      <c r="C715" s="1" t="n">
        <v>46088</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61891-2023</t>
        </is>
      </c>
      <c r="B716" s="1" t="n">
        <v>45264</v>
      </c>
      <c r="C716" s="1" t="n">
        <v>46088</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4137-2024</t>
        </is>
      </c>
      <c r="B717" s="1" t="n">
        <v>45323</v>
      </c>
      <c r="C717" s="1" t="n">
        <v>46088</v>
      </c>
      <c r="D717" t="inlineStr">
        <is>
          <t>NORRBOTTENS LÄN</t>
        </is>
      </c>
      <c r="E717" t="inlineStr">
        <is>
          <t>LULEÅ</t>
        </is>
      </c>
      <c r="G717" t="n">
        <v>13.1</v>
      </c>
      <c r="H717" t="n">
        <v>0</v>
      </c>
      <c r="I717" t="n">
        <v>0</v>
      </c>
      <c r="J717" t="n">
        <v>0</v>
      </c>
      <c r="K717" t="n">
        <v>0</v>
      </c>
      <c r="L717" t="n">
        <v>0</v>
      </c>
      <c r="M717" t="n">
        <v>0</v>
      </c>
      <c r="N717" t="n">
        <v>0</v>
      </c>
      <c r="O717" t="n">
        <v>0</v>
      </c>
      <c r="P717" t="n">
        <v>0</v>
      </c>
      <c r="Q717" t="n">
        <v>0</v>
      </c>
      <c r="R717" s="2" t="inlineStr"/>
    </row>
    <row r="718" ht="15" customHeight="1">
      <c r="A718" t="inlineStr">
        <is>
          <t>A 29457-2023</t>
        </is>
      </c>
      <c r="B718" s="1" t="n">
        <v>45106</v>
      </c>
      <c r="C718" s="1" t="n">
        <v>46088</v>
      </c>
      <c r="D718" t="inlineStr">
        <is>
          <t>NORRBOTTENS LÄN</t>
        </is>
      </c>
      <c r="E718" t="inlineStr">
        <is>
          <t>LULEÅ</t>
        </is>
      </c>
      <c r="G718" t="n">
        <v>7</v>
      </c>
      <c r="H718" t="n">
        <v>0</v>
      </c>
      <c r="I718" t="n">
        <v>0</v>
      </c>
      <c r="J718" t="n">
        <v>0</v>
      </c>
      <c r="K718" t="n">
        <v>0</v>
      </c>
      <c r="L718" t="n">
        <v>0</v>
      </c>
      <c r="M718" t="n">
        <v>0</v>
      </c>
      <c r="N718" t="n">
        <v>0</v>
      </c>
      <c r="O718" t="n">
        <v>0</v>
      </c>
      <c r="P718" t="n">
        <v>0</v>
      </c>
      <c r="Q718" t="n">
        <v>0</v>
      </c>
      <c r="R718" s="2" t="inlineStr"/>
    </row>
    <row r="719" ht="15" customHeight="1">
      <c r="A719" t="inlineStr">
        <is>
          <t>A 6739-2024</t>
        </is>
      </c>
      <c r="B719" s="1" t="n">
        <v>45342</v>
      </c>
      <c r="C719" s="1" t="n">
        <v>46088</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15127-2023</t>
        </is>
      </c>
      <c r="B720" s="1" t="n">
        <v>45016</v>
      </c>
      <c r="C720" s="1" t="n">
        <v>46088</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72752-2021</t>
        </is>
      </c>
      <c r="B721" s="1" t="n">
        <v>44546.92262731482</v>
      </c>
      <c r="C721" s="1" t="n">
        <v>46088</v>
      </c>
      <c r="D721" t="inlineStr">
        <is>
          <t>NORRBOTTENS LÄN</t>
        </is>
      </c>
      <c r="E721" t="inlineStr">
        <is>
          <t>LULEÅ</t>
        </is>
      </c>
      <c r="G721" t="n">
        <v>1.8</v>
      </c>
      <c r="H721" t="n">
        <v>0</v>
      </c>
      <c r="I721" t="n">
        <v>0</v>
      </c>
      <c r="J721" t="n">
        <v>0</v>
      </c>
      <c r="K721" t="n">
        <v>0</v>
      </c>
      <c r="L721" t="n">
        <v>0</v>
      </c>
      <c r="M721" t="n">
        <v>0</v>
      </c>
      <c r="N721" t="n">
        <v>0</v>
      </c>
      <c r="O721" t="n">
        <v>0</v>
      </c>
      <c r="P721" t="n">
        <v>0</v>
      </c>
      <c r="Q721" t="n">
        <v>0</v>
      </c>
      <c r="R721" s="2" t="inlineStr"/>
    </row>
    <row r="722" ht="15" customHeight="1">
      <c r="A722" t="inlineStr">
        <is>
          <t>A 50642-2024</t>
        </is>
      </c>
      <c r="B722" s="1" t="n">
        <v>45601.68076388889</v>
      </c>
      <c r="C722" s="1" t="n">
        <v>46088</v>
      </c>
      <c r="D722" t="inlineStr">
        <is>
          <t>NORRBOTTENS LÄN</t>
        </is>
      </c>
      <c r="E722" t="inlineStr">
        <is>
          <t>LULEÅ</t>
        </is>
      </c>
      <c r="G722" t="n">
        <v>1.5</v>
      </c>
      <c r="H722" t="n">
        <v>0</v>
      </c>
      <c r="I722" t="n">
        <v>0</v>
      </c>
      <c r="J722" t="n">
        <v>0</v>
      </c>
      <c r="K722" t="n">
        <v>0</v>
      </c>
      <c r="L722" t="n">
        <v>0</v>
      </c>
      <c r="M722" t="n">
        <v>0</v>
      </c>
      <c r="N722" t="n">
        <v>0</v>
      </c>
      <c r="O722" t="n">
        <v>0</v>
      </c>
      <c r="P722" t="n">
        <v>0</v>
      </c>
      <c r="Q722" t="n">
        <v>0</v>
      </c>
      <c r="R722" s="2" t="inlineStr"/>
    </row>
    <row r="723" ht="15" customHeight="1">
      <c r="A723" t="inlineStr">
        <is>
          <t>A 50645-2024</t>
        </is>
      </c>
      <c r="B723" s="1" t="n">
        <v>45601.68283564815</v>
      </c>
      <c r="C723" s="1" t="n">
        <v>46088</v>
      </c>
      <c r="D723" t="inlineStr">
        <is>
          <t>NORRBOTTENS LÄN</t>
        </is>
      </c>
      <c r="E723" t="inlineStr">
        <is>
          <t>LULEÅ</t>
        </is>
      </c>
      <c r="G723" t="n">
        <v>3.8</v>
      </c>
      <c r="H723" t="n">
        <v>0</v>
      </c>
      <c r="I723" t="n">
        <v>0</v>
      </c>
      <c r="J723" t="n">
        <v>0</v>
      </c>
      <c r="K723" t="n">
        <v>0</v>
      </c>
      <c r="L723" t="n">
        <v>0</v>
      </c>
      <c r="M723" t="n">
        <v>0</v>
      </c>
      <c r="N723" t="n">
        <v>0</v>
      </c>
      <c r="O723" t="n">
        <v>0</v>
      </c>
      <c r="P723" t="n">
        <v>0</v>
      </c>
      <c r="Q723" t="n">
        <v>0</v>
      </c>
      <c r="R723" s="2" t="inlineStr"/>
    </row>
    <row r="724" ht="15" customHeight="1">
      <c r="A724" t="inlineStr">
        <is>
          <t>A 25791-2024</t>
        </is>
      </c>
      <c r="B724" s="1" t="n">
        <v>45463</v>
      </c>
      <c r="C724" s="1" t="n">
        <v>46088</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9250-2025</t>
        </is>
      </c>
      <c r="B725" s="1" t="n">
        <v>45714</v>
      </c>
      <c r="C725" s="1" t="n">
        <v>46088</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37935-2024</t>
        </is>
      </c>
      <c r="B726" s="1" t="n">
        <v>45544</v>
      </c>
      <c r="C726" s="1" t="n">
        <v>46088</v>
      </c>
      <c r="D726" t="inlineStr">
        <is>
          <t>NORRBOTTENS LÄN</t>
        </is>
      </c>
      <c r="E726" t="inlineStr">
        <is>
          <t>LULEÅ</t>
        </is>
      </c>
      <c r="G726" t="n">
        <v>3.3</v>
      </c>
      <c r="H726" t="n">
        <v>0</v>
      </c>
      <c r="I726" t="n">
        <v>0</v>
      </c>
      <c r="J726" t="n">
        <v>0</v>
      </c>
      <c r="K726" t="n">
        <v>0</v>
      </c>
      <c r="L726" t="n">
        <v>0</v>
      </c>
      <c r="M726" t="n">
        <v>0</v>
      </c>
      <c r="N726" t="n">
        <v>0</v>
      </c>
      <c r="O726" t="n">
        <v>0</v>
      </c>
      <c r="P726" t="n">
        <v>0</v>
      </c>
      <c r="Q726" t="n">
        <v>0</v>
      </c>
      <c r="R726" s="2" t="inlineStr"/>
    </row>
    <row r="727" ht="15" customHeight="1">
      <c r="A727" t="inlineStr">
        <is>
          <t>A 23632-2021</t>
        </is>
      </c>
      <c r="B727" s="1" t="n">
        <v>44334</v>
      </c>
      <c r="C727" s="1" t="n">
        <v>46088</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19986-2025</t>
        </is>
      </c>
      <c r="B728" s="1" t="n">
        <v>45771.71979166667</v>
      </c>
      <c r="C728" s="1" t="n">
        <v>46088</v>
      </c>
      <c r="D728" t="inlineStr">
        <is>
          <t>NORRBOTTENS LÄN</t>
        </is>
      </c>
      <c r="E728" t="inlineStr">
        <is>
          <t>LULEÅ</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5688-2023</t>
        </is>
      </c>
      <c r="B729" s="1" t="n">
        <v>44960.92371527778</v>
      </c>
      <c r="C729" s="1" t="n">
        <v>46088</v>
      </c>
      <c r="D729" t="inlineStr">
        <is>
          <t>NORRBOTTENS LÄN</t>
        </is>
      </c>
      <c r="E729" t="inlineStr">
        <is>
          <t>LULEÅ</t>
        </is>
      </c>
      <c r="G729" t="n">
        <v>5.9</v>
      </c>
      <c r="H729" t="n">
        <v>0</v>
      </c>
      <c r="I729" t="n">
        <v>0</v>
      </c>
      <c r="J729" t="n">
        <v>0</v>
      </c>
      <c r="K729" t="n">
        <v>0</v>
      </c>
      <c r="L729" t="n">
        <v>0</v>
      </c>
      <c r="M729" t="n">
        <v>0</v>
      </c>
      <c r="N729" t="n">
        <v>0</v>
      </c>
      <c r="O729" t="n">
        <v>0</v>
      </c>
      <c r="P729" t="n">
        <v>0</v>
      </c>
      <c r="Q729" t="n">
        <v>0</v>
      </c>
      <c r="R729" s="2" t="inlineStr"/>
    </row>
    <row r="730" ht="15" customHeight="1">
      <c r="A730" t="inlineStr">
        <is>
          <t>A 6269-2023</t>
        </is>
      </c>
      <c r="B730" s="1" t="n">
        <v>44960</v>
      </c>
      <c r="C730" s="1" t="n">
        <v>46088</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43765-2023</t>
        </is>
      </c>
      <c r="B731" s="1" t="n">
        <v>45187</v>
      </c>
      <c r="C731" s="1" t="n">
        <v>46088</v>
      </c>
      <c r="D731" t="inlineStr">
        <is>
          <t>NORRBOTTENS LÄN</t>
        </is>
      </c>
      <c r="E731" t="inlineStr">
        <is>
          <t>LULEÅ</t>
        </is>
      </c>
      <c r="G731" t="n">
        <v>13.7</v>
      </c>
      <c r="H731" t="n">
        <v>0</v>
      </c>
      <c r="I731" t="n">
        <v>0</v>
      </c>
      <c r="J731" t="n">
        <v>0</v>
      </c>
      <c r="K731" t="n">
        <v>0</v>
      </c>
      <c r="L731" t="n">
        <v>0</v>
      </c>
      <c r="M731" t="n">
        <v>0</v>
      </c>
      <c r="N731" t="n">
        <v>0</v>
      </c>
      <c r="O731" t="n">
        <v>0</v>
      </c>
      <c r="P731" t="n">
        <v>0</v>
      </c>
      <c r="Q731" t="n">
        <v>0</v>
      </c>
      <c r="R731" s="2" t="inlineStr"/>
    </row>
    <row r="732" ht="15" customHeight="1">
      <c r="A732" t="inlineStr">
        <is>
          <t>A 55747-2023</t>
        </is>
      </c>
      <c r="B732" s="1" t="n">
        <v>45232</v>
      </c>
      <c r="C732" s="1" t="n">
        <v>46088</v>
      </c>
      <c r="D732" t="inlineStr">
        <is>
          <t>NORRBOTTENS LÄN</t>
        </is>
      </c>
      <c r="E732" t="inlineStr">
        <is>
          <t>LULEÅ</t>
        </is>
      </c>
      <c r="G732" t="n">
        <v>1.1</v>
      </c>
      <c r="H732" t="n">
        <v>0</v>
      </c>
      <c r="I732" t="n">
        <v>0</v>
      </c>
      <c r="J732" t="n">
        <v>0</v>
      </c>
      <c r="K732" t="n">
        <v>0</v>
      </c>
      <c r="L732" t="n">
        <v>0</v>
      </c>
      <c r="M732" t="n">
        <v>0</v>
      </c>
      <c r="N732" t="n">
        <v>0</v>
      </c>
      <c r="O732" t="n">
        <v>0</v>
      </c>
      <c r="P732" t="n">
        <v>0</v>
      </c>
      <c r="Q732" t="n">
        <v>0</v>
      </c>
      <c r="R732" s="2" t="inlineStr"/>
    </row>
    <row r="733" ht="15" customHeight="1">
      <c r="A733" t="inlineStr">
        <is>
          <t>A 46547-2021</t>
        </is>
      </c>
      <c r="B733" s="1" t="n">
        <v>44445</v>
      </c>
      <c r="C733" s="1" t="n">
        <v>46088</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23884-2022</t>
        </is>
      </c>
      <c r="B734" s="1" t="n">
        <v>44722.57129629629</v>
      </c>
      <c r="C734" s="1" t="n">
        <v>46088</v>
      </c>
      <c r="D734" t="inlineStr">
        <is>
          <t>NORRBOTTENS LÄN</t>
        </is>
      </c>
      <c r="E734" t="inlineStr">
        <is>
          <t>LULEÅ</t>
        </is>
      </c>
      <c r="G734" t="n">
        <v>2.1</v>
      </c>
      <c r="H734" t="n">
        <v>0</v>
      </c>
      <c r="I734" t="n">
        <v>0</v>
      </c>
      <c r="J734" t="n">
        <v>0</v>
      </c>
      <c r="K734" t="n">
        <v>0</v>
      </c>
      <c r="L734" t="n">
        <v>0</v>
      </c>
      <c r="M734" t="n">
        <v>0</v>
      </c>
      <c r="N734" t="n">
        <v>0</v>
      </c>
      <c r="O734" t="n">
        <v>0</v>
      </c>
      <c r="P734" t="n">
        <v>0</v>
      </c>
      <c r="Q734" t="n">
        <v>0</v>
      </c>
      <c r="R734" s="2" t="inlineStr"/>
    </row>
    <row r="735" ht="15" customHeight="1">
      <c r="A735" t="inlineStr">
        <is>
          <t>A 52854-2022</t>
        </is>
      </c>
      <c r="B735" s="1" t="n">
        <v>44872</v>
      </c>
      <c r="C735" s="1" t="n">
        <v>46088</v>
      </c>
      <c r="D735" t="inlineStr">
        <is>
          <t>NORRBOTTENS LÄN</t>
        </is>
      </c>
      <c r="E735" t="inlineStr">
        <is>
          <t>LULEÅ</t>
        </is>
      </c>
      <c r="G735" t="n">
        <v>1.6</v>
      </c>
      <c r="H735" t="n">
        <v>0</v>
      </c>
      <c r="I735" t="n">
        <v>0</v>
      </c>
      <c r="J735" t="n">
        <v>0</v>
      </c>
      <c r="K735" t="n">
        <v>0</v>
      </c>
      <c r="L735" t="n">
        <v>0</v>
      </c>
      <c r="M735" t="n">
        <v>0</v>
      </c>
      <c r="N735" t="n">
        <v>0</v>
      </c>
      <c r="O735" t="n">
        <v>0</v>
      </c>
      <c r="P735" t="n">
        <v>0</v>
      </c>
      <c r="Q735" t="n">
        <v>0</v>
      </c>
      <c r="R735" s="2" t="inlineStr"/>
    </row>
    <row r="736" ht="15" customHeight="1">
      <c r="A736" t="inlineStr">
        <is>
          <t>A 10903-2023</t>
        </is>
      </c>
      <c r="B736" s="1" t="n">
        <v>44985</v>
      </c>
      <c r="C736" s="1" t="n">
        <v>46088</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62701-2022</t>
        </is>
      </c>
      <c r="B737" s="1" t="n">
        <v>44917</v>
      </c>
      <c r="C737" s="1" t="n">
        <v>46088</v>
      </c>
      <c r="D737" t="inlineStr">
        <is>
          <t>NORRBOTTENS LÄN</t>
        </is>
      </c>
      <c r="E737" t="inlineStr">
        <is>
          <t>LULEÅ</t>
        </is>
      </c>
      <c r="G737" t="n">
        <v>0.5</v>
      </c>
      <c r="H737" t="n">
        <v>0</v>
      </c>
      <c r="I737" t="n">
        <v>0</v>
      </c>
      <c r="J737" t="n">
        <v>0</v>
      </c>
      <c r="K737" t="n">
        <v>0</v>
      </c>
      <c r="L737" t="n">
        <v>0</v>
      </c>
      <c r="M737" t="n">
        <v>0</v>
      </c>
      <c r="N737" t="n">
        <v>0</v>
      </c>
      <c r="O737" t="n">
        <v>0</v>
      </c>
      <c r="P737" t="n">
        <v>0</v>
      </c>
      <c r="Q737" t="n">
        <v>0</v>
      </c>
      <c r="R737" s="2" t="inlineStr"/>
    </row>
    <row r="738" ht="15" customHeight="1">
      <c r="A738" t="inlineStr">
        <is>
          <t>A 2748-2022</t>
        </is>
      </c>
      <c r="B738" s="1" t="n">
        <v>44580</v>
      </c>
      <c r="C738" s="1" t="n">
        <v>46088</v>
      </c>
      <c r="D738" t="inlineStr">
        <is>
          <t>NORRBOTTENS LÄN</t>
        </is>
      </c>
      <c r="E738" t="inlineStr">
        <is>
          <t>LULEÅ</t>
        </is>
      </c>
      <c r="G738" t="n">
        <v>4.7</v>
      </c>
      <c r="H738" t="n">
        <v>0</v>
      </c>
      <c r="I738" t="n">
        <v>0</v>
      </c>
      <c r="J738" t="n">
        <v>0</v>
      </c>
      <c r="K738" t="n">
        <v>0</v>
      </c>
      <c r="L738" t="n">
        <v>0</v>
      </c>
      <c r="M738" t="n">
        <v>0</v>
      </c>
      <c r="N738" t="n">
        <v>0</v>
      </c>
      <c r="O738" t="n">
        <v>0</v>
      </c>
      <c r="P738" t="n">
        <v>0</v>
      </c>
      <c r="Q738" t="n">
        <v>0</v>
      </c>
      <c r="R738" s="2" t="inlineStr"/>
    </row>
    <row r="739" ht="15" customHeight="1">
      <c r="A739" t="inlineStr">
        <is>
          <t>A 705-2025</t>
        </is>
      </c>
      <c r="B739" s="1" t="n">
        <v>45663</v>
      </c>
      <c r="C739" s="1" t="n">
        <v>46088</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2208-2024</t>
        </is>
      </c>
      <c r="B740" s="1" t="n">
        <v>45309</v>
      </c>
      <c r="C740" s="1" t="n">
        <v>46088</v>
      </c>
      <c r="D740" t="inlineStr">
        <is>
          <t>NORRBOTTENS LÄN</t>
        </is>
      </c>
      <c r="E740" t="inlineStr">
        <is>
          <t>LULEÅ</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29537-2023</t>
        </is>
      </c>
      <c r="B741" s="1" t="n">
        <v>45098</v>
      </c>
      <c r="C741" s="1" t="n">
        <v>46088</v>
      </c>
      <c r="D741" t="inlineStr">
        <is>
          <t>NORRBOTTENS LÄN</t>
        </is>
      </c>
      <c r="E741" t="inlineStr">
        <is>
          <t>LULEÅ</t>
        </is>
      </c>
      <c r="G741" t="n">
        <v>0.3</v>
      </c>
      <c r="H741" t="n">
        <v>0</v>
      </c>
      <c r="I741" t="n">
        <v>0</v>
      </c>
      <c r="J741" t="n">
        <v>0</v>
      </c>
      <c r="K741" t="n">
        <v>0</v>
      </c>
      <c r="L741" t="n">
        <v>0</v>
      </c>
      <c r="M741" t="n">
        <v>0</v>
      </c>
      <c r="N741" t="n">
        <v>0</v>
      </c>
      <c r="O741" t="n">
        <v>0</v>
      </c>
      <c r="P741" t="n">
        <v>0</v>
      </c>
      <c r="Q741" t="n">
        <v>0</v>
      </c>
      <c r="R741" s="2" t="inlineStr"/>
    </row>
    <row r="742" ht="15" customHeight="1">
      <c r="A742" t="inlineStr">
        <is>
          <t>A 49018-2023</t>
        </is>
      </c>
      <c r="B742" s="1" t="n">
        <v>45204</v>
      </c>
      <c r="C742" s="1" t="n">
        <v>46088</v>
      </c>
      <c r="D742" t="inlineStr">
        <is>
          <t>NORRBOTTENS LÄN</t>
        </is>
      </c>
      <c r="E742" t="inlineStr">
        <is>
          <t>LULEÅ</t>
        </is>
      </c>
      <c r="G742" t="n">
        <v>2.8</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46088</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35158-2024</t>
        </is>
      </c>
      <c r="B744" s="1" t="n">
        <v>45530.39005787037</v>
      </c>
      <c r="C744" s="1" t="n">
        <v>46088</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17020-2024</t>
        </is>
      </c>
      <c r="B745" s="1" t="n">
        <v>45411</v>
      </c>
      <c r="C745" s="1" t="n">
        <v>46088</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17031-2024</t>
        </is>
      </c>
      <c r="B746" s="1" t="n">
        <v>45411</v>
      </c>
      <c r="C746" s="1" t="n">
        <v>46088</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40899-2024</t>
        </is>
      </c>
      <c r="B747" s="1" t="n">
        <v>45558.62070601852</v>
      </c>
      <c r="C747" s="1" t="n">
        <v>46088</v>
      </c>
      <c r="D747" t="inlineStr">
        <is>
          <t>NORRBOTTENS LÄN</t>
        </is>
      </c>
      <c r="E747" t="inlineStr">
        <is>
          <t>LULEÅ</t>
        </is>
      </c>
      <c r="F747" t="inlineStr">
        <is>
          <t>Övriga Aktiebolag</t>
        </is>
      </c>
      <c r="G747" t="n">
        <v>2.6</v>
      </c>
      <c r="H747" t="n">
        <v>0</v>
      </c>
      <c r="I747" t="n">
        <v>0</v>
      </c>
      <c r="J747" t="n">
        <v>0</v>
      </c>
      <c r="K747" t="n">
        <v>0</v>
      </c>
      <c r="L747" t="n">
        <v>0</v>
      </c>
      <c r="M747" t="n">
        <v>0</v>
      </c>
      <c r="N747" t="n">
        <v>0</v>
      </c>
      <c r="O747" t="n">
        <v>0</v>
      </c>
      <c r="P747" t="n">
        <v>0</v>
      </c>
      <c r="Q747" t="n">
        <v>0</v>
      </c>
      <c r="R747" s="2" t="inlineStr"/>
    </row>
    <row r="748" ht="15" customHeight="1">
      <c r="A748" t="inlineStr">
        <is>
          <t>A 31347-2023</t>
        </is>
      </c>
      <c r="B748" s="1" t="n">
        <v>45104</v>
      </c>
      <c r="C748" s="1" t="n">
        <v>46088</v>
      </c>
      <c r="D748" t="inlineStr">
        <is>
          <t>NORRBOTTENS LÄN</t>
        </is>
      </c>
      <c r="E748" t="inlineStr">
        <is>
          <t>LULEÅ</t>
        </is>
      </c>
      <c r="G748" t="n">
        <v>1.4</v>
      </c>
      <c r="H748" t="n">
        <v>0</v>
      </c>
      <c r="I748" t="n">
        <v>0</v>
      </c>
      <c r="J748" t="n">
        <v>0</v>
      </c>
      <c r="K748" t="n">
        <v>0</v>
      </c>
      <c r="L748" t="n">
        <v>0</v>
      </c>
      <c r="M748" t="n">
        <v>0</v>
      </c>
      <c r="N748" t="n">
        <v>0</v>
      </c>
      <c r="O748" t="n">
        <v>0</v>
      </c>
      <c r="P748" t="n">
        <v>0</v>
      </c>
      <c r="Q748" t="n">
        <v>0</v>
      </c>
      <c r="R748" s="2" t="inlineStr"/>
    </row>
    <row r="749" ht="15" customHeight="1">
      <c r="A749" t="inlineStr">
        <is>
          <t>A 11242-2021</t>
        </is>
      </c>
      <c r="B749" s="1" t="n">
        <v>44263.39423611111</v>
      </c>
      <c r="C749" s="1" t="n">
        <v>46088</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4123-2024</t>
        </is>
      </c>
      <c r="B750" s="1" t="n">
        <v>45323</v>
      </c>
      <c r="C750" s="1" t="n">
        <v>46088</v>
      </c>
      <c r="D750" t="inlineStr">
        <is>
          <t>NORRBOTTENS LÄN</t>
        </is>
      </c>
      <c r="E750" t="inlineStr">
        <is>
          <t>LULEÅ</t>
        </is>
      </c>
      <c r="G750" t="n">
        <v>5.3</v>
      </c>
      <c r="H750" t="n">
        <v>0</v>
      </c>
      <c r="I750" t="n">
        <v>0</v>
      </c>
      <c r="J750" t="n">
        <v>0</v>
      </c>
      <c r="K750" t="n">
        <v>0</v>
      </c>
      <c r="L750" t="n">
        <v>0</v>
      </c>
      <c r="M750" t="n">
        <v>0</v>
      </c>
      <c r="N750" t="n">
        <v>0</v>
      </c>
      <c r="O750" t="n">
        <v>0</v>
      </c>
      <c r="P750" t="n">
        <v>0</v>
      </c>
      <c r="Q750" t="n">
        <v>0</v>
      </c>
      <c r="R750" s="2" t="inlineStr"/>
    </row>
    <row r="751" ht="15" customHeight="1">
      <c r="A751" t="inlineStr">
        <is>
          <t>A 57815-2022</t>
        </is>
      </c>
      <c r="B751" s="1" t="n">
        <v>44897.92459490741</v>
      </c>
      <c r="C751" s="1" t="n">
        <v>46088</v>
      </c>
      <c r="D751" t="inlineStr">
        <is>
          <t>NORRBOTTENS LÄN</t>
        </is>
      </c>
      <c r="E751" t="inlineStr">
        <is>
          <t>LULEÅ</t>
        </is>
      </c>
      <c r="G751" t="n">
        <v>2.4</v>
      </c>
      <c r="H751" t="n">
        <v>0</v>
      </c>
      <c r="I751" t="n">
        <v>0</v>
      </c>
      <c r="J751" t="n">
        <v>0</v>
      </c>
      <c r="K751" t="n">
        <v>0</v>
      </c>
      <c r="L751" t="n">
        <v>0</v>
      </c>
      <c r="M751" t="n">
        <v>0</v>
      </c>
      <c r="N751" t="n">
        <v>0</v>
      </c>
      <c r="O751" t="n">
        <v>0</v>
      </c>
      <c r="P751" t="n">
        <v>0</v>
      </c>
      <c r="Q751" t="n">
        <v>0</v>
      </c>
      <c r="R751" s="2" t="inlineStr"/>
    </row>
    <row r="752" ht="15" customHeight="1">
      <c r="A752" t="inlineStr">
        <is>
          <t>A 17425-2023</t>
        </is>
      </c>
      <c r="B752" s="1" t="n">
        <v>45035</v>
      </c>
      <c r="C752" s="1" t="n">
        <v>46088</v>
      </c>
      <c r="D752" t="inlineStr">
        <is>
          <t>NORRBOTTENS LÄN</t>
        </is>
      </c>
      <c r="E752" t="inlineStr">
        <is>
          <t>LULEÅ</t>
        </is>
      </c>
      <c r="G752" t="n">
        <v>2.7</v>
      </c>
      <c r="H752" t="n">
        <v>0</v>
      </c>
      <c r="I752" t="n">
        <v>0</v>
      </c>
      <c r="J752" t="n">
        <v>0</v>
      </c>
      <c r="K752" t="n">
        <v>0</v>
      </c>
      <c r="L752" t="n">
        <v>0</v>
      </c>
      <c r="M752" t="n">
        <v>0</v>
      </c>
      <c r="N752" t="n">
        <v>0</v>
      </c>
      <c r="O752" t="n">
        <v>0</v>
      </c>
      <c r="P752" t="n">
        <v>0</v>
      </c>
      <c r="Q752" t="n">
        <v>0</v>
      </c>
      <c r="R752" s="2" t="inlineStr"/>
    </row>
    <row r="753" ht="15" customHeight="1">
      <c r="A753" t="inlineStr">
        <is>
          <t>A 6986-2025</t>
        </is>
      </c>
      <c r="B753" s="1" t="n">
        <v>45701</v>
      </c>
      <c r="C753" s="1" t="n">
        <v>46088</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54769-2024</t>
        </is>
      </c>
      <c r="B754" s="1" t="n">
        <v>45618.47244212963</v>
      </c>
      <c r="C754" s="1" t="n">
        <v>46088</v>
      </c>
      <c r="D754" t="inlineStr">
        <is>
          <t>NORRBOTTENS LÄN</t>
        </is>
      </c>
      <c r="E754" t="inlineStr">
        <is>
          <t>LULEÅ</t>
        </is>
      </c>
      <c r="G754" t="n">
        <v>8.4</v>
      </c>
      <c r="H754" t="n">
        <v>0</v>
      </c>
      <c r="I754" t="n">
        <v>0</v>
      </c>
      <c r="J754" t="n">
        <v>0</v>
      </c>
      <c r="K754" t="n">
        <v>0</v>
      </c>
      <c r="L754" t="n">
        <v>0</v>
      </c>
      <c r="M754" t="n">
        <v>0</v>
      </c>
      <c r="N754" t="n">
        <v>0</v>
      </c>
      <c r="O754" t="n">
        <v>0</v>
      </c>
      <c r="P754" t="n">
        <v>0</v>
      </c>
      <c r="Q754" t="n">
        <v>0</v>
      </c>
      <c r="R754" s="2" t="inlineStr"/>
    </row>
    <row r="755" ht="15" customHeight="1">
      <c r="A755" t="inlineStr">
        <is>
          <t>A 4558-2024</t>
        </is>
      </c>
      <c r="B755" s="1" t="n">
        <v>45327</v>
      </c>
      <c r="C755" s="1" t="n">
        <v>46088</v>
      </c>
      <c r="D755" t="inlineStr">
        <is>
          <t>NORRBOTTENS LÄN</t>
        </is>
      </c>
      <c r="E755" t="inlineStr">
        <is>
          <t>LULEÅ</t>
        </is>
      </c>
      <c r="G755" t="n">
        <v>2.4</v>
      </c>
      <c r="H755" t="n">
        <v>0</v>
      </c>
      <c r="I755" t="n">
        <v>0</v>
      </c>
      <c r="J755" t="n">
        <v>0</v>
      </c>
      <c r="K755" t="n">
        <v>0</v>
      </c>
      <c r="L755" t="n">
        <v>0</v>
      </c>
      <c r="M755" t="n">
        <v>0</v>
      </c>
      <c r="N755" t="n">
        <v>0</v>
      </c>
      <c r="O755" t="n">
        <v>0</v>
      </c>
      <c r="P755" t="n">
        <v>0</v>
      </c>
      <c r="Q755" t="n">
        <v>0</v>
      </c>
      <c r="R755" s="2" t="inlineStr"/>
    </row>
    <row r="756" ht="15" customHeight="1">
      <c r="A756" t="inlineStr">
        <is>
          <t>A 31039-2024</t>
        </is>
      </c>
      <c r="B756" s="1" t="n">
        <v>45501.91951388889</v>
      </c>
      <c r="C756" s="1" t="n">
        <v>46088</v>
      </c>
      <c r="D756" t="inlineStr">
        <is>
          <t>NORRBOTTENS LÄN</t>
        </is>
      </c>
      <c r="E756" t="inlineStr">
        <is>
          <t>LULEÅ</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700-2025</t>
        </is>
      </c>
      <c r="B757" s="1" t="n">
        <v>45663</v>
      </c>
      <c r="C757" s="1" t="n">
        <v>46088</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10377-2025</t>
        </is>
      </c>
      <c r="B758" s="1" t="n">
        <v>45720.5630787037</v>
      </c>
      <c r="C758" s="1" t="n">
        <v>46088</v>
      </c>
      <c r="D758" t="inlineStr">
        <is>
          <t>NORRBOTTENS LÄN</t>
        </is>
      </c>
      <c r="E758" t="inlineStr">
        <is>
          <t>LULEÅ</t>
        </is>
      </c>
      <c r="G758" t="n">
        <v>3</v>
      </c>
      <c r="H758" t="n">
        <v>0</v>
      </c>
      <c r="I758" t="n">
        <v>0</v>
      </c>
      <c r="J758" t="n">
        <v>0</v>
      </c>
      <c r="K758" t="n">
        <v>0</v>
      </c>
      <c r="L758" t="n">
        <v>0</v>
      </c>
      <c r="M758" t="n">
        <v>0</v>
      </c>
      <c r="N758" t="n">
        <v>0</v>
      </c>
      <c r="O758" t="n">
        <v>0</v>
      </c>
      <c r="P758" t="n">
        <v>0</v>
      </c>
      <c r="Q758" t="n">
        <v>0</v>
      </c>
      <c r="R758" s="2" t="inlineStr"/>
    </row>
    <row r="759" ht="15" customHeight="1">
      <c r="A759" t="inlineStr">
        <is>
          <t>A 16052-2025</t>
        </is>
      </c>
      <c r="B759" s="1" t="n">
        <v>45749.64261574074</v>
      </c>
      <c r="C759" s="1" t="n">
        <v>46088</v>
      </c>
      <c r="D759" t="inlineStr">
        <is>
          <t>NORRBOTTENS LÄN</t>
        </is>
      </c>
      <c r="E759" t="inlineStr">
        <is>
          <t>LULEÅ</t>
        </is>
      </c>
      <c r="G759" t="n">
        <v>4.3</v>
      </c>
      <c r="H759" t="n">
        <v>0</v>
      </c>
      <c r="I759" t="n">
        <v>0</v>
      </c>
      <c r="J759" t="n">
        <v>0</v>
      </c>
      <c r="K759" t="n">
        <v>0</v>
      </c>
      <c r="L759" t="n">
        <v>0</v>
      </c>
      <c r="M759" t="n">
        <v>0</v>
      </c>
      <c r="N759" t="n">
        <v>0</v>
      </c>
      <c r="O759" t="n">
        <v>0</v>
      </c>
      <c r="P759" t="n">
        <v>0</v>
      </c>
      <c r="Q759" t="n">
        <v>0</v>
      </c>
      <c r="R759" s="2" t="inlineStr"/>
    </row>
    <row r="760" ht="15" customHeight="1">
      <c r="A760" t="inlineStr">
        <is>
          <t>A 49746-2022</t>
        </is>
      </c>
      <c r="B760" s="1" t="n">
        <v>44859</v>
      </c>
      <c r="C760" s="1" t="n">
        <v>46088</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8521-2022</t>
        </is>
      </c>
      <c r="B761" s="1" t="n">
        <v>44610</v>
      </c>
      <c r="C761" s="1" t="n">
        <v>46088</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45392.92930555555</v>
      </c>
      <c r="C762" s="1" t="n">
        <v>46088</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54879-2021</t>
        </is>
      </c>
      <c r="B763" s="1" t="n">
        <v>44473</v>
      </c>
      <c r="C763" s="1" t="n">
        <v>46088</v>
      </c>
      <c r="D763" t="inlineStr">
        <is>
          <t>NORRBOTTENS LÄN</t>
        </is>
      </c>
      <c r="E763" t="inlineStr">
        <is>
          <t>LULEÅ</t>
        </is>
      </c>
      <c r="G763" t="n">
        <v>1.2</v>
      </c>
      <c r="H763" t="n">
        <v>0</v>
      </c>
      <c r="I763" t="n">
        <v>0</v>
      </c>
      <c r="J763" t="n">
        <v>0</v>
      </c>
      <c r="K763" t="n">
        <v>0</v>
      </c>
      <c r="L763" t="n">
        <v>0</v>
      </c>
      <c r="M763" t="n">
        <v>0</v>
      </c>
      <c r="N763" t="n">
        <v>0</v>
      </c>
      <c r="O763" t="n">
        <v>0</v>
      </c>
      <c r="P763" t="n">
        <v>0</v>
      </c>
      <c r="Q763" t="n">
        <v>0</v>
      </c>
      <c r="R763" s="2" t="inlineStr"/>
    </row>
    <row r="764" ht="15" customHeight="1">
      <c r="A764" t="inlineStr">
        <is>
          <t>A 57816-2022</t>
        </is>
      </c>
      <c r="B764" s="1" t="n">
        <v>44897.92487268519</v>
      </c>
      <c r="C764" s="1" t="n">
        <v>46088</v>
      </c>
      <c r="D764" t="inlineStr">
        <is>
          <t>NORRBOTTENS LÄN</t>
        </is>
      </c>
      <c r="E764" t="inlineStr">
        <is>
          <t>LULEÅ</t>
        </is>
      </c>
      <c r="G764" t="n">
        <v>3.4</v>
      </c>
      <c r="H764" t="n">
        <v>0</v>
      </c>
      <c r="I764" t="n">
        <v>0</v>
      </c>
      <c r="J764" t="n">
        <v>0</v>
      </c>
      <c r="K764" t="n">
        <v>0</v>
      </c>
      <c r="L764" t="n">
        <v>0</v>
      </c>
      <c r="M764" t="n">
        <v>0</v>
      </c>
      <c r="N764" t="n">
        <v>0</v>
      </c>
      <c r="O764" t="n">
        <v>0</v>
      </c>
      <c r="P764" t="n">
        <v>0</v>
      </c>
      <c r="Q764" t="n">
        <v>0</v>
      </c>
      <c r="R764" s="2" t="inlineStr"/>
    </row>
    <row r="765" ht="15" customHeight="1">
      <c r="A765" t="inlineStr">
        <is>
          <t>A 7390-2023</t>
        </is>
      </c>
      <c r="B765" s="1" t="n">
        <v>44966</v>
      </c>
      <c r="C765" s="1" t="n">
        <v>46088</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12552-2024</t>
        </is>
      </c>
      <c r="B766" s="1" t="n">
        <v>45379</v>
      </c>
      <c r="C766" s="1" t="n">
        <v>46088</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8903-2025</t>
        </is>
      </c>
      <c r="B767" s="1" t="n">
        <v>45712</v>
      </c>
      <c r="C767" s="1" t="n">
        <v>46088</v>
      </c>
      <c r="D767" t="inlineStr">
        <is>
          <t>NORRBOTTENS LÄN</t>
        </is>
      </c>
      <c r="E767" t="inlineStr">
        <is>
          <t>LULEÅ</t>
        </is>
      </c>
      <c r="G767" t="n">
        <v>1.8</v>
      </c>
      <c r="H767" t="n">
        <v>0</v>
      </c>
      <c r="I767" t="n">
        <v>0</v>
      </c>
      <c r="J767" t="n">
        <v>0</v>
      </c>
      <c r="K767" t="n">
        <v>0</v>
      </c>
      <c r="L767" t="n">
        <v>0</v>
      </c>
      <c r="M767" t="n">
        <v>0</v>
      </c>
      <c r="N767" t="n">
        <v>0</v>
      </c>
      <c r="O767" t="n">
        <v>0</v>
      </c>
      <c r="P767" t="n">
        <v>0</v>
      </c>
      <c r="Q767" t="n">
        <v>0</v>
      </c>
      <c r="R767" s="2" t="inlineStr"/>
    </row>
    <row r="768" ht="15" customHeight="1">
      <c r="A768" t="inlineStr">
        <is>
          <t>A 14803-2023</t>
        </is>
      </c>
      <c r="B768" s="1" t="n">
        <v>45013</v>
      </c>
      <c r="C768" s="1" t="n">
        <v>46088</v>
      </c>
      <c r="D768" t="inlineStr">
        <is>
          <t>NORRBOTTENS LÄN</t>
        </is>
      </c>
      <c r="E768" t="inlineStr">
        <is>
          <t>LULEÅ</t>
        </is>
      </c>
      <c r="G768" t="n">
        <v>2.3</v>
      </c>
      <c r="H768" t="n">
        <v>0</v>
      </c>
      <c r="I768" t="n">
        <v>0</v>
      </c>
      <c r="J768" t="n">
        <v>0</v>
      </c>
      <c r="K768" t="n">
        <v>0</v>
      </c>
      <c r="L768" t="n">
        <v>0</v>
      </c>
      <c r="M768" t="n">
        <v>0</v>
      </c>
      <c r="N768" t="n">
        <v>0</v>
      </c>
      <c r="O768" t="n">
        <v>0</v>
      </c>
      <c r="P768" t="n">
        <v>0</v>
      </c>
      <c r="Q768" t="n">
        <v>0</v>
      </c>
      <c r="R768" s="2" t="inlineStr"/>
    </row>
    <row r="769" ht="15" customHeight="1">
      <c r="A769" t="inlineStr">
        <is>
          <t>A 2659-2025</t>
        </is>
      </c>
      <c r="B769" s="1" t="n">
        <v>45676.8134375</v>
      </c>
      <c r="C769" s="1" t="n">
        <v>46088</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8928-2025</t>
        </is>
      </c>
      <c r="B770" s="1" t="n">
        <v>45712</v>
      </c>
      <c r="C770" s="1" t="n">
        <v>46088</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61942-2024</t>
        </is>
      </c>
      <c r="B771" s="1" t="n">
        <v>45653.48405092592</v>
      </c>
      <c r="C771" s="1" t="n">
        <v>46088</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11845-2025</t>
        </is>
      </c>
      <c r="B772" s="1" t="n">
        <v>45727</v>
      </c>
      <c r="C772" s="1" t="n">
        <v>46088</v>
      </c>
      <c r="D772" t="inlineStr">
        <is>
          <t>NORRBOTTENS LÄN</t>
        </is>
      </c>
      <c r="E772" t="inlineStr">
        <is>
          <t>LULEÅ</t>
        </is>
      </c>
      <c r="G772" t="n">
        <v>9.6</v>
      </c>
      <c r="H772" t="n">
        <v>0</v>
      </c>
      <c r="I772" t="n">
        <v>0</v>
      </c>
      <c r="J772" t="n">
        <v>0</v>
      </c>
      <c r="K772" t="n">
        <v>0</v>
      </c>
      <c r="L772" t="n">
        <v>0</v>
      </c>
      <c r="M772" t="n">
        <v>0</v>
      </c>
      <c r="N772" t="n">
        <v>0</v>
      </c>
      <c r="O772" t="n">
        <v>0</v>
      </c>
      <c r="P772" t="n">
        <v>0</v>
      </c>
      <c r="Q772" t="n">
        <v>0</v>
      </c>
      <c r="R772" s="2" t="inlineStr"/>
    </row>
    <row r="773" ht="15" customHeight="1">
      <c r="A773" t="inlineStr">
        <is>
          <t>A 4771-2024</t>
        </is>
      </c>
      <c r="B773" s="1" t="n">
        <v>45328</v>
      </c>
      <c r="C773" s="1" t="n">
        <v>46088</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45441.9291087963</v>
      </c>
      <c r="C774" s="1" t="n">
        <v>46088</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59656-2024</t>
        </is>
      </c>
      <c r="B775" s="1" t="n">
        <v>45639</v>
      </c>
      <c r="C775" s="1" t="n">
        <v>46088</v>
      </c>
      <c r="D775" t="inlineStr">
        <is>
          <t>NORRBOTTENS LÄN</t>
        </is>
      </c>
      <c r="E775" t="inlineStr">
        <is>
          <t>LULEÅ</t>
        </is>
      </c>
      <c r="G775" t="n">
        <v>4.3</v>
      </c>
      <c r="H775" t="n">
        <v>0</v>
      </c>
      <c r="I775" t="n">
        <v>0</v>
      </c>
      <c r="J775" t="n">
        <v>0</v>
      </c>
      <c r="K775" t="n">
        <v>0</v>
      </c>
      <c r="L775" t="n">
        <v>0</v>
      </c>
      <c r="M775" t="n">
        <v>0</v>
      </c>
      <c r="N775" t="n">
        <v>0</v>
      </c>
      <c r="O775" t="n">
        <v>0</v>
      </c>
      <c r="P775" t="n">
        <v>0</v>
      </c>
      <c r="Q775" t="n">
        <v>0</v>
      </c>
      <c r="R775" s="2" t="inlineStr"/>
    </row>
    <row r="776" ht="15" customHeight="1">
      <c r="A776" t="inlineStr">
        <is>
          <t>A 20340-2023</t>
        </is>
      </c>
      <c r="B776" s="1" t="n">
        <v>45054</v>
      </c>
      <c r="C776" s="1" t="n">
        <v>46088</v>
      </c>
      <c r="D776" t="inlineStr">
        <is>
          <t>NORRBOTTENS LÄN</t>
        </is>
      </c>
      <c r="E776" t="inlineStr">
        <is>
          <t>LULEÅ</t>
        </is>
      </c>
      <c r="G776" t="n">
        <v>65</v>
      </c>
      <c r="H776" t="n">
        <v>0</v>
      </c>
      <c r="I776" t="n">
        <v>0</v>
      </c>
      <c r="J776" t="n">
        <v>0</v>
      </c>
      <c r="K776" t="n">
        <v>0</v>
      </c>
      <c r="L776" t="n">
        <v>0</v>
      </c>
      <c r="M776" t="n">
        <v>0</v>
      </c>
      <c r="N776" t="n">
        <v>0</v>
      </c>
      <c r="O776" t="n">
        <v>0</v>
      </c>
      <c r="P776" t="n">
        <v>0</v>
      </c>
      <c r="Q776" t="n">
        <v>0</v>
      </c>
      <c r="R776" s="2" t="inlineStr"/>
    </row>
    <row r="777" ht="15" customHeight="1">
      <c r="A777" t="inlineStr">
        <is>
          <t>A 45940-2021</t>
        </is>
      </c>
      <c r="B777" s="1" t="n">
        <v>44441</v>
      </c>
      <c r="C777" s="1" t="n">
        <v>46088</v>
      </c>
      <c r="D777" t="inlineStr">
        <is>
          <t>NORRBOTTENS LÄN</t>
        </is>
      </c>
      <c r="E777" t="inlineStr">
        <is>
          <t>LULEÅ</t>
        </is>
      </c>
      <c r="G777" t="n">
        <v>15.2</v>
      </c>
      <c r="H777" t="n">
        <v>0</v>
      </c>
      <c r="I777" t="n">
        <v>0</v>
      </c>
      <c r="J777" t="n">
        <v>0</v>
      </c>
      <c r="K777" t="n">
        <v>0</v>
      </c>
      <c r="L777" t="n">
        <v>0</v>
      </c>
      <c r="M777" t="n">
        <v>0</v>
      </c>
      <c r="N777" t="n">
        <v>0</v>
      </c>
      <c r="O777" t="n">
        <v>0</v>
      </c>
      <c r="P777" t="n">
        <v>0</v>
      </c>
      <c r="Q777" t="n">
        <v>0</v>
      </c>
      <c r="R777" s="2" t="inlineStr"/>
    </row>
    <row r="778" ht="15" customHeight="1">
      <c r="A778" t="inlineStr">
        <is>
          <t>A 57115-2024</t>
        </is>
      </c>
      <c r="B778" s="1" t="n">
        <v>45629.36509259259</v>
      </c>
      <c r="C778" s="1" t="n">
        <v>46088</v>
      </c>
      <c r="D778" t="inlineStr">
        <is>
          <t>NORRBOTTENS LÄN</t>
        </is>
      </c>
      <c r="E778" t="inlineStr">
        <is>
          <t>LULEÅ</t>
        </is>
      </c>
      <c r="G778" t="n">
        <v>10.4</v>
      </c>
      <c r="H778" t="n">
        <v>0</v>
      </c>
      <c r="I778" t="n">
        <v>0</v>
      </c>
      <c r="J778" t="n">
        <v>0</v>
      </c>
      <c r="K778" t="n">
        <v>0</v>
      </c>
      <c r="L778" t="n">
        <v>0</v>
      </c>
      <c r="M778" t="n">
        <v>0</v>
      </c>
      <c r="N778" t="n">
        <v>0</v>
      </c>
      <c r="O778" t="n">
        <v>0</v>
      </c>
      <c r="P778" t="n">
        <v>0</v>
      </c>
      <c r="Q778" t="n">
        <v>0</v>
      </c>
      <c r="R778" s="2" t="inlineStr"/>
    </row>
    <row r="779" ht="15" customHeight="1">
      <c r="A779" t="inlineStr">
        <is>
          <t>A 11853-2025</t>
        </is>
      </c>
      <c r="B779" s="1" t="n">
        <v>45727</v>
      </c>
      <c r="C779" s="1" t="n">
        <v>46088</v>
      </c>
      <c r="D779" t="inlineStr">
        <is>
          <t>NORRBOTTENS LÄN</t>
        </is>
      </c>
      <c r="E779" t="inlineStr">
        <is>
          <t>LULEÅ</t>
        </is>
      </c>
      <c r="G779" t="n">
        <v>6</v>
      </c>
      <c r="H779" t="n">
        <v>0</v>
      </c>
      <c r="I779" t="n">
        <v>0</v>
      </c>
      <c r="J779" t="n">
        <v>0</v>
      </c>
      <c r="K779" t="n">
        <v>0</v>
      </c>
      <c r="L779" t="n">
        <v>0</v>
      </c>
      <c r="M779" t="n">
        <v>0</v>
      </c>
      <c r="N779" t="n">
        <v>0</v>
      </c>
      <c r="O779" t="n">
        <v>0</v>
      </c>
      <c r="P779" t="n">
        <v>0</v>
      </c>
      <c r="Q779" t="n">
        <v>0</v>
      </c>
      <c r="R779" s="2" t="inlineStr"/>
    </row>
    <row r="780" ht="15" customHeight="1">
      <c r="A780" t="inlineStr">
        <is>
          <t>A 12323-2023</t>
        </is>
      </c>
      <c r="B780" s="1" t="n">
        <v>44995</v>
      </c>
      <c r="C780" s="1" t="n">
        <v>46088</v>
      </c>
      <c r="D780" t="inlineStr">
        <is>
          <t>NORRBOTTENS LÄN</t>
        </is>
      </c>
      <c r="E780" t="inlineStr">
        <is>
          <t>LULEÅ</t>
        </is>
      </c>
      <c r="G780" t="n">
        <v>1</v>
      </c>
      <c r="H780" t="n">
        <v>0</v>
      </c>
      <c r="I780" t="n">
        <v>0</v>
      </c>
      <c r="J780" t="n">
        <v>0</v>
      </c>
      <c r="K780" t="n">
        <v>0</v>
      </c>
      <c r="L780" t="n">
        <v>0</v>
      </c>
      <c r="M780" t="n">
        <v>0</v>
      </c>
      <c r="N780" t="n">
        <v>0</v>
      </c>
      <c r="O780" t="n">
        <v>0</v>
      </c>
      <c r="P780" t="n">
        <v>0</v>
      </c>
      <c r="Q780" t="n">
        <v>0</v>
      </c>
      <c r="R780" s="2" t="inlineStr"/>
    </row>
    <row r="781" ht="15" customHeight="1">
      <c r="A781" t="inlineStr">
        <is>
          <t>A 5342-2025</t>
        </is>
      </c>
      <c r="B781" s="1" t="n">
        <v>45692.55262731481</v>
      </c>
      <c r="C781" s="1" t="n">
        <v>46088</v>
      </c>
      <c r="D781" t="inlineStr">
        <is>
          <t>NORRBOTTENS LÄN</t>
        </is>
      </c>
      <c r="E781" t="inlineStr">
        <is>
          <t>LULEÅ</t>
        </is>
      </c>
      <c r="G781" t="n">
        <v>2.3</v>
      </c>
      <c r="H781" t="n">
        <v>0</v>
      </c>
      <c r="I781" t="n">
        <v>0</v>
      </c>
      <c r="J781" t="n">
        <v>0</v>
      </c>
      <c r="K781" t="n">
        <v>0</v>
      </c>
      <c r="L781" t="n">
        <v>0</v>
      </c>
      <c r="M781" t="n">
        <v>0</v>
      </c>
      <c r="N781" t="n">
        <v>0</v>
      </c>
      <c r="O781" t="n">
        <v>0</v>
      </c>
      <c r="P781" t="n">
        <v>0</v>
      </c>
      <c r="Q781" t="n">
        <v>0</v>
      </c>
      <c r="R781" s="2" t="inlineStr"/>
    </row>
    <row r="782" ht="15" customHeight="1">
      <c r="A782" t="inlineStr">
        <is>
          <t>A 52444-2021</t>
        </is>
      </c>
      <c r="B782" s="1" t="n">
        <v>44463</v>
      </c>
      <c r="C782" s="1" t="n">
        <v>46088</v>
      </c>
      <c r="D782" t="inlineStr">
        <is>
          <t>NORRBOTTENS LÄN</t>
        </is>
      </c>
      <c r="E782" t="inlineStr">
        <is>
          <t>LULEÅ</t>
        </is>
      </c>
      <c r="G782" t="n">
        <v>2.1</v>
      </c>
      <c r="H782" t="n">
        <v>0</v>
      </c>
      <c r="I782" t="n">
        <v>0</v>
      </c>
      <c r="J782" t="n">
        <v>0</v>
      </c>
      <c r="K782" t="n">
        <v>0</v>
      </c>
      <c r="L782" t="n">
        <v>0</v>
      </c>
      <c r="M782" t="n">
        <v>0</v>
      </c>
      <c r="N782" t="n">
        <v>0</v>
      </c>
      <c r="O782" t="n">
        <v>0</v>
      </c>
      <c r="P782" t="n">
        <v>0</v>
      </c>
      <c r="Q782" t="n">
        <v>0</v>
      </c>
      <c r="R782" s="2" t="inlineStr"/>
    </row>
    <row r="783" ht="15" customHeight="1">
      <c r="A783" t="inlineStr">
        <is>
          <t>A 62061-2022</t>
        </is>
      </c>
      <c r="B783" s="1" t="n">
        <v>44914</v>
      </c>
      <c r="C783" s="1" t="n">
        <v>46088</v>
      </c>
      <c r="D783" t="inlineStr">
        <is>
          <t>NORRBOTTENS LÄN</t>
        </is>
      </c>
      <c r="E783" t="inlineStr">
        <is>
          <t>LULEÅ</t>
        </is>
      </c>
      <c r="G783" t="n">
        <v>2.4</v>
      </c>
      <c r="H783" t="n">
        <v>0</v>
      </c>
      <c r="I783" t="n">
        <v>0</v>
      </c>
      <c r="J783" t="n">
        <v>0</v>
      </c>
      <c r="K783" t="n">
        <v>0</v>
      </c>
      <c r="L783" t="n">
        <v>0</v>
      </c>
      <c r="M783" t="n">
        <v>0</v>
      </c>
      <c r="N783" t="n">
        <v>0</v>
      </c>
      <c r="O783" t="n">
        <v>0</v>
      </c>
      <c r="P783" t="n">
        <v>0</v>
      </c>
      <c r="Q783" t="n">
        <v>0</v>
      </c>
      <c r="R783" s="2" t="inlineStr"/>
    </row>
    <row r="784" ht="15" customHeight="1">
      <c r="A784" t="inlineStr">
        <is>
          <t>A 3895-2025</t>
        </is>
      </c>
      <c r="B784" s="1" t="n">
        <v>45683</v>
      </c>
      <c r="C784" s="1" t="n">
        <v>46088</v>
      </c>
      <c r="D784" t="inlineStr">
        <is>
          <t>NORRBOTTENS LÄN</t>
        </is>
      </c>
      <c r="E784" t="inlineStr">
        <is>
          <t>LULEÅ</t>
        </is>
      </c>
      <c r="G784" t="n">
        <v>1.5</v>
      </c>
      <c r="H784" t="n">
        <v>0</v>
      </c>
      <c r="I784" t="n">
        <v>0</v>
      </c>
      <c r="J784" t="n">
        <v>0</v>
      </c>
      <c r="K784" t="n">
        <v>0</v>
      </c>
      <c r="L784" t="n">
        <v>0</v>
      </c>
      <c r="M784" t="n">
        <v>0</v>
      </c>
      <c r="N784" t="n">
        <v>0</v>
      </c>
      <c r="O784" t="n">
        <v>0</v>
      </c>
      <c r="P784" t="n">
        <v>0</v>
      </c>
      <c r="Q784" t="n">
        <v>0</v>
      </c>
      <c r="R784" s="2" t="inlineStr"/>
    </row>
    <row r="785" ht="15" customHeight="1">
      <c r="A785" t="inlineStr">
        <is>
          <t>A 60651-2023</t>
        </is>
      </c>
      <c r="B785" s="1" t="n">
        <v>45260</v>
      </c>
      <c r="C785" s="1" t="n">
        <v>46088</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8271-2025</t>
        </is>
      </c>
      <c r="B786" s="1" t="n">
        <v>45708</v>
      </c>
      <c r="C786" s="1" t="n">
        <v>46088</v>
      </c>
      <c r="D786" t="inlineStr">
        <is>
          <t>NORRBOTTENS LÄN</t>
        </is>
      </c>
      <c r="E786" t="inlineStr">
        <is>
          <t>LULEÅ</t>
        </is>
      </c>
      <c r="G786" t="n">
        <v>11.4</v>
      </c>
      <c r="H786" t="n">
        <v>0</v>
      </c>
      <c r="I786" t="n">
        <v>0</v>
      </c>
      <c r="J786" t="n">
        <v>0</v>
      </c>
      <c r="K786" t="n">
        <v>0</v>
      </c>
      <c r="L786" t="n">
        <v>0</v>
      </c>
      <c r="M786" t="n">
        <v>0</v>
      </c>
      <c r="N786" t="n">
        <v>0</v>
      </c>
      <c r="O786" t="n">
        <v>0</v>
      </c>
      <c r="P786" t="n">
        <v>0</v>
      </c>
      <c r="Q786" t="n">
        <v>0</v>
      </c>
      <c r="R786" s="2" t="inlineStr"/>
    </row>
    <row r="787" ht="15" customHeight="1">
      <c r="A787" t="inlineStr">
        <is>
          <t>A 52697-2023</t>
        </is>
      </c>
      <c r="B787" s="1" t="n">
        <v>45219</v>
      </c>
      <c r="C787" s="1" t="n">
        <v>46088</v>
      </c>
      <c r="D787" t="inlineStr">
        <is>
          <t>NORRBOTTENS LÄN</t>
        </is>
      </c>
      <c r="E787" t="inlineStr">
        <is>
          <t>LULEÅ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23516-2025</t>
        </is>
      </c>
      <c r="B788" s="1" t="n">
        <v>45792</v>
      </c>
      <c r="C788" s="1" t="n">
        <v>46088</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c r="A789" t="inlineStr">
        <is>
          <t>A 23519-2025</t>
        </is>
      </c>
      <c r="B789" s="1" t="n">
        <v>45792.51074074074</v>
      </c>
      <c r="C789" s="1" t="n">
        <v>46088</v>
      </c>
      <c r="D789" t="inlineStr">
        <is>
          <t>NORRBOTTENS LÄN</t>
        </is>
      </c>
      <c r="E789" t="inlineStr">
        <is>
          <t>LULEÅ</t>
        </is>
      </c>
      <c r="G789" t="n">
        <v>2.6</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2026-03-07T11:23:50Z</dcterms:created>
  <dcterms:modified xmlns:dcterms="http://purl.org/dc/terms/" xmlns:xsi="http://www.w3.org/2001/XMLSchema-instance" xsi:type="dcterms:W3CDTF">2026-03-07T11:23:50Z</dcterms:modified>
</cp:coreProperties>
</file>