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45566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45566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45566</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45566</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45566</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45566</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45566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45566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45566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45566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45566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45566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45566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45566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45566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45566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45566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45566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45566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45566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45566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45566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45566</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45566</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45566</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45566</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45566</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45566</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45566</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45566</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45566</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45566</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45566</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43663-2020</t>
        </is>
      </c>
      <c r="B36" s="1" t="n">
        <v>44082</v>
      </c>
      <c r="C36" s="1" t="n">
        <v>45566</v>
      </c>
      <c r="D36" t="inlineStr">
        <is>
          <t>NORRBOTTENS LÄN</t>
        </is>
      </c>
      <c r="E36" t="inlineStr">
        <is>
          <t>LULEÅ</t>
        </is>
      </c>
      <c r="F36" t="inlineStr">
        <is>
          <t>Sveaskog</t>
        </is>
      </c>
      <c r="G36" t="n">
        <v>2.3</v>
      </c>
      <c r="H36" t="n">
        <v>0</v>
      </c>
      <c r="I36" t="n">
        <v>0</v>
      </c>
      <c r="J36" t="n">
        <v>1</v>
      </c>
      <c r="K36" t="n">
        <v>0</v>
      </c>
      <c r="L36" t="n">
        <v>0</v>
      </c>
      <c r="M36" t="n">
        <v>0</v>
      </c>
      <c r="N36" t="n">
        <v>0</v>
      </c>
      <c r="O36" t="n">
        <v>1</v>
      </c>
      <c r="P36" t="n">
        <v>0</v>
      </c>
      <c r="Q36" t="n">
        <v>1</v>
      </c>
      <c r="R36" s="2" t="inlineStr">
        <is>
          <t>Garnlav</t>
        </is>
      </c>
      <c r="S36">
        <f>HYPERLINK("https://klasma.github.io/Logging_2580/artfynd/A 43663-2020 artfynd.xlsx", "A 43663-2020")</f>
        <v/>
      </c>
      <c r="T36">
        <f>HYPERLINK("https://klasma.github.io/Logging_2580/kartor/A 43663-2020 karta.png", "A 43663-2020")</f>
        <v/>
      </c>
      <c r="V36">
        <f>HYPERLINK("https://klasma.github.io/Logging_2580/klagomål/A 43663-2020 FSC-klagomål.docx", "A 43663-2020")</f>
        <v/>
      </c>
      <c r="W36">
        <f>HYPERLINK("https://klasma.github.io/Logging_2580/klagomålsmail/A 43663-2020 FSC-klagomål mail.docx", "A 43663-2020")</f>
        <v/>
      </c>
      <c r="X36">
        <f>HYPERLINK("https://klasma.github.io/Logging_2580/tillsyn/A 43663-2020 tillsynsbegäran.docx", "A 43663-2020")</f>
        <v/>
      </c>
      <c r="Y36">
        <f>HYPERLINK("https://klasma.github.io/Logging_2580/tillsynsmail/A 43663-2020 tillsynsbegäran mail.docx", "A 43663-2020")</f>
        <v/>
      </c>
    </row>
    <row r="37" ht="15" customHeight="1">
      <c r="A37" t="inlineStr">
        <is>
          <t>A 50085-2021</t>
        </is>
      </c>
      <c r="B37" s="1" t="n">
        <v>44456</v>
      </c>
      <c r="C37" s="1" t="n">
        <v>45566</v>
      </c>
      <c r="D37" t="inlineStr">
        <is>
          <t>NORRBOTTENS LÄN</t>
        </is>
      </c>
      <c r="E37" t="inlineStr">
        <is>
          <t>LULEÅ</t>
        </is>
      </c>
      <c r="F37" t="inlineStr">
        <is>
          <t>Sveaskog</t>
        </is>
      </c>
      <c r="G37" t="n">
        <v>5.1</v>
      </c>
      <c r="H37" t="n">
        <v>0</v>
      </c>
      <c r="I37" t="n">
        <v>0</v>
      </c>
      <c r="J37" t="n">
        <v>1</v>
      </c>
      <c r="K37" t="n">
        <v>0</v>
      </c>
      <c r="L37" t="n">
        <v>0</v>
      </c>
      <c r="M37" t="n">
        <v>0</v>
      </c>
      <c r="N37" t="n">
        <v>0</v>
      </c>
      <c r="O37" t="n">
        <v>1</v>
      </c>
      <c r="P37" t="n">
        <v>0</v>
      </c>
      <c r="Q37" t="n">
        <v>1</v>
      </c>
      <c r="R37" s="2" t="inlineStr">
        <is>
          <t>Granticka</t>
        </is>
      </c>
      <c r="S37">
        <f>HYPERLINK("https://klasma.github.io/Logging_2580/artfynd/A 50085-2021 artfynd.xlsx", "A 50085-2021")</f>
        <v/>
      </c>
      <c r="T37">
        <f>HYPERLINK("https://klasma.github.io/Logging_2580/kartor/A 50085-2021 karta.png", "A 50085-2021")</f>
        <v/>
      </c>
      <c r="V37">
        <f>HYPERLINK("https://klasma.github.io/Logging_2580/klagomål/A 50085-2021 FSC-klagomål.docx", "A 50085-2021")</f>
        <v/>
      </c>
      <c r="W37">
        <f>HYPERLINK("https://klasma.github.io/Logging_2580/klagomålsmail/A 50085-2021 FSC-klagomål mail.docx", "A 50085-2021")</f>
        <v/>
      </c>
      <c r="X37">
        <f>HYPERLINK("https://klasma.github.io/Logging_2580/tillsyn/A 50085-2021 tillsynsbegäran.docx", "A 50085-2021")</f>
        <v/>
      </c>
      <c r="Y37">
        <f>HYPERLINK("https://klasma.github.io/Logging_2580/tillsynsmail/A 50085-2021 tillsynsbegäran mail.docx", "A 50085-2021")</f>
        <v/>
      </c>
    </row>
    <row r="38" ht="15" customHeight="1">
      <c r="A38" t="inlineStr">
        <is>
          <t>A 56067-2021</t>
        </is>
      </c>
      <c r="B38" s="1" t="n">
        <v>44477</v>
      </c>
      <c r="C38" s="1" t="n">
        <v>45566</v>
      </c>
      <c r="D38" t="inlineStr">
        <is>
          <t>NORRBOTTENS LÄN</t>
        </is>
      </c>
      <c r="E38" t="inlineStr">
        <is>
          <t>LULEÅ</t>
        </is>
      </c>
      <c r="F38" t="inlineStr">
        <is>
          <t>Sveaskog</t>
        </is>
      </c>
      <c r="G38" t="n">
        <v>1.3</v>
      </c>
      <c r="H38" t="n">
        <v>0</v>
      </c>
      <c r="I38" t="n">
        <v>1</v>
      </c>
      <c r="J38" t="n">
        <v>0</v>
      </c>
      <c r="K38" t="n">
        <v>0</v>
      </c>
      <c r="L38" t="n">
        <v>0</v>
      </c>
      <c r="M38" t="n">
        <v>0</v>
      </c>
      <c r="N38" t="n">
        <v>0</v>
      </c>
      <c r="O38" t="n">
        <v>0</v>
      </c>
      <c r="P38" t="n">
        <v>0</v>
      </c>
      <c r="Q38" t="n">
        <v>1</v>
      </c>
      <c r="R38" s="2" t="inlineStr">
        <is>
          <t>Zontaggsvamp</t>
        </is>
      </c>
      <c r="S38">
        <f>HYPERLINK("https://klasma.github.io/Logging_2580/artfynd/A 56067-2021 artfynd.xlsx", "A 56067-2021")</f>
        <v/>
      </c>
      <c r="T38">
        <f>HYPERLINK("https://klasma.github.io/Logging_2580/kartor/A 56067-2021 karta.png", "A 56067-2021")</f>
        <v/>
      </c>
      <c r="V38">
        <f>HYPERLINK("https://klasma.github.io/Logging_2580/klagomål/A 56067-2021 FSC-klagomål.docx", "A 56067-2021")</f>
        <v/>
      </c>
      <c r="W38">
        <f>HYPERLINK("https://klasma.github.io/Logging_2580/klagomålsmail/A 56067-2021 FSC-klagomål mail.docx", "A 56067-2021")</f>
        <v/>
      </c>
      <c r="X38">
        <f>HYPERLINK("https://klasma.github.io/Logging_2580/tillsyn/A 56067-2021 tillsynsbegäran.docx", "A 56067-2021")</f>
        <v/>
      </c>
      <c r="Y38">
        <f>HYPERLINK("https://klasma.github.io/Logging_2580/tillsynsmail/A 56067-2021 tillsynsbegäran mail.docx", "A 56067-2021")</f>
        <v/>
      </c>
    </row>
    <row r="39" ht="15" customHeight="1">
      <c r="A39" t="inlineStr">
        <is>
          <t>A 25729-2022</t>
        </is>
      </c>
      <c r="B39" s="1" t="n">
        <v>44733</v>
      </c>
      <c r="C39" s="1" t="n">
        <v>45566</v>
      </c>
      <c r="D39" t="inlineStr">
        <is>
          <t>NORRBOTTENS LÄN</t>
        </is>
      </c>
      <c r="E39" t="inlineStr">
        <is>
          <t>LULEÅ</t>
        </is>
      </c>
      <c r="G39" t="n">
        <v>3.5</v>
      </c>
      <c r="H39" t="n">
        <v>0</v>
      </c>
      <c r="I39" t="n">
        <v>0</v>
      </c>
      <c r="J39" t="n">
        <v>0</v>
      </c>
      <c r="K39" t="n">
        <v>1</v>
      </c>
      <c r="L39" t="n">
        <v>0</v>
      </c>
      <c r="M39" t="n">
        <v>0</v>
      </c>
      <c r="N39" t="n">
        <v>0</v>
      </c>
      <c r="O39" t="n">
        <v>1</v>
      </c>
      <c r="P39" t="n">
        <v>1</v>
      </c>
      <c r="Q39" t="n">
        <v>1</v>
      </c>
      <c r="R39" s="2" t="inlineStr">
        <is>
          <t>Ostticka</t>
        </is>
      </c>
      <c r="S39">
        <f>HYPERLINK("https://klasma.github.io/Logging_2580/artfynd/A 25729-2022 artfynd.xlsx", "A 25729-2022")</f>
        <v/>
      </c>
      <c r="T39">
        <f>HYPERLINK("https://klasma.github.io/Logging_2580/kartor/A 25729-2022 karta.png", "A 25729-2022")</f>
        <v/>
      </c>
      <c r="V39">
        <f>HYPERLINK("https://klasma.github.io/Logging_2580/klagomål/A 25729-2022 FSC-klagomål.docx", "A 25729-2022")</f>
        <v/>
      </c>
      <c r="W39">
        <f>HYPERLINK("https://klasma.github.io/Logging_2580/klagomålsmail/A 25729-2022 FSC-klagomål mail.docx", "A 25729-2022")</f>
        <v/>
      </c>
      <c r="X39">
        <f>HYPERLINK("https://klasma.github.io/Logging_2580/tillsyn/A 25729-2022 tillsynsbegäran.docx", "A 25729-2022")</f>
        <v/>
      </c>
      <c r="Y39">
        <f>HYPERLINK("https://klasma.github.io/Logging_2580/tillsynsmail/A 25729-2022 tillsynsbegäran mail.docx", "A 25729-2022")</f>
        <v/>
      </c>
    </row>
    <row r="40" ht="15" customHeight="1">
      <c r="A40" t="inlineStr">
        <is>
          <t>A 30095-2022</t>
        </is>
      </c>
      <c r="B40" s="1" t="n">
        <v>44757</v>
      </c>
      <c r="C40" s="1" t="n">
        <v>45566</v>
      </c>
      <c r="D40" t="inlineStr">
        <is>
          <t>NORRBOTTENS LÄN</t>
        </is>
      </c>
      <c r="E40" t="inlineStr">
        <is>
          <t>LULEÅ</t>
        </is>
      </c>
      <c r="G40" t="n">
        <v>27.7</v>
      </c>
      <c r="H40" t="n">
        <v>1</v>
      </c>
      <c r="I40" t="n">
        <v>0</v>
      </c>
      <c r="J40" t="n">
        <v>0</v>
      </c>
      <c r="K40" t="n">
        <v>1</v>
      </c>
      <c r="L40" t="n">
        <v>0</v>
      </c>
      <c r="M40" t="n">
        <v>0</v>
      </c>
      <c r="N40" t="n">
        <v>0</v>
      </c>
      <c r="O40" t="n">
        <v>1</v>
      </c>
      <c r="P40" t="n">
        <v>1</v>
      </c>
      <c r="Q40" t="n">
        <v>1</v>
      </c>
      <c r="R40" s="2" t="inlineStr">
        <is>
          <t>Knärot</t>
        </is>
      </c>
      <c r="S40">
        <f>HYPERLINK("https://klasma.github.io/Logging_2580/artfynd/A 30095-2022 artfynd.xlsx", "A 30095-2022")</f>
        <v/>
      </c>
      <c r="T40">
        <f>HYPERLINK("https://klasma.github.io/Logging_2580/kartor/A 30095-2022 karta.png", "A 30095-2022")</f>
        <v/>
      </c>
      <c r="U40">
        <f>HYPERLINK("https://klasma.github.io/Logging_2580/knärot/A 30095-2022 karta knärot.png", "A 30095-2022")</f>
        <v/>
      </c>
      <c r="V40">
        <f>HYPERLINK("https://klasma.github.io/Logging_2580/klagomål/A 30095-2022 FSC-klagomål.docx", "A 30095-2022")</f>
        <v/>
      </c>
      <c r="W40">
        <f>HYPERLINK("https://klasma.github.io/Logging_2580/klagomålsmail/A 30095-2022 FSC-klagomål mail.docx", "A 30095-2022")</f>
        <v/>
      </c>
      <c r="X40">
        <f>HYPERLINK("https://klasma.github.io/Logging_2580/tillsyn/A 30095-2022 tillsynsbegäran.docx", "A 30095-2022")</f>
        <v/>
      </c>
      <c r="Y40">
        <f>HYPERLINK("https://klasma.github.io/Logging_2580/tillsynsmail/A 30095-2022 tillsynsbegäran mail.docx", "A 30095-2022")</f>
        <v/>
      </c>
    </row>
    <row r="41" ht="15" customHeight="1">
      <c r="A41" t="inlineStr">
        <is>
          <t>A 44253-2022</t>
        </is>
      </c>
      <c r="B41" s="1" t="n">
        <v>44839</v>
      </c>
      <c r="C41" s="1" t="n">
        <v>45566</v>
      </c>
      <c r="D41" t="inlineStr">
        <is>
          <t>NORRBOTTENS LÄN</t>
        </is>
      </c>
      <c r="E41" t="inlineStr">
        <is>
          <t>LULEÅ</t>
        </is>
      </c>
      <c r="G41" t="n">
        <v>4.4</v>
      </c>
      <c r="H41" t="n">
        <v>1</v>
      </c>
      <c r="I41" t="n">
        <v>0</v>
      </c>
      <c r="J41" t="n">
        <v>1</v>
      </c>
      <c r="K41" t="n">
        <v>0</v>
      </c>
      <c r="L41" t="n">
        <v>0</v>
      </c>
      <c r="M41" t="n">
        <v>0</v>
      </c>
      <c r="N41" t="n">
        <v>0</v>
      </c>
      <c r="O41" t="n">
        <v>1</v>
      </c>
      <c r="P41" t="n">
        <v>0</v>
      </c>
      <c r="Q41" t="n">
        <v>1</v>
      </c>
      <c r="R41" s="2" t="inlineStr">
        <is>
          <t>Spillkråka</t>
        </is>
      </c>
      <c r="S41">
        <f>HYPERLINK("https://klasma.github.io/Logging_2580/artfynd/A 44253-2022 artfynd.xlsx", "A 44253-2022")</f>
        <v/>
      </c>
      <c r="T41">
        <f>HYPERLINK("https://klasma.github.io/Logging_2580/kartor/A 44253-2022 karta.png", "A 44253-2022")</f>
        <v/>
      </c>
      <c r="V41">
        <f>HYPERLINK("https://klasma.github.io/Logging_2580/klagomål/A 44253-2022 FSC-klagomål.docx", "A 44253-2022")</f>
        <v/>
      </c>
      <c r="W41">
        <f>HYPERLINK("https://klasma.github.io/Logging_2580/klagomålsmail/A 44253-2022 FSC-klagomål mail.docx", "A 44253-2022")</f>
        <v/>
      </c>
      <c r="X41">
        <f>HYPERLINK("https://klasma.github.io/Logging_2580/tillsyn/A 44253-2022 tillsynsbegäran.docx", "A 44253-2022")</f>
        <v/>
      </c>
      <c r="Y41">
        <f>HYPERLINK("https://klasma.github.io/Logging_2580/tillsynsmail/A 44253-2022 tillsynsbegäran mail.docx", "A 44253-2022")</f>
        <v/>
      </c>
      <c r="Z41">
        <f>HYPERLINK("https://klasma.github.io/Logging_2580/fåglar/A 44253-2022 prioriterade fågelarter.docx", "A 44253-2022")</f>
        <v/>
      </c>
    </row>
    <row r="42" ht="15" customHeight="1">
      <c r="A42" t="inlineStr">
        <is>
          <t>A 51641-2022</t>
        </is>
      </c>
      <c r="B42" s="1" t="n">
        <v>44867</v>
      </c>
      <c r="C42" s="1" t="n">
        <v>45566</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58717-2022</t>
        </is>
      </c>
      <c r="B43" s="1" t="n">
        <v>44902</v>
      </c>
      <c r="C43" s="1" t="n">
        <v>45566</v>
      </c>
      <c r="D43" t="inlineStr">
        <is>
          <t>NORRBOTTENS LÄN</t>
        </is>
      </c>
      <c r="E43" t="inlineStr">
        <is>
          <t>LULEÅ</t>
        </is>
      </c>
      <c r="G43" t="n">
        <v>5.9</v>
      </c>
      <c r="H43" t="n">
        <v>0</v>
      </c>
      <c r="I43" t="n">
        <v>1</v>
      </c>
      <c r="J43" t="n">
        <v>0</v>
      </c>
      <c r="K43" t="n">
        <v>0</v>
      </c>
      <c r="L43" t="n">
        <v>0</v>
      </c>
      <c r="M43" t="n">
        <v>0</v>
      </c>
      <c r="N43" t="n">
        <v>0</v>
      </c>
      <c r="O43" t="n">
        <v>0</v>
      </c>
      <c r="P43" t="n">
        <v>0</v>
      </c>
      <c r="Q43" t="n">
        <v>1</v>
      </c>
      <c r="R43" s="2" t="inlineStr">
        <is>
          <t>Dropptaggsvamp</t>
        </is>
      </c>
      <c r="S43">
        <f>HYPERLINK("https://klasma.github.io/Logging_2580/artfynd/A 58717-2022 artfynd.xlsx", "A 58717-2022")</f>
        <v/>
      </c>
      <c r="T43">
        <f>HYPERLINK("https://klasma.github.io/Logging_2580/kartor/A 58717-2022 karta.png", "A 58717-2022")</f>
        <v/>
      </c>
      <c r="V43">
        <f>HYPERLINK("https://klasma.github.io/Logging_2580/klagomål/A 58717-2022 FSC-klagomål.docx", "A 58717-2022")</f>
        <v/>
      </c>
      <c r="W43">
        <f>HYPERLINK("https://klasma.github.io/Logging_2580/klagomålsmail/A 58717-2022 FSC-klagomål mail.docx", "A 58717-2022")</f>
        <v/>
      </c>
      <c r="X43">
        <f>HYPERLINK("https://klasma.github.io/Logging_2580/tillsyn/A 58717-2022 tillsynsbegäran.docx", "A 58717-2022")</f>
        <v/>
      </c>
      <c r="Y43">
        <f>HYPERLINK("https://klasma.github.io/Logging_2580/tillsynsmail/A 58717-2022 tillsynsbegäran mail.docx", "A 58717-2022")</f>
        <v/>
      </c>
    </row>
    <row r="44" ht="15" customHeight="1">
      <c r="A44" t="inlineStr">
        <is>
          <t>A 59362-2022</t>
        </is>
      </c>
      <c r="B44" s="1" t="n">
        <v>44904</v>
      </c>
      <c r="C44" s="1" t="n">
        <v>45566</v>
      </c>
      <c r="D44" t="inlineStr">
        <is>
          <t>NORRBOTTENS LÄN</t>
        </is>
      </c>
      <c r="E44" t="inlineStr">
        <is>
          <t>LULEÅ</t>
        </is>
      </c>
      <c r="G44" t="n">
        <v>5.1</v>
      </c>
      <c r="H44" t="n">
        <v>1</v>
      </c>
      <c r="I44" t="n">
        <v>0</v>
      </c>
      <c r="J44" t="n">
        <v>1</v>
      </c>
      <c r="K44" t="n">
        <v>0</v>
      </c>
      <c r="L44" t="n">
        <v>0</v>
      </c>
      <c r="M44" t="n">
        <v>0</v>
      </c>
      <c r="N44" t="n">
        <v>0</v>
      </c>
      <c r="O44" t="n">
        <v>1</v>
      </c>
      <c r="P44" t="n">
        <v>0</v>
      </c>
      <c r="Q44" t="n">
        <v>1</v>
      </c>
      <c r="R44" s="2" t="inlineStr">
        <is>
          <t>Tretåig hackspett</t>
        </is>
      </c>
      <c r="S44">
        <f>HYPERLINK("https://klasma.github.io/Logging_2580/artfynd/A 59362-2022 artfynd.xlsx", "A 59362-2022")</f>
        <v/>
      </c>
      <c r="T44">
        <f>HYPERLINK("https://klasma.github.io/Logging_2580/kartor/A 59362-2022 karta.png", "A 59362-2022")</f>
        <v/>
      </c>
      <c r="V44">
        <f>HYPERLINK("https://klasma.github.io/Logging_2580/klagomål/A 59362-2022 FSC-klagomål.docx", "A 59362-2022")</f>
        <v/>
      </c>
      <c r="W44">
        <f>HYPERLINK("https://klasma.github.io/Logging_2580/klagomålsmail/A 59362-2022 FSC-klagomål mail.docx", "A 59362-2022")</f>
        <v/>
      </c>
      <c r="X44">
        <f>HYPERLINK("https://klasma.github.io/Logging_2580/tillsyn/A 59362-2022 tillsynsbegäran.docx", "A 59362-2022")</f>
        <v/>
      </c>
      <c r="Y44">
        <f>HYPERLINK("https://klasma.github.io/Logging_2580/tillsynsmail/A 59362-2022 tillsynsbegäran mail.docx", "A 59362-2022")</f>
        <v/>
      </c>
      <c r="Z44">
        <f>HYPERLINK("https://klasma.github.io/Logging_2580/fåglar/A 59362-2022 prioriterade fågelarter.docx", "A 59362-2022")</f>
        <v/>
      </c>
    </row>
    <row r="45" ht="15" customHeight="1">
      <c r="A45" t="inlineStr">
        <is>
          <t>A 4561-2023</t>
        </is>
      </c>
      <c r="B45" s="1" t="n">
        <v>44951</v>
      </c>
      <c r="C45" s="1" t="n">
        <v>45566</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17428-2023</t>
        </is>
      </c>
      <c r="B46" s="1" t="n">
        <v>45036</v>
      </c>
      <c r="C46" s="1" t="n">
        <v>45566</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39583-2023</t>
        </is>
      </c>
      <c r="B47" s="1" t="n">
        <v>45167</v>
      </c>
      <c r="C47" s="1" t="n">
        <v>45566</v>
      </c>
      <c r="D47" t="inlineStr">
        <is>
          <t>NORRBOTTENS LÄN</t>
        </is>
      </c>
      <c r="E47" t="inlineStr">
        <is>
          <t>LULEÅ</t>
        </is>
      </c>
      <c r="G47" t="n">
        <v>20.5</v>
      </c>
      <c r="H47" t="n">
        <v>0</v>
      </c>
      <c r="I47" t="n">
        <v>1</v>
      </c>
      <c r="J47" t="n">
        <v>0</v>
      </c>
      <c r="K47" t="n">
        <v>0</v>
      </c>
      <c r="L47" t="n">
        <v>0</v>
      </c>
      <c r="M47" t="n">
        <v>0</v>
      </c>
      <c r="N47" t="n">
        <v>0</v>
      </c>
      <c r="O47" t="n">
        <v>0</v>
      </c>
      <c r="P47" t="n">
        <v>0</v>
      </c>
      <c r="Q47" t="n">
        <v>1</v>
      </c>
      <c r="R47" s="2" t="inlineStr">
        <is>
          <t>Dropptaggsvamp</t>
        </is>
      </c>
      <c r="S47">
        <f>HYPERLINK("https://klasma.github.io/Logging_2580/artfynd/A 39583-2023 artfynd.xlsx", "A 39583-2023")</f>
        <v/>
      </c>
      <c r="T47">
        <f>HYPERLINK("https://klasma.github.io/Logging_2580/kartor/A 39583-2023 karta.png", "A 39583-2023")</f>
        <v/>
      </c>
      <c r="V47">
        <f>HYPERLINK("https://klasma.github.io/Logging_2580/klagomål/A 39583-2023 FSC-klagomål.docx", "A 39583-2023")</f>
        <v/>
      </c>
      <c r="W47">
        <f>HYPERLINK("https://klasma.github.io/Logging_2580/klagomålsmail/A 39583-2023 FSC-klagomål mail.docx", "A 39583-2023")</f>
        <v/>
      </c>
      <c r="X47">
        <f>HYPERLINK("https://klasma.github.io/Logging_2580/tillsyn/A 39583-2023 tillsynsbegäran.docx", "A 39583-2023")</f>
        <v/>
      </c>
      <c r="Y47">
        <f>HYPERLINK("https://klasma.github.io/Logging_2580/tillsynsmail/A 39583-2023 tillsynsbegäran mail.docx", "A 39583-2023")</f>
        <v/>
      </c>
    </row>
    <row r="48" ht="15" customHeight="1">
      <c r="A48" t="inlineStr">
        <is>
          <t>A 59466-2023</t>
        </is>
      </c>
      <c r="B48" s="1" t="n">
        <v>45254</v>
      </c>
      <c r="C48" s="1" t="n">
        <v>45566</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63879-2023</t>
        </is>
      </c>
      <c r="B49" s="1" t="n">
        <v>45278</v>
      </c>
      <c r="C49" s="1" t="n">
        <v>45566</v>
      </c>
      <c r="D49" t="inlineStr">
        <is>
          <t>NORRBOTTENS LÄN</t>
        </is>
      </c>
      <c r="E49" t="inlineStr">
        <is>
          <t>LULEÅ</t>
        </is>
      </c>
      <c r="G49" t="n">
        <v>4</v>
      </c>
      <c r="H49" t="n">
        <v>1</v>
      </c>
      <c r="I49" t="n">
        <v>0</v>
      </c>
      <c r="J49" t="n">
        <v>0</v>
      </c>
      <c r="K49" t="n">
        <v>0</v>
      </c>
      <c r="L49" t="n">
        <v>0</v>
      </c>
      <c r="M49" t="n">
        <v>0</v>
      </c>
      <c r="N49" t="n">
        <v>0</v>
      </c>
      <c r="O49" t="n">
        <v>0</v>
      </c>
      <c r="P49" t="n">
        <v>0</v>
      </c>
      <c r="Q49" t="n">
        <v>1</v>
      </c>
      <c r="R49" s="2" t="inlineStr">
        <is>
          <t>Nattviol</t>
        </is>
      </c>
      <c r="S49">
        <f>HYPERLINK("https://klasma.github.io/Logging_2580/artfynd/A 63879-2023 artfynd.xlsx", "A 63879-2023")</f>
        <v/>
      </c>
      <c r="T49">
        <f>HYPERLINK("https://klasma.github.io/Logging_2580/kartor/A 63879-2023 karta.png", "A 63879-2023")</f>
        <v/>
      </c>
      <c r="V49">
        <f>HYPERLINK("https://klasma.github.io/Logging_2580/klagomål/A 63879-2023 FSC-klagomål.docx", "A 63879-2023")</f>
        <v/>
      </c>
      <c r="W49">
        <f>HYPERLINK("https://klasma.github.io/Logging_2580/klagomålsmail/A 63879-2023 FSC-klagomål mail.docx", "A 63879-2023")</f>
        <v/>
      </c>
      <c r="X49">
        <f>HYPERLINK("https://klasma.github.io/Logging_2580/tillsyn/A 63879-2023 tillsynsbegäran.docx", "A 63879-2023")</f>
        <v/>
      </c>
      <c r="Y49">
        <f>HYPERLINK("https://klasma.github.io/Logging_2580/tillsynsmail/A 63879-2023 tillsynsbegäran mail.docx", "A 63879-2023")</f>
        <v/>
      </c>
    </row>
    <row r="50" ht="15" customHeight="1">
      <c r="A50" t="inlineStr">
        <is>
          <t>A 4141-2024</t>
        </is>
      </c>
      <c r="B50" s="1" t="n">
        <v>45323</v>
      </c>
      <c r="C50" s="1" t="n">
        <v>45566</v>
      </c>
      <c r="D50" t="inlineStr">
        <is>
          <t>NORRBOTTENS LÄN</t>
        </is>
      </c>
      <c r="E50" t="inlineStr">
        <is>
          <t>LULEÅ</t>
        </is>
      </c>
      <c r="G50" t="n">
        <v>24</v>
      </c>
      <c r="H50" t="n">
        <v>1</v>
      </c>
      <c r="I50" t="n">
        <v>0</v>
      </c>
      <c r="J50" t="n">
        <v>1</v>
      </c>
      <c r="K50" t="n">
        <v>0</v>
      </c>
      <c r="L50" t="n">
        <v>0</v>
      </c>
      <c r="M50" t="n">
        <v>0</v>
      </c>
      <c r="N50" t="n">
        <v>0</v>
      </c>
      <c r="O50" t="n">
        <v>1</v>
      </c>
      <c r="P50" t="n">
        <v>0</v>
      </c>
      <c r="Q50" t="n">
        <v>1</v>
      </c>
      <c r="R50" s="2" t="inlineStr">
        <is>
          <t>Havsörn</t>
        </is>
      </c>
      <c r="S50">
        <f>HYPERLINK("https://klasma.github.io/Logging_2580/artfynd/A 4141-2024 artfynd.xlsx", "A 4141-2024")</f>
        <v/>
      </c>
      <c r="T50">
        <f>HYPERLINK("https://klasma.github.io/Logging_2580/kartor/A 4141-2024 karta.png", "A 4141-2024")</f>
        <v/>
      </c>
      <c r="V50">
        <f>HYPERLINK("https://klasma.github.io/Logging_2580/klagomål/A 4141-2024 FSC-klagomål.docx", "A 4141-2024")</f>
        <v/>
      </c>
      <c r="W50">
        <f>HYPERLINK("https://klasma.github.io/Logging_2580/klagomålsmail/A 4141-2024 FSC-klagomål mail.docx", "A 4141-2024")</f>
        <v/>
      </c>
      <c r="X50">
        <f>HYPERLINK("https://klasma.github.io/Logging_2580/tillsyn/A 4141-2024 tillsynsbegäran.docx", "A 4141-2024")</f>
        <v/>
      </c>
      <c r="Y50">
        <f>HYPERLINK("https://klasma.github.io/Logging_2580/tillsynsmail/A 4141-2024 tillsynsbegäran mail.docx", "A 4141-2024")</f>
        <v/>
      </c>
      <c r="Z50">
        <f>HYPERLINK("https://klasma.github.io/Logging_2580/fåglar/A 4141-2024 prioriterade fågelarter.docx", "A 4141-2024")</f>
        <v/>
      </c>
    </row>
    <row r="51" ht="15" customHeight="1">
      <c r="A51" t="inlineStr">
        <is>
          <t>A 4692-2024</t>
        </is>
      </c>
      <c r="B51" s="1" t="n">
        <v>45328</v>
      </c>
      <c r="C51" s="1" t="n">
        <v>45566</v>
      </c>
      <c r="D51" t="inlineStr">
        <is>
          <t>NORRBOTTENS LÄN</t>
        </is>
      </c>
      <c r="E51" t="inlineStr">
        <is>
          <t>LULEÅ</t>
        </is>
      </c>
      <c r="G51" t="n">
        <v>4</v>
      </c>
      <c r="H51" t="n">
        <v>1</v>
      </c>
      <c r="I51" t="n">
        <v>0</v>
      </c>
      <c r="J51" t="n">
        <v>0</v>
      </c>
      <c r="K51" t="n">
        <v>0</v>
      </c>
      <c r="L51" t="n">
        <v>0</v>
      </c>
      <c r="M51" t="n">
        <v>0</v>
      </c>
      <c r="N51" t="n">
        <v>0</v>
      </c>
      <c r="O51" t="n">
        <v>0</v>
      </c>
      <c r="P51" t="n">
        <v>0</v>
      </c>
      <c r="Q51" t="n">
        <v>1</v>
      </c>
      <c r="R51" s="2" t="inlineStr">
        <is>
          <t>Fläcknycklar</t>
        </is>
      </c>
      <c r="S51">
        <f>HYPERLINK("https://klasma.github.io/Logging_2580/artfynd/A 4692-2024 artfynd.xlsx", "A 4692-2024")</f>
        <v/>
      </c>
      <c r="T51">
        <f>HYPERLINK("https://klasma.github.io/Logging_2580/kartor/A 4692-2024 karta.png", "A 4692-2024")</f>
        <v/>
      </c>
      <c r="V51">
        <f>HYPERLINK("https://klasma.github.io/Logging_2580/klagomål/A 4692-2024 FSC-klagomål.docx", "A 4692-2024")</f>
        <v/>
      </c>
      <c r="W51">
        <f>HYPERLINK("https://klasma.github.io/Logging_2580/klagomålsmail/A 4692-2024 FSC-klagomål mail.docx", "A 4692-2024")</f>
        <v/>
      </c>
      <c r="X51">
        <f>HYPERLINK("https://klasma.github.io/Logging_2580/tillsyn/A 4692-2024 tillsynsbegäran.docx", "A 4692-2024")</f>
        <v/>
      </c>
      <c r="Y51">
        <f>HYPERLINK("https://klasma.github.io/Logging_2580/tillsynsmail/A 4692-2024 tillsynsbegäran mail.docx", "A 4692-2024")</f>
        <v/>
      </c>
    </row>
    <row r="52" ht="15" customHeight="1">
      <c r="A52" t="inlineStr">
        <is>
          <t>A 12462-2024</t>
        </is>
      </c>
      <c r="B52" s="1" t="n">
        <v>45378</v>
      </c>
      <c r="C52" s="1" t="n">
        <v>45566</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12462-2024 artfynd.xlsx", "A 12462-2024")</f>
        <v/>
      </c>
      <c r="T52">
        <f>HYPERLINK("https://klasma.github.io/Logging_2580/kartor/A 12462-2024 karta.png", "A 12462-2024")</f>
        <v/>
      </c>
      <c r="V52">
        <f>HYPERLINK("https://klasma.github.io/Logging_2580/klagomål/A 12462-2024 FSC-klagomål.docx", "A 12462-2024")</f>
        <v/>
      </c>
      <c r="W52">
        <f>HYPERLINK("https://klasma.github.io/Logging_2580/klagomålsmail/A 12462-2024 FSC-klagomål mail.docx", "A 12462-2024")</f>
        <v/>
      </c>
      <c r="X52">
        <f>HYPERLINK("https://klasma.github.io/Logging_2580/tillsyn/A 12462-2024 tillsynsbegäran.docx", "A 12462-2024")</f>
        <v/>
      </c>
      <c r="Y52">
        <f>HYPERLINK("https://klasma.github.io/Logging_2580/tillsynsmail/A 12462-2024 tillsynsbegäran mail.docx", "A 12462-2024")</f>
        <v/>
      </c>
    </row>
    <row r="53" ht="15" customHeight="1">
      <c r="A53" t="inlineStr">
        <is>
          <t>A 19552-2024</t>
        </is>
      </c>
      <c r="B53" s="1" t="n">
        <v>45429</v>
      </c>
      <c r="C53" s="1" t="n">
        <v>45566</v>
      </c>
      <c r="D53" t="inlineStr">
        <is>
          <t>NORRBOTTENS LÄN</t>
        </is>
      </c>
      <c r="E53" t="inlineStr">
        <is>
          <t>LULEÅ</t>
        </is>
      </c>
      <c r="G53" t="n">
        <v>0.7</v>
      </c>
      <c r="H53" t="n">
        <v>0</v>
      </c>
      <c r="I53" t="n">
        <v>0</v>
      </c>
      <c r="J53" t="n">
        <v>0</v>
      </c>
      <c r="K53" t="n">
        <v>1</v>
      </c>
      <c r="L53" t="n">
        <v>0</v>
      </c>
      <c r="M53" t="n">
        <v>0</v>
      </c>
      <c r="N53" t="n">
        <v>0</v>
      </c>
      <c r="O53" t="n">
        <v>1</v>
      </c>
      <c r="P53" t="n">
        <v>1</v>
      </c>
      <c r="Q53" t="n">
        <v>1</v>
      </c>
      <c r="R53" s="2" t="inlineStr">
        <is>
          <t>Smalfotad taggsvamp</t>
        </is>
      </c>
      <c r="S53">
        <f>HYPERLINK("https://klasma.github.io/Logging_2580/artfynd/A 19552-2024 artfynd.xlsx", "A 19552-2024")</f>
        <v/>
      </c>
      <c r="T53">
        <f>HYPERLINK("https://klasma.github.io/Logging_2580/kartor/A 19552-2024 karta.png", "A 19552-2024")</f>
        <v/>
      </c>
      <c r="V53">
        <f>HYPERLINK("https://klasma.github.io/Logging_2580/klagomål/A 19552-2024 FSC-klagomål.docx", "A 19552-2024")</f>
        <v/>
      </c>
      <c r="W53">
        <f>HYPERLINK("https://klasma.github.io/Logging_2580/klagomålsmail/A 19552-2024 FSC-klagomål mail.docx", "A 19552-2024")</f>
        <v/>
      </c>
      <c r="X53">
        <f>HYPERLINK("https://klasma.github.io/Logging_2580/tillsyn/A 19552-2024 tillsynsbegäran.docx", "A 19552-2024")</f>
        <v/>
      </c>
      <c r="Y53">
        <f>HYPERLINK("https://klasma.github.io/Logging_2580/tillsynsmail/A 19552-2024 tillsynsbegäran mail.docx", "A 19552-2024")</f>
        <v/>
      </c>
    </row>
    <row r="54" ht="15" customHeight="1">
      <c r="A54" t="inlineStr">
        <is>
          <t>A 25528-2024</t>
        </is>
      </c>
      <c r="B54" s="1" t="n">
        <v>45463</v>
      </c>
      <c r="C54" s="1" t="n">
        <v>45566</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35545-2024</t>
        </is>
      </c>
      <c r="B55" s="1" t="n">
        <v>45531</v>
      </c>
      <c r="C55" s="1" t="n">
        <v>45566</v>
      </c>
      <c r="D55" t="inlineStr">
        <is>
          <t>NORRBOTTENS LÄN</t>
        </is>
      </c>
      <c r="E55" t="inlineStr">
        <is>
          <t>LULEÅ</t>
        </is>
      </c>
      <c r="G55" t="n">
        <v>19.7</v>
      </c>
      <c r="H55" t="n">
        <v>0</v>
      </c>
      <c r="I55" t="n">
        <v>0</v>
      </c>
      <c r="J55" t="n">
        <v>0</v>
      </c>
      <c r="K55" t="n">
        <v>1</v>
      </c>
      <c r="L55" t="n">
        <v>0</v>
      </c>
      <c r="M55" t="n">
        <v>0</v>
      </c>
      <c r="N55" t="n">
        <v>0</v>
      </c>
      <c r="O55" t="n">
        <v>1</v>
      </c>
      <c r="P55" t="n">
        <v>1</v>
      </c>
      <c r="Q55" t="n">
        <v>1</v>
      </c>
      <c r="R55" s="2" t="inlineStr">
        <is>
          <t>Liten aspgelélav</t>
        </is>
      </c>
      <c r="S55">
        <f>HYPERLINK("https://klasma.github.io/Logging_2580/artfynd/A 35545-2024 artfynd.xlsx", "A 35545-2024")</f>
        <v/>
      </c>
      <c r="T55">
        <f>HYPERLINK("https://klasma.github.io/Logging_2580/kartor/A 35545-2024 karta.png", "A 35545-2024")</f>
        <v/>
      </c>
      <c r="V55">
        <f>HYPERLINK("https://klasma.github.io/Logging_2580/klagomål/A 35545-2024 FSC-klagomål.docx", "A 35545-2024")</f>
        <v/>
      </c>
      <c r="W55">
        <f>HYPERLINK("https://klasma.github.io/Logging_2580/klagomålsmail/A 35545-2024 FSC-klagomål mail.docx", "A 35545-2024")</f>
        <v/>
      </c>
      <c r="X55">
        <f>HYPERLINK("https://klasma.github.io/Logging_2580/tillsyn/A 35545-2024 tillsynsbegäran.docx", "A 35545-2024")</f>
        <v/>
      </c>
      <c r="Y55">
        <f>HYPERLINK("https://klasma.github.io/Logging_2580/tillsynsmail/A 35545-2024 tillsynsbegäran mail.docx", "A 35545-2024")</f>
        <v/>
      </c>
    </row>
    <row r="56" ht="15" customHeight="1">
      <c r="A56" t="inlineStr">
        <is>
          <t>A 17849-2019</t>
        </is>
      </c>
      <c r="B56" s="1" t="n">
        <v>43556</v>
      </c>
      <c r="C56" s="1" t="n">
        <v>45566</v>
      </c>
      <c r="D56" t="inlineStr">
        <is>
          <t>NORRBOTTENS LÄN</t>
        </is>
      </c>
      <c r="E56" t="inlineStr">
        <is>
          <t>LULEÅ</t>
        </is>
      </c>
      <c r="G56" t="n">
        <v>0.4</v>
      </c>
      <c r="H56" t="n">
        <v>0</v>
      </c>
      <c r="I56" t="n">
        <v>0</v>
      </c>
      <c r="J56" t="n">
        <v>0</v>
      </c>
      <c r="K56" t="n">
        <v>0</v>
      </c>
      <c r="L56" t="n">
        <v>0</v>
      </c>
      <c r="M56" t="n">
        <v>0</v>
      </c>
      <c r="N56" t="n">
        <v>0</v>
      </c>
      <c r="O56" t="n">
        <v>0</v>
      </c>
      <c r="P56" t="n">
        <v>0</v>
      </c>
      <c r="Q56" t="n">
        <v>0</v>
      </c>
      <c r="R56" s="2" t="inlineStr"/>
    </row>
    <row r="57" ht="15" customHeight="1">
      <c r="A57" t="inlineStr">
        <is>
          <t>A 17850-2019</t>
        </is>
      </c>
      <c r="B57" s="1" t="n">
        <v>43556</v>
      </c>
      <c r="C57" s="1" t="n">
        <v>45566</v>
      </c>
      <c r="D57" t="inlineStr">
        <is>
          <t>NORRBOTTENS LÄN</t>
        </is>
      </c>
      <c r="E57" t="inlineStr">
        <is>
          <t>LULEÅ</t>
        </is>
      </c>
      <c r="G57" t="n">
        <v>4.2</v>
      </c>
      <c r="H57" t="n">
        <v>0</v>
      </c>
      <c r="I57" t="n">
        <v>0</v>
      </c>
      <c r="J57" t="n">
        <v>0</v>
      </c>
      <c r="K57" t="n">
        <v>0</v>
      </c>
      <c r="L57" t="n">
        <v>0</v>
      </c>
      <c r="M57" t="n">
        <v>0</v>
      </c>
      <c r="N57" t="n">
        <v>0</v>
      </c>
      <c r="O57" t="n">
        <v>0</v>
      </c>
      <c r="P57" t="n">
        <v>0</v>
      </c>
      <c r="Q57" t="n">
        <v>0</v>
      </c>
      <c r="R57" s="2" t="inlineStr"/>
    </row>
    <row r="58" ht="15" customHeight="1">
      <c r="A58" t="inlineStr">
        <is>
          <t>A 17848-2019</t>
        </is>
      </c>
      <c r="B58" s="1" t="n">
        <v>43556</v>
      </c>
      <c r="C58" s="1" t="n">
        <v>45566</v>
      </c>
      <c r="D58" t="inlineStr">
        <is>
          <t>NORRBOTTENS LÄN</t>
        </is>
      </c>
      <c r="E58" t="inlineStr">
        <is>
          <t>LULEÅ</t>
        </is>
      </c>
      <c r="G58" t="n">
        <v>2.5</v>
      </c>
      <c r="H58" t="n">
        <v>0</v>
      </c>
      <c r="I58" t="n">
        <v>0</v>
      </c>
      <c r="J58" t="n">
        <v>0</v>
      </c>
      <c r="K58" t="n">
        <v>0</v>
      </c>
      <c r="L58" t="n">
        <v>0</v>
      </c>
      <c r="M58" t="n">
        <v>0</v>
      </c>
      <c r="N58" t="n">
        <v>0</v>
      </c>
      <c r="O58" t="n">
        <v>0</v>
      </c>
      <c r="P58" t="n">
        <v>0</v>
      </c>
      <c r="Q58" t="n">
        <v>0</v>
      </c>
      <c r="R58" s="2" t="inlineStr"/>
    </row>
    <row r="59" ht="15" customHeight="1">
      <c r="A59" t="inlineStr">
        <is>
          <t>A 17810-2019</t>
        </is>
      </c>
      <c r="B59" s="1" t="n">
        <v>43556</v>
      </c>
      <c r="C59" s="1" t="n">
        <v>45566</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19262-2019</t>
        </is>
      </c>
      <c r="B60" s="1" t="n">
        <v>43564</v>
      </c>
      <c r="C60" s="1" t="n">
        <v>45566</v>
      </c>
      <c r="D60" t="inlineStr">
        <is>
          <t>NORRBOTTENS LÄN</t>
        </is>
      </c>
      <c r="E60" t="inlineStr">
        <is>
          <t>LULEÅ</t>
        </is>
      </c>
      <c r="G60" t="n">
        <v>1.7</v>
      </c>
      <c r="H60" t="n">
        <v>0</v>
      </c>
      <c r="I60" t="n">
        <v>0</v>
      </c>
      <c r="J60" t="n">
        <v>0</v>
      </c>
      <c r="K60" t="n">
        <v>0</v>
      </c>
      <c r="L60" t="n">
        <v>0</v>
      </c>
      <c r="M60" t="n">
        <v>0</v>
      </c>
      <c r="N60" t="n">
        <v>0</v>
      </c>
      <c r="O60" t="n">
        <v>0</v>
      </c>
      <c r="P60" t="n">
        <v>0</v>
      </c>
      <c r="Q60" t="n">
        <v>0</v>
      </c>
      <c r="R60" s="2" t="inlineStr"/>
    </row>
    <row r="61" ht="15" customHeight="1">
      <c r="A61" t="inlineStr">
        <is>
          <t>A 21079-2019</t>
        </is>
      </c>
      <c r="B61" s="1" t="n">
        <v>43578</v>
      </c>
      <c r="C61" s="1" t="n">
        <v>45566</v>
      </c>
      <c r="D61" t="inlineStr">
        <is>
          <t>NORRBOTTENS LÄN</t>
        </is>
      </c>
      <c r="E61" t="inlineStr">
        <is>
          <t>LULEÅ</t>
        </is>
      </c>
      <c r="G61" t="n">
        <v>0.5</v>
      </c>
      <c r="H61" t="n">
        <v>0</v>
      </c>
      <c r="I61" t="n">
        <v>0</v>
      </c>
      <c r="J61" t="n">
        <v>0</v>
      </c>
      <c r="K61" t="n">
        <v>0</v>
      </c>
      <c r="L61" t="n">
        <v>0</v>
      </c>
      <c r="M61" t="n">
        <v>0</v>
      </c>
      <c r="N61" t="n">
        <v>0</v>
      </c>
      <c r="O61" t="n">
        <v>0</v>
      </c>
      <c r="P61" t="n">
        <v>0</v>
      </c>
      <c r="Q61" t="n">
        <v>0</v>
      </c>
      <c r="R61" s="2" t="inlineStr"/>
    </row>
    <row r="62" ht="15" customHeight="1">
      <c r="A62" t="inlineStr">
        <is>
          <t>A 21547-2019</t>
        </is>
      </c>
      <c r="B62" s="1" t="n">
        <v>43580</v>
      </c>
      <c r="C62" s="1" t="n">
        <v>45566</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21548-2019</t>
        </is>
      </c>
      <c r="B63" s="1" t="n">
        <v>43580</v>
      </c>
      <c r="C63" s="1" t="n">
        <v>45566</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21546-2019</t>
        </is>
      </c>
      <c r="B64" s="1" t="n">
        <v>43580</v>
      </c>
      <c r="C64" s="1" t="n">
        <v>45566</v>
      </c>
      <c r="D64" t="inlineStr">
        <is>
          <t>NORRBOTTENS LÄN</t>
        </is>
      </c>
      <c r="E64" t="inlineStr">
        <is>
          <t>LULEÅ</t>
        </is>
      </c>
      <c r="G64" t="n">
        <v>5.1</v>
      </c>
      <c r="H64" t="n">
        <v>0</v>
      </c>
      <c r="I64" t="n">
        <v>0</v>
      </c>
      <c r="J64" t="n">
        <v>0</v>
      </c>
      <c r="K64" t="n">
        <v>0</v>
      </c>
      <c r="L64" t="n">
        <v>0</v>
      </c>
      <c r="M64" t="n">
        <v>0</v>
      </c>
      <c r="N64" t="n">
        <v>0</v>
      </c>
      <c r="O64" t="n">
        <v>0</v>
      </c>
      <c r="P64" t="n">
        <v>0</v>
      </c>
      <c r="Q64" t="n">
        <v>0</v>
      </c>
      <c r="R64" s="2" t="inlineStr"/>
    </row>
    <row r="65" ht="15" customHeight="1">
      <c r="A65" t="inlineStr">
        <is>
          <t>A 21550-2019</t>
        </is>
      </c>
      <c r="B65" s="1" t="n">
        <v>43580</v>
      </c>
      <c r="C65" s="1" t="n">
        <v>45566</v>
      </c>
      <c r="D65" t="inlineStr">
        <is>
          <t>NORRBOTTENS LÄN</t>
        </is>
      </c>
      <c r="E65" t="inlineStr">
        <is>
          <t>LULEÅ</t>
        </is>
      </c>
      <c r="G65" t="n">
        <v>3.3</v>
      </c>
      <c r="H65" t="n">
        <v>0</v>
      </c>
      <c r="I65" t="n">
        <v>0</v>
      </c>
      <c r="J65" t="n">
        <v>0</v>
      </c>
      <c r="K65" t="n">
        <v>0</v>
      </c>
      <c r="L65" t="n">
        <v>0</v>
      </c>
      <c r="M65" t="n">
        <v>0</v>
      </c>
      <c r="N65" t="n">
        <v>0</v>
      </c>
      <c r="O65" t="n">
        <v>0</v>
      </c>
      <c r="P65" t="n">
        <v>0</v>
      </c>
      <c r="Q65" t="n">
        <v>0</v>
      </c>
      <c r="R65" s="2" t="inlineStr"/>
    </row>
    <row r="66" ht="15" customHeight="1">
      <c r="A66" t="inlineStr">
        <is>
          <t>A 21916-2019</t>
        </is>
      </c>
      <c r="B66" s="1" t="n">
        <v>43584</v>
      </c>
      <c r="C66" s="1" t="n">
        <v>45566</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22098-2019</t>
        </is>
      </c>
      <c r="B67" s="1" t="n">
        <v>43584</v>
      </c>
      <c r="C67" s="1" t="n">
        <v>45566</v>
      </c>
      <c r="D67" t="inlineStr">
        <is>
          <t>NORRBOTTENS LÄN</t>
        </is>
      </c>
      <c r="E67" t="inlineStr">
        <is>
          <t>LULEÅ</t>
        </is>
      </c>
      <c r="G67" t="n">
        <v>2.2</v>
      </c>
      <c r="H67" t="n">
        <v>0</v>
      </c>
      <c r="I67" t="n">
        <v>0</v>
      </c>
      <c r="J67" t="n">
        <v>0</v>
      </c>
      <c r="K67" t="n">
        <v>0</v>
      </c>
      <c r="L67" t="n">
        <v>0</v>
      </c>
      <c r="M67" t="n">
        <v>0</v>
      </c>
      <c r="N67" t="n">
        <v>0</v>
      </c>
      <c r="O67" t="n">
        <v>0</v>
      </c>
      <c r="P67" t="n">
        <v>0</v>
      </c>
      <c r="Q67" t="n">
        <v>0</v>
      </c>
      <c r="R67" s="2" t="inlineStr"/>
    </row>
    <row r="68" ht="15" customHeight="1">
      <c r="A68" t="inlineStr">
        <is>
          <t>A 24885-2019</t>
        </is>
      </c>
      <c r="B68" s="1" t="n">
        <v>43599</v>
      </c>
      <c r="C68" s="1" t="n">
        <v>45566</v>
      </c>
      <c r="D68" t="inlineStr">
        <is>
          <t>NORRBOTTENS LÄN</t>
        </is>
      </c>
      <c r="E68" t="inlineStr">
        <is>
          <t>LULEÅ</t>
        </is>
      </c>
      <c r="G68" t="n">
        <v>1.2</v>
      </c>
      <c r="H68" t="n">
        <v>0</v>
      </c>
      <c r="I68" t="n">
        <v>0</v>
      </c>
      <c r="J68" t="n">
        <v>0</v>
      </c>
      <c r="K68" t="n">
        <v>0</v>
      </c>
      <c r="L68" t="n">
        <v>0</v>
      </c>
      <c r="M68" t="n">
        <v>0</v>
      </c>
      <c r="N68" t="n">
        <v>0</v>
      </c>
      <c r="O68" t="n">
        <v>0</v>
      </c>
      <c r="P68" t="n">
        <v>0</v>
      </c>
      <c r="Q68" t="n">
        <v>0</v>
      </c>
      <c r="R68" s="2" t="inlineStr"/>
    </row>
    <row r="69" ht="15" customHeight="1">
      <c r="A69" t="inlineStr">
        <is>
          <t>A 25208-2019</t>
        </is>
      </c>
      <c r="B69" s="1" t="n">
        <v>43605</v>
      </c>
      <c r="C69" s="1" t="n">
        <v>45566</v>
      </c>
      <c r="D69" t="inlineStr">
        <is>
          <t>NORRBOTTENS LÄN</t>
        </is>
      </c>
      <c r="E69" t="inlineStr">
        <is>
          <t>LULEÅ</t>
        </is>
      </c>
      <c r="G69" t="n">
        <v>25.8</v>
      </c>
      <c r="H69" t="n">
        <v>0</v>
      </c>
      <c r="I69" t="n">
        <v>0</v>
      </c>
      <c r="J69" t="n">
        <v>0</v>
      </c>
      <c r="K69" t="n">
        <v>0</v>
      </c>
      <c r="L69" t="n">
        <v>0</v>
      </c>
      <c r="M69" t="n">
        <v>0</v>
      </c>
      <c r="N69" t="n">
        <v>0</v>
      </c>
      <c r="O69" t="n">
        <v>0</v>
      </c>
      <c r="P69" t="n">
        <v>0</v>
      </c>
      <c r="Q69" t="n">
        <v>0</v>
      </c>
      <c r="R69" s="2" t="inlineStr"/>
    </row>
    <row r="70" ht="15" customHeight="1">
      <c r="A70" t="inlineStr">
        <is>
          <t>A 25212-2019</t>
        </is>
      </c>
      <c r="B70" s="1" t="n">
        <v>43605</v>
      </c>
      <c r="C70" s="1" t="n">
        <v>45566</v>
      </c>
      <c r="D70" t="inlineStr">
        <is>
          <t>NORRBOTTENS LÄN</t>
        </is>
      </c>
      <c r="E70" t="inlineStr">
        <is>
          <t>LULEÅ</t>
        </is>
      </c>
      <c r="G70" t="n">
        <v>10.4</v>
      </c>
      <c r="H70" t="n">
        <v>0</v>
      </c>
      <c r="I70" t="n">
        <v>0</v>
      </c>
      <c r="J70" t="n">
        <v>0</v>
      </c>
      <c r="K70" t="n">
        <v>0</v>
      </c>
      <c r="L70" t="n">
        <v>0</v>
      </c>
      <c r="M70" t="n">
        <v>0</v>
      </c>
      <c r="N70" t="n">
        <v>0</v>
      </c>
      <c r="O70" t="n">
        <v>0</v>
      </c>
      <c r="P70" t="n">
        <v>0</v>
      </c>
      <c r="Q70" t="n">
        <v>0</v>
      </c>
      <c r="R70" s="2" t="inlineStr"/>
    </row>
    <row r="71" ht="15" customHeight="1">
      <c r="A71" t="inlineStr">
        <is>
          <t>A 29037-2019</t>
        </is>
      </c>
      <c r="B71" s="1" t="n">
        <v>43620</v>
      </c>
      <c r="C71" s="1" t="n">
        <v>45566</v>
      </c>
      <c r="D71" t="inlineStr">
        <is>
          <t>NORRBOTTENS LÄN</t>
        </is>
      </c>
      <c r="E71" t="inlineStr">
        <is>
          <t>LULEÅ</t>
        </is>
      </c>
      <c r="G71" t="n">
        <v>3.7</v>
      </c>
      <c r="H71" t="n">
        <v>0</v>
      </c>
      <c r="I71" t="n">
        <v>0</v>
      </c>
      <c r="J71" t="n">
        <v>0</v>
      </c>
      <c r="K71" t="n">
        <v>0</v>
      </c>
      <c r="L71" t="n">
        <v>0</v>
      </c>
      <c r="M71" t="n">
        <v>0</v>
      </c>
      <c r="N71" t="n">
        <v>0</v>
      </c>
      <c r="O71" t="n">
        <v>0</v>
      </c>
      <c r="P71" t="n">
        <v>0</v>
      </c>
      <c r="Q71" t="n">
        <v>0</v>
      </c>
      <c r="R71" s="2" t="inlineStr"/>
    </row>
    <row r="72" ht="15" customHeight="1">
      <c r="A72" t="inlineStr">
        <is>
          <t>A 28286-2019</t>
        </is>
      </c>
      <c r="B72" s="1" t="n">
        <v>43623</v>
      </c>
      <c r="C72" s="1" t="n">
        <v>45566</v>
      </c>
      <c r="D72" t="inlineStr">
        <is>
          <t>NORRBOTTENS LÄN</t>
        </is>
      </c>
      <c r="E72" t="inlineStr">
        <is>
          <t>LULEÅ</t>
        </is>
      </c>
      <c r="F72" t="inlineStr">
        <is>
          <t>Kyrkan</t>
        </is>
      </c>
      <c r="G72" t="n">
        <v>1.9</v>
      </c>
      <c r="H72" t="n">
        <v>0</v>
      </c>
      <c r="I72" t="n">
        <v>0</v>
      </c>
      <c r="J72" t="n">
        <v>0</v>
      </c>
      <c r="K72" t="n">
        <v>0</v>
      </c>
      <c r="L72" t="n">
        <v>0</v>
      </c>
      <c r="M72" t="n">
        <v>0</v>
      </c>
      <c r="N72" t="n">
        <v>0</v>
      </c>
      <c r="O72" t="n">
        <v>0</v>
      </c>
      <c r="P72" t="n">
        <v>0</v>
      </c>
      <c r="Q72" t="n">
        <v>0</v>
      </c>
      <c r="R72" s="2" t="inlineStr"/>
    </row>
    <row r="73" ht="15" customHeight="1">
      <c r="A73" t="inlineStr">
        <is>
          <t>A 28292-2019</t>
        </is>
      </c>
      <c r="B73" s="1" t="n">
        <v>43623</v>
      </c>
      <c r="C73" s="1" t="n">
        <v>45566</v>
      </c>
      <c r="D73" t="inlineStr">
        <is>
          <t>NORRBOTTENS LÄN</t>
        </is>
      </c>
      <c r="E73" t="inlineStr">
        <is>
          <t>LULEÅ</t>
        </is>
      </c>
      <c r="F73" t="inlineStr">
        <is>
          <t>Kyrkan</t>
        </is>
      </c>
      <c r="G73" t="n">
        <v>2.9</v>
      </c>
      <c r="H73" t="n">
        <v>0</v>
      </c>
      <c r="I73" t="n">
        <v>0</v>
      </c>
      <c r="J73" t="n">
        <v>0</v>
      </c>
      <c r="K73" t="n">
        <v>0</v>
      </c>
      <c r="L73" t="n">
        <v>0</v>
      </c>
      <c r="M73" t="n">
        <v>0</v>
      </c>
      <c r="N73" t="n">
        <v>0</v>
      </c>
      <c r="O73" t="n">
        <v>0</v>
      </c>
      <c r="P73" t="n">
        <v>0</v>
      </c>
      <c r="Q73" t="n">
        <v>0</v>
      </c>
      <c r="R73" s="2" t="inlineStr"/>
    </row>
    <row r="74" ht="15" customHeight="1">
      <c r="A74" t="inlineStr">
        <is>
          <t>A 30202-2019</t>
        </is>
      </c>
      <c r="B74" s="1" t="n">
        <v>43634</v>
      </c>
      <c r="C74" s="1" t="n">
        <v>45566</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30543-2019</t>
        </is>
      </c>
      <c r="B75" s="1" t="n">
        <v>43635</v>
      </c>
      <c r="C75" s="1" t="n">
        <v>45566</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33452-2019</t>
        </is>
      </c>
      <c r="B76" s="1" t="n">
        <v>43650</v>
      </c>
      <c r="C76" s="1" t="n">
        <v>45566</v>
      </c>
      <c r="D76" t="inlineStr">
        <is>
          <t>NORRBOTTENS LÄN</t>
        </is>
      </c>
      <c r="E76" t="inlineStr">
        <is>
          <t>LULEÅ</t>
        </is>
      </c>
      <c r="G76" t="n">
        <v>2.5</v>
      </c>
      <c r="H76" t="n">
        <v>0</v>
      </c>
      <c r="I76" t="n">
        <v>0</v>
      </c>
      <c r="J76" t="n">
        <v>0</v>
      </c>
      <c r="K76" t="n">
        <v>0</v>
      </c>
      <c r="L76" t="n">
        <v>0</v>
      </c>
      <c r="M76" t="n">
        <v>0</v>
      </c>
      <c r="N76" t="n">
        <v>0</v>
      </c>
      <c r="O76" t="n">
        <v>0</v>
      </c>
      <c r="P76" t="n">
        <v>0</v>
      </c>
      <c r="Q76" t="n">
        <v>0</v>
      </c>
      <c r="R76" s="2" t="inlineStr"/>
    </row>
    <row r="77" ht="15" customHeight="1">
      <c r="A77" t="inlineStr">
        <is>
          <t>A 38704-2019</t>
        </is>
      </c>
      <c r="B77" s="1" t="n">
        <v>43684</v>
      </c>
      <c r="C77" s="1" t="n">
        <v>45566</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41091-2019</t>
        </is>
      </c>
      <c r="B78" s="1" t="n">
        <v>43693</v>
      </c>
      <c r="C78" s="1" t="n">
        <v>45566</v>
      </c>
      <c r="D78" t="inlineStr">
        <is>
          <t>NORRBOTTENS LÄN</t>
        </is>
      </c>
      <c r="E78" t="inlineStr">
        <is>
          <t>LULEÅ</t>
        </is>
      </c>
      <c r="G78" t="n">
        <v>4.3</v>
      </c>
      <c r="H78" t="n">
        <v>0</v>
      </c>
      <c r="I78" t="n">
        <v>0</v>
      </c>
      <c r="J78" t="n">
        <v>0</v>
      </c>
      <c r="K78" t="n">
        <v>0</v>
      </c>
      <c r="L78" t="n">
        <v>0</v>
      </c>
      <c r="M78" t="n">
        <v>0</v>
      </c>
      <c r="N78" t="n">
        <v>0</v>
      </c>
      <c r="O78" t="n">
        <v>0</v>
      </c>
      <c r="P78" t="n">
        <v>0</v>
      </c>
      <c r="Q78" t="n">
        <v>0</v>
      </c>
      <c r="R78" s="2" t="inlineStr"/>
    </row>
    <row r="79" ht="15" customHeight="1">
      <c r="A79" t="inlineStr">
        <is>
          <t>A 42782-2019</t>
        </is>
      </c>
      <c r="B79" s="1" t="n">
        <v>43704</v>
      </c>
      <c r="C79" s="1" t="n">
        <v>45566</v>
      </c>
      <c r="D79" t="inlineStr">
        <is>
          <t>NORRBOTTENS LÄN</t>
        </is>
      </c>
      <c r="E79" t="inlineStr">
        <is>
          <t>LULEÅ</t>
        </is>
      </c>
      <c r="F79" t="inlineStr">
        <is>
          <t>SCA</t>
        </is>
      </c>
      <c r="G79" t="n">
        <v>4.7</v>
      </c>
      <c r="H79" t="n">
        <v>0</v>
      </c>
      <c r="I79" t="n">
        <v>0</v>
      </c>
      <c r="J79" t="n">
        <v>0</v>
      </c>
      <c r="K79" t="n">
        <v>0</v>
      </c>
      <c r="L79" t="n">
        <v>0</v>
      </c>
      <c r="M79" t="n">
        <v>0</v>
      </c>
      <c r="N79" t="n">
        <v>0</v>
      </c>
      <c r="O79" t="n">
        <v>0</v>
      </c>
      <c r="P79" t="n">
        <v>0</v>
      </c>
      <c r="Q79" t="n">
        <v>0</v>
      </c>
      <c r="R79" s="2" t="inlineStr"/>
    </row>
    <row r="80" ht="15" customHeight="1">
      <c r="A80" t="inlineStr">
        <is>
          <t>A 42780-2019</t>
        </is>
      </c>
      <c r="B80" s="1" t="n">
        <v>43704</v>
      </c>
      <c r="C80" s="1" t="n">
        <v>45566</v>
      </c>
      <c r="D80" t="inlineStr">
        <is>
          <t>NORRBOTTENS LÄN</t>
        </is>
      </c>
      <c r="E80" t="inlineStr">
        <is>
          <t>LULEÅ</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44365-2019</t>
        </is>
      </c>
      <c r="B81" s="1" t="n">
        <v>43711</v>
      </c>
      <c r="C81" s="1" t="n">
        <v>45566</v>
      </c>
      <c r="D81" t="inlineStr">
        <is>
          <t>NORRBOTTENS LÄN</t>
        </is>
      </c>
      <c r="E81" t="inlineStr">
        <is>
          <t>LULEÅ</t>
        </is>
      </c>
      <c r="G81" t="n">
        <v>4</v>
      </c>
      <c r="H81" t="n">
        <v>0</v>
      </c>
      <c r="I81" t="n">
        <v>0</v>
      </c>
      <c r="J81" t="n">
        <v>0</v>
      </c>
      <c r="K81" t="n">
        <v>0</v>
      </c>
      <c r="L81" t="n">
        <v>0</v>
      </c>
      <c r="M81" t="n">
        <v>0</v>
      </c>
      <c r="N81" t="n">
        <v>0</v>
      </c>
      <c r="O81" t="n">
        <v>0</v>
      </c>
      <c r="P81" t="n">
        <v>0</v>
      </c>
      <c r="Q81" t="n">
        <v>0</v>
      </c>
      <c r="R81" s="2" t="inlineStr"/>
    </row>
    <row r="82" ht="15" customHeight="1">
      <c r="A82" t="inlineStr">
        <is>
          <t>A 45252-2019</t>
        </is>
      </c>
      <c r="B82" s="1" t="n">
        <v>43713</v>
      </c>
      <c r="C82" s="1" t="n">
        <v>45566</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45482-2019</t>
        </is>
      </c>
      <c r="B83" s="1" t="n">
        <v>43713</v>
      </c>
      <c r="C83" s="1" t="n">
        <v>45566</v>
      </c>
      <c r="D83" t="inlineStr">
        <is>
          <t>NORRBOTTENS LÄN</t>
        </is>
      </c>
      <c r="E83" t="inlineStr">
        <is>
          <t>LULEÅ</t>
        </is>
      </c>
      <c r="F83" t="inlineStr">
        <is>
          <t>SCA</t>
        </is>
      </c>
      <c r="G83" t="n">
        <v>0.6</v>
      </c>
      <c r="H83" t="n">
        <v>0</v>
      </c>
      <c r="I83" t="n">
        <v>0</v>
      </c>
      <c r="J83" t="n">
        <v>0</v>
      </c>
      <c r="K83" t="n">
        <v>0</v>
      </c>
      <c r="L83" t="n">
        <v>0</v>
      </c>
      <c r="M83" t="n">
        <v>0</v>
      </c>
      <c r="N83" t="n">
        <v>0</v>
      </c>
      <c r="O83" t="n">
        <v>0</v>
      </c>
      <c r="P83" t="n">
        <v>0</v>
      </c>
      <c r="Q83" t="n">
        <v>0</v>
      </c>
      <c r="R83" s="2" t="inlineStr"/>
    </row>
    <row r="84" ht="15" customHeight="1">
      <c r="A84" t="inlineStr">
        <is>
          <t>A 46780-2019</t>
        </is>
      </c>
      <c r="B84" s="1" t="n">
        <v>43718</v>
      </c>
      <c r="C84" s="1" t="n">
        <v>45566</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47405-2019</t>
        </is>
      </c>
      <c r="B85" s="1" t="n">
        <v>43722</v>
      </c>
      <c r="C85" s="1" t="n">
        <v>45566</v>
      </c>
      <c r="D85" t="inlineStr">
        <is>
          <t>NORRBOTTENS LÄN</t>
        </is>
      </c>
      <c r="E85" t="inlineStr">
        <is>
          <t>LULEÅ</t>
        </is>
      </c>
      <c r="G85" t="n">
        <v>0.6</v>
      </c>
      <c r="H85" t="n">
        <v>0</v>
      </c>
      <c r="I85" t="n">
        <v>0</v>
      </c>
      <c r="J85" t="n">
        <v>0</v>
      </c>
      <c r="K85" t="n">
        <v>0</v>
      </c>
      <c r="L85" t="n">
        <v>0</v>
      </c>
      <c r="M85" t="n">
        <v>0</v>
      </c>
      <c r="N85" t="n">
        <v>0</v>
      </c>
      <c r="O85" t="n">
        <v>0</v>
      </c>
      <c r="P85" t="n">
        <v>0</v>
      </c>
      <c r="Q85" t="n">
        <v>0</v>
      </c>
      <c r="R85" s="2" t="inlineStr"/>
    </row>
    <row r="86" ht="15" customHeight="1">
      <c r="A86" t="inlineStr">
        <is>
          <t>A 49751-2019</t>
        </is>
      </c>
      <c r="B86" s="1" t="n">
        <v>43733</v>
      </c>
      <c r="C86" s="1" t="n">
        <v>45566</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49886-2019</t>
        </is>
      </c>
      <c r="B87" s="1" t="n">
        <v>43733</v>
      </c>
      <c r="C87" s="1" t="n">
        <v>45566</v>
      </c>
      <c r="D87" t="inlineStr">
        <is>
          <t>NORRBOTTENS LÄN</t>
        </is>
      </c>
      <c r="E87" t="inlineStr">
        <is>
          <t>LULEÅ</t>
        </is>
      </c>
      <c r="G87" t="n">
        <v>2.7</v>
      </c>
      <c r="H87" t="n">
        <v>0</v>
      </c>
      <c r="I87" t="n">
        <v>0</v>
      </c>
      <c r="J87" t="n">
        <v>0</v>
      </c>
      <c r="K87" t="n">
        <v>0</v>
      </c>
      <c r="L87" t="n">
        <v>0</v>
      </c>
      <c r="M87" t="n">
        <v>0</v>
      </c>
      <c r="N87" t="n">
        <v>0</v>
      </c>
      <c r="O87" t="n">
        <v>0</v>
      </c>
      <c r="P87" t="n">
        <v>0</v>
      </c>
      <c r="Q87" t="n">
        <v>0</v>
      </c>
      <c r="R87" s="2" t="inlineStr"/>
    </row>
    <row r="88" ht="15" customHeight="1">
      <c r="A88" t="inlineStr">
        <is>
          <t>A 49916-2019</t>
        </is>
      </c>
      <c r="B88" s="1" t="n">
        <v>43733</v>
      </c>
      <c r="C88" s="1" t="n">
        <v>45566</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51694-2019</t>
        </is>
      </c>
      <c r="B89" s="1" t="n">
        <v>43740</v>
      </c>
      <c r="C89" s="1" t="n">
        <v>45566</v>
      </c>
      <c r="D89" t="inlineStr">
        <is>
          <t>NORRBOTTENS LÄN</t>
        </is>
      </c>
      <c r="E89" t="inlineStr">
        <is>
          <t>LULEÅ</t>
        </is>
      </c>
      <c r="F89" t="inlineStr">
        <is>
          <t>SCA</t>
        </is>
      </c>
      <c r="G89" t="n">
        <v>8.199999999999999</v>
      </c>
      <c r="H89" t="n">
        <v>0</v>
      </c>
      <c r="I89" t="n">
        <v>0</v>
      </c>
      <c r="J89" t="n">
        <v>0</v>
      </c>
      <c r="K89" t="n">
        <v>0</v>
      </c>
      <c r="L89" t="n">
        <v>0</v>
      </c>
      <c r="M89" t="n">
        <v>0</v>
      </c>
      <c r="N89" t="n">
        <v>0</v>
      </c>
      <c r="O89" t="n">
        <v>0</v>
      </c>
      <c r="P89" t="n">
        <v>0</v>
      </c>
      <c r="Q89" t="n">
        <v>0</v>
      </c>
      <c r="R89" s="2" t="inlineStr"/>
    </row>
    <row r="90" ht="15" customHeight="1">
      <c r="A90" t="inlineStr">
        <is>
          <t>A 52917-2019</t>
        </is>
      </c>
      <c r="B90" s="1" t="n">
        <v>43746</v>
      </c>
      <c r="C90" s="1" t="n">
        <v>45566</v>
      </c>
      <c r="D90" t="inlineStr">
        <is>
          <t>NORRBOTTENS LÄN</t>
        </is>
      </c>
      <c r="E90" t="inlineStr">
        <is>
          <t>LULEÅ</t>
        </is>
      </c>
      <c r="F90" t="inlineStr">
        <is>
          <t>Naturvårdsverket</t>
        </is>
      </c>
      <c r="G90" t="n">
        <v>1.1</v>
      </c>
      <c r="H90" t="n">
        <v>0</v>
      </c>
      <c r="I90" t="n">
        <v>0</v>
      </c>
      <c r="J90" t="n">
        <v>0</v>
      </c>
      <c r="K90" t="n">
        <v>0</v>
      </c>
      <c r="L90" t="n">
        <v>0</v>
      </c>
      <c r="M90" t="n">
        <v>0</v>
      </c>
      <c r="N90" t="n">
        <v>0</v>
      </c>
      <c r="O90" t="n">
        <v>0</v>
      </c>
      <c r="P90" t="n">
        <v>0</v>
      </c>
      <c r="Q90" t="n">
        <v>0</v>
      </c>
      <c r="R90" s="2" t="inlineStr"/>
    </row>
    <row r="91" ht="15" customHeight="1">
      <c r="A91" t="inlineStr">
        <is>
          <t>A 53365-2019</t>
        </is>
      </c>
      <c r="B91" s="1" t="n">
        <v>43748</v>
      </c>
      <c r="C91" s="1" t="n">
        <v>45566</v>
      </c>
      <c r="D91" t="inlineStr">
        <is>
          <t>NORRBOTTENS LÄN</t>
        </is>
      </c>
      <c r="E91" t="inlineStr">
        <is>
          <t>LULEÅ</t>
        </is>
      </c>
      <c r="G91" t="n">
        <v>9.300000000000001</v>
      </c>
      <c r="H91" t="n">
        <v>0</v>
      </c>
      <c r="I91" t="n">
        <v>0</v>
      </c>
      <c r="J91" t="n">
        <v>0</v>
      </c>
      <c r="K91" t="n">
        <v>0</v>
      </c>
      <c r="L91" t="n">
        <v>0</v>
      </c>
      <c r="M91" t="n">
        <v>0</v>
      </c>
      <c r="N91" t="n">
        <v>0</v>
      </c>
      <c r="O91" t="n">
        <v>0</v>
      </c>
      <c r="P91" t="n">
        <v>0</v>
      </c>
      <c r="Q91" t="n">
        <v>0</v>
      </c>
      <c r="R91" s="2" t="inlineStr"/>
    </row>
    <row r="92" ht="15" customHeight="1">
      <c r="A92" t="inlineStr">
        <is>
          <t>A 54203-2019</t>
        </is>
      </c>
      <c r="B92" s="1" t="n">
        <v>43753</v>
      </c>
      <c r="C92" s="1" t="n">
        <v>45566</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57724-2019</t>
        </is>
      </c>
      <c r="B93" s="1" t="n">
        <v>43761</v>
      </c>
      <c r="C93" s="1" t="n">
        <v>45566</v>
      </c>
      <c r="D93" t="inlineStr">
        <is>
          <t>NORRBOTTENS LÄN</t>
        </is>
      </c>
      <c r="E93" t="inlineStr">
        <is>
          <t>LULEÅ</t>
        </is>
      </c>
      <c r="G93" t="n">
        <v>14.4</v>
      </c>
      <c r="H93" t="n">
        <v>0</v>
      </c>
      <c r="I93" t="n">
        <v>0</v>
      </c>
      <c r="J93" t="n">
        <v>0</v>
      </c>
      <c r="K93" t="n">
        <v>0</v>
      </c>
      <c r="L93" t="n">
        <v>0</v>
      </c>
      <c r="M93" t="n">
        <v>0</v>
      </c>
      <c r="N93" t="n">
        <v>0</v>
      </c>
      <c r="O93" t="n">
        <v>0</v>
      </c>
      <c r="P93" t="n">
        <v>0</v>
      </c>
      <c r="Q93" t="n">
        <v>0</v>
      </c>
      <c r="R93" s="2" t="inlineStr"/>
    </row>
    <row r="94" ht="15" customHeight="1">
      <c r="A94" t="inlineStr">
        <is>
          <t>A 56811-2019</t>
        </is>
      </c>
      <c r="B94" s="1" t="n">
        <v>43763</v>
      </c>
      <c r="C94" s="1" t="n">
        <v>45566</v>
      </c>
      <c r="D94" t="inlineStr">
        <is>
          <t>NORRBOTTENS LÄN</t>
        </is>
      </c>
      <c r="E94" t="inlineStr">
        <is>
          <t>LULEÅ</t>
        </is>
      </c>
      <c r="F94" t="inlineStr">
        <is>
          <t>SCA</t>
        </is>
      </c>
      <c r="G94" t="n">
        <v>6.4</v>
      </c>
      <c r="H94" t="n">
        <v>0</v>
      </c>
      <c r="I94" t="n">
        <v>0</v>
      </c>
      <c r="J94" t="n">
        <v>0</v>
      </c>
      <c r="K94" t="n">
        <v>0</v>
      </c>
      <c r="L94" t="n">
        <v>0</v>
      </c>
      <c r="M94" t="n">
        <v>0</v>
      </c>
      <c r="N94" t="n">
        <v>0</v>
      </c>
      <c r="O94" t="n">
        <v>0</v>
      </c>
      <c r="P94" t="n">
        <v>0</v>
      </c>
      <c r="Q94" t="n">
        <v>0</v>
      </c>
      <c r="R94" s="2" t="inlineStr"/>
    </row>
    <row r="95" ht="15" customHeight="1">
      <c r="A95" t="inlineStr">
        <is>
          <t>A 56805-2019</t>
        </is>
      </c>
      <c r="B95" s="1" t="n">
        <v>43763</v>
      </c>
      <c r="C95" s="1" t="n">
        <v>45566</v>
      </c>
      <c r="D95" t="inlineStr">
        <is>
          <t>NORRBOTTENS LÄN</t>
        </is>
      </c>
      <c r="E95" t="inlineStr">
        <is>
          <t>LULEÅ</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56814-2019</t>
        </is>
      </c>
      <c r="B96" s="1" t="n">
        <v>43763</v>
      </c>
      <c r="C96" s="1" t="n">
        <v>45566</v>
      </c>
      <c r="D96" t="inlineStr">
        <is>
          <t>NORRBOTTENS LÄN</t>
        </is>
      </c>
      <c r="E96" t="inlineStr">
        <is>
          <t>LULEÅ</t>
        </is>
      </c>
      <c r="F96" t="inlineStr">
        <is>
          <t>SCA</t>
        </is>
      </c>
      <c r="G96" t="n">
        <v>17.4</v>
      </c>
      <c r="H96" t="n">
        <v>0</v>
      </c>
      <c r="I96" t="n">
        <v>0</v>
      </c>
      <c r="J96" t="n">
        <v>0</v>
      </c>
      <c r="K96" t="n">
        <v>0</v>
      </c>
      <c r="L96" t="n">
        <v>0</v>
      </c>
      <c r="M96" t="n">
        <v>0</v>
      </c>
      <c r="N96" t="n">
        <v>0</v>
      </c>
      <c r="O96" t="n">
        <v>0</v>
      </c>
      <c r="P96" t="n">
        <v>0</v>
      </c>
      <c r="Q96" t="n">
        <v>0</v>
      </c>
      <c r="R96" s="2" t="inlineStr"/>
    </row>
    <row r="97" ht="15" customHeight="1">
      <c r="A97" t="inlineStr">
        <is>
          <t>A 56815-2019</t>
        </is>
      </c>
      <c r="B97" s="1" t="n">
        <v>43763</v>
      </c>
      <c r="C97" s="1" t="n">
        <v>45566</v>
      </c>
      <c r="D97" t="inlineStr">
        <is>
          <t>NORRBOTTENS LÄN</t>
        </is>
      </c>
      <c r="E97" t="inlineStr">
        <is>
          <t>LULEÅ</t>
        </is>
      </c>
      <c r="F97" t="inlineStr">
        <is>
          <t>SCA</t>
        </is>
      </c>
      <c r="G97" t="n">
        <v>5.2</v>
      </c>
      <c r="H97" t="n">
        <v>0</v>
      </c>
      <c r="I97" t="n">
        <v>0</v>
      </c>
      <c r="J97" t="n">
        <v>0</v>
      </c>
      <c r="K97" t="n">
        <v>0</v>
      </c>
      <c r="L97" t="n">
        <v>0</v>
      </c>
      <c r="M97" t="n">
        <v>0</v>
      </c>
      <c r="N97" t="n">
        <v>0</v>
      </c>
      <c r="O97" t="n">
        <v>0</v>
      </c>
      <c r="P97" t="n">
        <v>0</v>
      </c>
      <c r="Q97" t="n">
        <v>0</v>
      </c>
      <c r="R97" s="2" t="inlineStr"/>
    </row>
    <row r="98" ht="15" customHeight="1">
      <c r="A98" t="inlineStr">
        <is>
          <t>A 56812-2019</t>
        </is>
      </c>
      <c r="B98" s="1" t="n">
        <v>43763</v>
      </c>
      <c r="C98" s="1" t="n">
        <v>45566</v>
      </c>
      <c r="D98" t="inlineStr">
        <is>
          <t>NORRBOTTENS LÄN</t>
        </is>
      </c>
      <c r="E98" t="inlineStr">
        <is>
          <t>LULEÅ</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56816-2019</t>
        </is>
      </c>
      <c r="B99" s="1" t="n">
        <v>43763</v>
      </c>
      <c r="C99" s="1" t="n">
        <v>45566</v>
      </c>
      <c r="D99" t="inlineStr">
        <is>
          <t>NORRBOTTENS LÄN</t>
        </is>
      </c>
      <c r="E99" t="inlineStr">
        <is>
          <t>LULEÅ</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56813-2019</t>
        </is>
      </c>
      <c r="B100" s="1" t="n">
        <v>43763</v>
      </c>
      <c r="C100" s="1" t="n">
        <v>45566</v>
      </c>
      <c r="D100" t="inlineStr">
        <is>
          <t>NORRBOTTENS LÄN</t>
        </is>
      </c>
      <c r="E100" t="inlineStr">
        <is>
          <t>LULEÅ</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56849-2019</t>
        </is>
      </c>
      <c r="B101" s="1" t="n">
        <v>43765</v>
      </c>
      <c r="C101" s="1" t="n">
        <v>45566</v>
      </c>
      <c r="D101" t="inlineStr">
        <is>
          <t>NORRBOTTENS LÄN</t>
        </is>
      </c>
      <c r="E101" t="inlineStr">
        <is>
          <t>LULEÅ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58934-2019</t>
        </is>
      </c>
      <c r="B102" s="1" t="n">
        <v>43769</v>
      </c>
      <c r="C102" s="1" t="n">
        <v>45566</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60133-2019</t>
        </is>
      </c>
      <c r="B103" s="1" t="n">
        <v>43778</v>
      </c>
      <c r="C103" s="1" t="n">
        <v>45566</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60501-2019</t>
        </is>
      </c>
      <c r="B104" s="1" t="n">
        <v>43780</v>
      </c>
      <c r="C104" s="1" t="n">
        <v>45566</v>
      </c>
      <c r="D104" t="inlineStr">
        <is>
          <t>NORRBOTTENS LÄN</t>
        </is>
      </c>
      <c r="E104" t="inlineStr">
        <is>
          <t>LULEÅ</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60760-2019</t>
        </is>
      </c>
      <c r="B105" s="1" t="n">
        <v>43781</v>
      </c>
      <c r="C105" s="1" t="n">
        <v>45566</v>
      </c>
      <c r="D105" t="inlineStr">
        <is>
          <t>NORRBOTTENS LÄN</t>
        </is>
      </c>
      <c r="E105" t="inlineStr">
        <is>
          <t>LULEÅ</t>
        </is>
      </c>
      <c r="F105" t="inlineStr">
        <is>
          <t>Kommuner</t>
        </is>
      </c>
      <c r="G105" t="n">
        <v>6.4</v>
      </c>
      <c r="H105" t="n">
        <v>0</v>
      </c>
      <c r="I105" t="n">
        <v>0</v>
      </c>
      <c r="J105" t="n">
        <v>0</v>
      </c>
      <c r="K105" t="n">
        <v>0</v>
      </c>
      <c r="L105" t="n">
        <v>0</v>
      </c>
      <c r="M105" t="n">
        <v>0</v>
      </c>
      <c r="N105" t="n">
        <v>0</v>
      </c>
      <c r="O105" t="n">
        <v>0</v>
      </c>
      <c r="P105" t="n">
        <v>0</v>
      </c>
      <c r="Q105" t="n">
        <v>0</v>
      </c>
      <c r="R105" s="2" t="inlineStr"/>
    </row>
    <row r="106" ht="15" customHeight="1">
      <c r="A106" t="inlineStr">
        <is>
          <t>A 60895-2019</t>
        </is>
      </c>
      <c r="B106" s="1" t="n">
        <v>43781</v>
      </c>
      <c r="C106" s="1" t="n">
        <v>45566</v>
      </c>
      <c r="D106" t="inlineStr">
        <is>
          <t>NORRBOTTENS LÄN</t>
        </is>
      </c>
      <c r="E106" t="inlineStr">
        <is>
          <t>LULEÅ</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62169-2019</t>
        </is>
      </c>
      <c r="B107" s="1" t="n">
        <v>43787</v>
      </c>
      <c r="C107" s="1" t="n">
        <v>45566</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63635-2019</t>
        </is>
      </c>
      <c r="B108" s="1" t="n">
        <v>43788</v>
      </c>
      <c r="C108" s="1" t="n">
        <v>45566</v>
      </c>
      <c r="D108" t="inlineStr">
        <is>
          <t>NORRBOTTENS LÄN</t>
        </is>
      </c>
      <c r="E108" t="inlineStr">
        <is>
          <t>LULEÅ</t>
        </is>
      </c>
      <c r="G108" t="n">
        <v>1.2</v>
      </c>
      <c r="H108" t="n">
        <v>0</v>
      </c>
      <c r="I108" t="n">
        <v>0</v>
      </c>
      <c r="J108" t="n">
        <v>0</v>
      </c>
      <c r="K108" t="n">
        <v>0</v>
      </c>
      <c r="L108" t="n">
        <v>0</v>
      </c>
      <c r="M108" t="n">
        <v>0</v>
      </c>
      <c r="N108" t="n">
        <v>0</v>
      </c>
      <c r="O108" t="n">
        <v>0</v>
      </c>
      <c r="P108" t="n">
        <v>0</v>
      </c>
      <c r="Q108" t="n">
        <v>0</v>
      </c>
      <c r="R108" s="2" t="inlineStr"/>
    </row>
    <row r="109" ht="15" customHeight="1">
      <c r="A109" t="inlineStr">
        <is>
          <t>A 62725-2019</t>
        </is>
      </c>
      <c r="B109" s="1" t="n">
        <v>43789</v>
      </c>
      <c r="C109" s="1" t="n">
        <v>45566</v>
      </c>
      <c r="D109" t="inlineStr">
        <is>
          <t>NORRBOTTENS LÄN</t>
        </is>
      </c>
      <c r="E109" t="inlineStr">
        <is>
          <t>LULEÅ</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62724-2019</t>
        </is>
      </c>
      <c r="B110" s="1" t="n">
        <v>43789</v>
      </c>
      <c r="C110" s="1" t="n">
        <v>45566</v>
      </c>
      <c r="D110" t="inlineStr">
        <is>
          <t>NORRBOTTENS LÄN</t>
        </is>
      </c>
      <c r="E110" t="inlineStr">
        <is>
          <t>LULEÅ</t>
        </is>
      </c>
      <c r="F110" t="inlineStr">
        <is>
          <t>SCA</t>
        </is>
      </c>
      <c r="G110" t="n">
        <v>0.3</v>
      </c>
      <c r="H110" t="n">
        <v>0</v>
      </c>
      <c r="I110" t="n">
        <v>0</v>
      </c>
      <c r="J110" t="n">
        <v>0</v>
      </c>
      <c r="K110" t="n">
        <v>0</v>
      </c>
      <c r="L110" t="n">
        <v>0</v>
      </c>
      <c r="M110" t="n">
        <v>0</v>
      </c>
      <c r="N110" t="n">
        <v>0</v>
      </c>
      <c r="O110" t="n">
        <v>0</v>
      </c>
      <c r="P110" t="n">
        <v>0</v>
      </c>
      <c r="Q110" t="n">
        <v>0</v>
      </c>
      <c r="R110" s="2" t="inlineStr"/>
    </row>
    <row r="111" ht="15" customHeight="1">
      <c r="A111" t="inlineStr">
        <is>
          <t>A 62723-2019</t>
        </is>
      </c>
      <c r="B111" s="1" t="n">
        <v>43789</v>
      </c>
      <c r="C111" s="1" t="n">
        <v>45566</v>
      </c>
      <c r="D111" t="inlineStr">
        <is>
          <t>NORRBOTTENS LÄN</t>
        </is>
      </c>
      <c r="E111" t="inlineStr">
        <is>
          <t>LULEÅ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63282-2019</t>
        </is>
      </c>
      <c r="B112" s="1" t="n">
        <v>43791</v>
      </c>
      <c r="C112" s="1" t="n">
        <v>45566</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64163-2019</t>
        </is>
      </c>
      <c r="B113" s="1" t="n">
        <v>43791</v>
      </c>
      <c r="C113" s="1" t="n">
        <v>45566</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64524-2019</t>
        </is>
      </c>
      <c r="B114" s="1" t="n">
        <v>43794</v>
      </c>
      <c r="C114" s="1" t="n">
        <v>45566</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64320-2019</t>
        </is>
      </c>
      <c r="B115" s="1" t="n">
        <v>43797</v>
      </c>
      <c r="C115" s="1" t="n">
        <v>45566</v>
      </c>
      <c r="D115" t="inlineStr">
        <is>
          <t>NORRBOTTENS LÄN</t>
        </is>
      </c>
      <c r="E115" t="inlineStr">
        <is>
          <t>LULEÅ</t>
        </is>
      </c>
      <c r="F115" t="inlineStr">
        <is>
          <t>Övriga Aktiebolag</t>
        </is>
      </c>
      <c r="G115" t="n">
        <v>9.9</v>
      </c>
      <c r="H115" t="n">
        <v>0</v>
      </c>
      <c r="I115" t="n">
        <v>0</v>
      </c>
      <c r="J115" t="n">
        <v>0</v>
      </c>
      <c r="K115" t="n">
        <v>0</v>
      </c>
      <c r="L115" t="n">
        <v>0</v>
      </c>
      <c r="M115" t="n">
        <v>0</v>
      </c>
      <c r="N115" t="n">
        <v>0</v>
      </c>
      <c r="O115" t="n">
        <v>0</v>
      </c>
      <c r="P115" t="n">
        <v>0</v>
      </c>
      <c r="Q115" t="n">
        <v>0</v>
      </c>
      <c r="R115" s="2" t="inlineStr"/>
    </row>
    <row r="116" ht="15" customHeight="1">
      <c r="A116" t="inlineStr">
        <is>
          <t>A 64577-2019</t>
        </is>
      </c>
      <c r="B116" s="1" t="n">
        <v>43798</v>
      </c>
      <c r="C116" s="1" t="n">
        <v>45566</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65811-2019</t>
        </is>
      </c>
      <c r="B117" s="1" t="n">
        <v>43805</v>
      </c>
      <c r="C117" s="1" t="n">
        <v>45566</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68207-2019</t>
        </is>
      </c>
      <c r="B118" s="1" t="n">
        <v>43817</v>
      </c>
      <c r="C118" s="1" t="n">
        <v>45566</v>
      </c>
      <c r="D118" t="inlineStr">
        <is>
          <t>NORRBOTTENS LÄN</t>
        </is>
      </c>
      <c r="E118" t="inlineStr">
        <is>
          <t>LULEÅ</t>
        </is>
      </c>
      <c r="F118" t="inlineStr">
        <is>
          <t>Övriga Aktiebolag</t>
        </is>
      </c>
      <c r="G118" t="n">
        <v>6.8</v>
      </c>
      <c r="H118" t="n">
        <v>0</v>
      </c>
      <c r="I118" t="n">
        <v>0</v>
      </c>
      <c r="J118" t="n">
        <v>0</v>
      </c>
      <c r="K118" t="n">
        <v>0</v>
      </c>
      <c r="L118" t="n">
        <v>0</v>
      </c>
      <c r="M118" t="n">
        <v>0</v>
      </c>
      <c r="N118" t="n">
        <v>0</v>
      </c>
      <c r="O118" t="n">
        <v>0</v>
      </c>
      <c r="P118" t="n">
        <v>0</v>
      </c>
      <c r="Q118" t="n">
        <v>0</v>
      </c>
      <c r="R118" s="2" t="inlineStr"/>
    </row>
    <row r="119" ht="15" customHeight="1">
      <c r="A119" t="inlineStr">
        <is>
          <t>A 68209-2019</t>
        </is>
      </c>
      <c r="B119" s="1" t="n">
        <v>43817</v>
      </c>
      <c r="C119" s="1" t="n">
        <v>45566</v>
      </c>
      <c r="D119" t="inlineStr">
        <is>
          <t>NORRBOTTENS LÄN</t>
        </is>
      </c>
      <c r="E119" t="inlineStr">
        <is>
          <t>LULEÅ</t>
        </is>
      </c>
      <c r="F119" t="inlineStr">
        <is>
          <t>Övriga Aktiebolag</t>
        </is>
      </c>
      <c r="G119" t="n">
        <v>10.1</v>
      </c>
      <c r="H119" t="n">
        <v>0</v>
      </c>
      <c r="I119" t="n">
        <v>0</v>
      </c>
      <c r="J119" t="n">
        <v>0</v>
      </c>
      <c r="K119" t="n">
        <v>0</v>
      </c>
      <c r="L119" t="n">
        <v>0</v>
      </c>
      <c r="M119" t="n">
        <v>0</v>
      </c>
      <c r="N119" t="n">
        <v>0</v>
      </c>
      <c r="O119" t="n">
        <v>0</v>
      </c>
      <c r="P119" t="n">
        <v>0</v>
      </c>
      <c r="Q119" t="n">
        <v>0</v>
      </c>
      <c r="R119" s="2" t="inlineStr"/>
    </row>
    <row r="120" ht="15" customHeight="1">
      <c r="A120" t="inlineStr">
        <is>
          <t>A 68660-2019</t>
        </is>
      </c>
      <c r="B120" s="1" t="n">
        <v>43819</v>
      </c>
      <c r="C120" s="1" t="n">
        <v>45566</v>
      </c>
      <c r="D120" t="inlineStr">
        <is>
          <t>NORRBOTTENS LÄN</t>
        </is>
      </c>
      <c r="E120" t="inlineStr">
        <is>
          <t>LULEÅ</t>
        </is>
      </c>
      <c r="G120" t="n">
        <v>1.2</v>
      </c>
      <c r="H120" t="n">
        <v>0</v>
      </c>
      <c r="I120" t="n">
        <v>0</v>
      </c>
      <c r="J120" t="n">
        <v>0</v>
      </c>
      <c r="K120" t="n">
        <v>0</v>
      </c>
      <c r="L120" t="n">
        <v>0</v>
      </c>
      <c r="M120" t="n">
        <v>0</v>
      </c>
      <c r="N120" t="n">
        <v>0</v>
      </c>
      <c r="O120" t="n">
        <v>0</v>
      </c>
      <c r="P120" t="n">
        <v>0</v>
      </c>
      <c r="Q120" t="n">
        <v>0</v>
      </c>
      <c r="R120" s="2" t="inlineStr"/>
    </row>
    <row r="121" ht="15" customHeight="1">
      <c r="A121" t="inlineStr">
        <is>
          <t>A 1518-2020</t>
        </is>
      </c>
      <c r="B121" s="1" t="n">
        <v>43826</v>
      </c>
      <c r="C121" s="1" t="n">
        <v>45566</v>
      </c>
      <c r="D121" t="inlineStr">
        <is>
          <t>NORRBOTTENS LÄN</t>
        </is>
      </c>
      <c r="E121" t="inlineStr">
        <is>
          <t>LULEÅ</t>
        </is>
      </c>
      <c r="G121" t="n">
        <v>7.3</v>
      </c>
      <c r="H121" t="n">
        <v>0</v>
      </c>
      <c r="I121" t="n">
        <v>0</v>
      </c>
      <c r="J121" t="n">
        <v>0</v>
      </c>
      <c r="K121" t="n">
        <v>0</v>
      </c>
      <c r="L121" t="n">
        <v>0</v>
      </c>
      <c r="M121" t="n">
        <v>0</v>
      </c>
      <c r="N121" t="n">
        <v>0</v>
      </c>
      <c r="O121" t="n">
        <v>0</v>
      </c>
      <c r="P121" t="n">
        <v>0</v>
      </c>
      <c r="Q121" t="n">
        <v>0</v>
      </c>
      <c r="R121" s="2" t="inlineStr"/>
    </row>
    <row r="122" ht="15" customHeight="1">
      <c r="A122" t="inlineStr">
        <is>
          <t>A 1772-2020</t>
        </is>
      </c>
      <c r="B122" s="1" t="n">
        <v>43832</v>
      </c>
      <c r="C122" s="1" t="n">
        <v>45566</v>
      </c>
      <c r="D122" t="inlineStr">
        <is>
          <t>NORRBOTTENS LÄN</t>
        </is>
      </c>
      <c r="E122" t="inlineStr">
        <is>
          <t>LULEÅ</t>
        </is>
      </c>
      <c r="G122" t="n">
        <v>16.4</v>
      </c>
      <c r="H122" t="n">
        <v>0</v>
      </c>
      <c r="I122" t="n">
        <v>0</v>
      </c>
      <c r="J122" t="n">
        <v>0</v>
      </c>
      <c r="K122" t="n">
        <v>0</v>
      </c>
      <c r="L122" t="n">
        <v>0</v>
      </c>
      <c r="M122" t="n">
        <v>0</v>
      </c>
      <c r="N122" t="n">
        <v>0</v>
      </c>
      <c r="O122" t="n">
        <v>0</v>
      </c>
      <c r="P122" t="n">
        <v>0</v>
      </c>
      <c r="Q122" t="n">
        <v>0</v>
      </c>
      <c r="R122" s="2" t="inlineStr"/>
    </row>
    <row r="123" ht="15" customHeight="1">
      <c r="A123" t="inlineStr">
        <is>
          <t>A 1759-2020</t>
        </is>
      </c>
      <c r="B123" s="1" t="n">
        <v>43833</v>
      </c>
      <c r="C123" s="1" t="n">
        <v>45566</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1769-2020</t>
        </is>
      </c>
      <c r="B124" s="1" t="n">
        <v>43833</v>
      </c>
      <c r="C124" s="1" t="n">
        <v>45566</v>
      </c>
      <c r="D124" t="inlineStr">
        <is>
          <t>NORRBOTTENS LÄN</t>
        </is>
      </c>
      <c r="E124" t="inlineStr">
        <is>
          <t>LULEÅ</t>
        </is>
      </c>
      <c r="G124" t="n">
        <v>5.5</v>
      </c>
      <c r="H124" t="n">
        <v>0</v>
      </c>
      <c r="I124" t="n">
        <v>0</v>
      </c>
      <c r="J124" t="n">
        <v>0</v>
      </c>
      <c r="K124" t="n">
        <v>0</v>
      </c>
      <c r="L124" t="n">
        <v>0</v>
      </c>
      <c r="M124" t="n">
        <v>0</v>
      </c>
      <c r="N124" t="n">
        <v>0</v>
      </c>
      <c r="O124" t="n">
        <v>0</v>
      </c>
      <c r="P124" t="n">
        <v>0</v>
      </c>
      <c r="Q124" t="n">
        <v>0</v>
      </c>
      <c r="R124" s="2" t="inlineStr"/>
    </row>
    <row r="125" ht="15" customHeight="1">
      <c r="A125" t="inlineStr">
        <is>
          <t>A 725-2020</t>
        </is>
      </c>
      <c r="B125" s="1" t="n">
        <v>43838</v>
      </c>
      <c r="C125" s="1" t="n">
        <v>45566</v>
      </c>
      <c r="D125" t="inlineStr">
        <is>
          <t>NORRBOTTENS LÄN</t>
        </is>
      </c>
      <c r="E125" t="inlineStr">
        <is>
          <t>LULEÅ</t>
        </is>
      </c>
      <c r="G125" t="n">
        <v>7.9</v>
      </c>
      <c r="H125" t="n">
        <v>0</v>
      </c>
      <c r="I125" t="n">
        <v>0</v>
      </c>
      <c r="J125" t="n">
        <v>0</v>
      </c>
      <c r="K125" t="n">
        <v>0</v>
      </c>
      <c r="L125" t="n">
        <v>0</v>
      </c>
      <c r="M125" t="n">
        <v>0</v>
      </c>
      <c r="N125" t="n">
        <v>0</v>
      </c>
      <c r="O125" t="n">
        <v>0</v>
      </c>
      <c r="P125" t="n">
        <v>0</v>
      </c>
      <c r="Q125" t="n">
        <v>0</v>
      </c>
      <c r="R125" s="2" t="inlineStr"/>
    </row>
    <row r="126" ht="15" customHeight="1">
      <c r="A126" t="inlineStr">
        <is>
          <t>A 1932-2020</t>
        </is>
      </c>
      <c r="B126" s="1" t="n">
        <v>43838</v>
      </c>
      <c r="C126" s="1" t="n">
        <v>45566</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796-2020</t>
        </is>
      </c>
      <c r="B127" s="1" t="n">
        <v>43838</v>
      </c>
      <c r="C127" s="1" t="n">
        <v>45566</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1266-2020</t>
        </is>
      </c>
      <c r="B128" s="1" t="n">
        <v>43840</v>
      </c>
      <c r="C128" s="1" t="n">
        <v>45566</v>
      </c>
      <c r="D128" t="inlineStr">
        <is>
          <t>NORRBOTTENS LÄN</t>
        </is>
      </c>
      <c r="E128" t="inlineStr">
        <is>
          <t>LULEÅ</t>
        </is>
      </c>
      <c r="G128" t="n">
        <v>14.8</v>
      </c>
      <c r="H128" t="n">
        <v>0</v>
      </c>
      <c r="I128" t="n">
        <v>0</v>
      </c>
      <c r="J128" t="n">
        <v>0</v>
      </c>
      <c r="K128" t="n">
        <v>0</v>
      </c>
      <c r="L128" t="n">
        <v>0</v>
      </c>
      <c r="M128" t="n">
        <v>0</v>
      </c>
      <c r="N128" t="n">
        <v>0</v>
      </c>
      <c r="O128" t="n">
        <v>0</v>
      </c>
      <c r="P128" t="n">
        <v>0</v>
      </c>
      <c r="Q128" t="n">
        <v>0</v>
      </c>
      <c r="R128" s="2" t="inlineStr"/>
    </row>
    <row r="129" ht="15" customHeight="1">
      <c r="A129" t="inlineStr">
        <is>
          <t>A 2578-2020</t>
        </is>
      </c>
      <c r="B129" s="1" t="n">
        <v>43843</v>
      </c>
      <c r="C129" s="1" t="n">
        <v>45566</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1435-2020</t>
        </is>
      </c>
      <c r="B130" s="1" t="n">
        <v>43843</v>
      </c>
      <c r="C130" s="1" t="n">
        <v>45566</v>
      </c>
      <c r="D130" t="inlineStr">
        <is>
          <t>NORRBOTTENS LÄN</t>
        </is>
      </c>
      <c r="E130" t="inlineStr">
        <is>
          <t>LULEÅ</t>
        </is>
      </c>
      <c r="G130" t="n">
        <v>12.5</v>
      </c>
      <c r="H130" t="n">
        <v>0</v>
      </c>
      <c r="I130" t="n">
        <v>0</v>
      </c>
      <c r="J130" t="n">
        <v>0</v>
      </c>
      <c r="K130" t="n">
        <v>0</v>
      </c>
      <c r="L130" t="n">
        <v>0</v>
      </c>
      <c r="M130" t="n">
        <v>0</v>
      </c>
      <c r="N130" t="n">
        <v>0</v>
      </c>
      <c r="O130" t="n">
        <v>0</v>
      </c>
      <c r="P130" t="n">
        <v>0</v>
      </c>
      <c r="Q130" t="n">
        <v>0</v>
      </c>
      <c r="R130" s="2" t="inlineStr"/>
    </row>
    <row r="131" ht="15" customHeight="1">
      <c r="A131" t="inlineStr">
        <is>
          <t>A 2378-2020</t>
        </is>
      </c>
      <c r="B131" s="1" t="n">
        <v>43846</v>
      </c>
      <c r="C131" s="1" t="n">
        <v>45566</v>
      </c>
      <c r="D131" t="inlineStr">
        <is>
          <t>NORRBOTTENS LÄN</t>
        </is>
      </c>
      <c r="E131" t="inlineStr">
        <is>
          <t>LULEÅ</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2558-2020</t>
        </is>
      </c>
      <c r="B132" s="1" t="n">
        <v>43847</v>
      </c>
      <c r="C132" s="1" t="n">
        <v>45566</v>
      </c>
      <c r="D132" t="inlineStr">
        <is>
          <t>NORRBOTTENS LÄN</t>
        </is>
      </c>
      <c r="E132" t="inlineStr">
        <is>
          <t>LULEÅ</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3303-2020</t>
        </is>
      </c>
      <c r="B133" s="1" t="n">
        <v>43852</v>
      </c>
      <c r="C133" s="1" t="n">
        <v>45566</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3707-2020</t>
        </is>
      </c>
      <c r="B134" s="1" t="n">
        <v>43853</v>
      </c>
      <c r="C134" s="1" t="n">
        <v>45566</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5322-2020</t>
        </is>
      </c>
      <c r="B135" s="1" t="n">
        <v>43860</v>
      </c>
      <c r="C135" s="1" t="n">
        <v>45566</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5419-2020</t>
        </is>
      </c>
      <c r="B136" s="1" t="n">
        <v>43860</v>
      </c>
      <c r="C136" s="1" t="n">
        <v>45566</v>
      </c>
      <c r="D136" t="inlineStr">
        <is>
          <t>NORRBOTTENS LÄN</t>
        </is>
      </c>
      <c r="E136" t="inlineStr">
        <is>
          <t>LULEÅ</t>
        </is>
      </c>
      <c r="G136" t="n">
        <v>8</v>
      </c>
      <c r="H136" t="n">
        <v>0</v>
      </c>
      <c r="I136" t="n">
        <v>0</v>
      </c>
      <c r="J136" t="n">
        <v>0</v>
      </c>
      <c r="K136" t="n">
        <v>0</v>
      </c>
      <c r="L136" t="n">
        <v>0</v>
      </c>
      <c r="M136" t="n">
        <v>0</v>
      </c>
      <c r="N136" t="n">
        <v>0</v>
      </c>
      <c r="O136" t="n">
        <v>0</v>
      </c>
      <c r="P136" t="n">
        <v>0</v>
      </c>
      <c r="Q136" t="n">
        <v>0</v>
      </c>
      <c r="R136" s="2" t="inlineStr"/>
    </row>
    <row r="137" ht="15" customHeight="1">
      <c r="A137" t="inlineStr">
        <is>
          <t>A 6644-2020</t>
        </is>
      </c>
      <c r="B137" s="1" t="n">
        <v>43867</v>
      </c>
      <c r="C137" s="1" t="n">
        <v>45566</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6641-2020</t>
        </is>
      </c>
      <c r="B138" s="1" t="n">
        <v>43867</v>
      </c>
      <c r="C138" s="1" t="n">
        <v>45566</v>
      </c>
      <c r="D138" t="inlineStr">
        <is>
          <t>NORRBOTTENS LÄN</t>
        </is>
      </c>
      <c r="E138" t="inlineStr">
        <is>
          <t>LULEÅ</t>
        </is>
      </c>
      <c r="G138" t="n">
        <v>13.5</v>
      </c>
      <c r="H138" t="n">
        <v>0</v>
      </c>
      <c r="I138" t="n">
        <v>0</v>
      </c>
      <c r="J138" t="n">
        <v>0</v>
      </c>
      <c r="K138" t="n">
        <v>0</v>
      </c>
      <c r="L138" t="n">
        <v>0</v>
      </c>
      <c r="M138" t="n">
        <v>0</v>
      </c>
      <c r="N138" t="n">
        <v>0</v>
      </c>
      <c r="O138" t="n">
        <v>0</v>
      </c>
      <c r="P138" t="n">
        <v>0</v>
      </c>
      <c r="Q138" t="n">
        <v>0</v>
      </c>
      <c r="R138" s="2" t="inlineStr"/>
    </row>
    <row r="139" ht="15" customHeight="1">
      <c r="A139" t="inlineStr">
        <is>
          <t>A 6878-2020</t>
        </is>
      </c>
      <c r="B139" s="1" t="n">
        <v>43867</v>
      </c>
      <c r="C139" s="1" t="n">
        <v>45566</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7299-2020</t>
        </is>
      </c>
      <c r="B140" s="1" t="n">
        <v>43868</v>
      </c>
      <c r="C140" s="1" t="n">
        <v>45566</v>
      </c>
      <c r="D140" t="inlineStr">
        <is>
          <t>NORRBOTTENS LÄN</t>
        </is>
      </c>
      <c r="E140" t="inlineStr">
        <is>
          <t>LULEÅ</t>
        </is>
      </c>
      <c r="G140" t="n">
        <v>6.2</v>
      </c>
      <c r="H140" t="n">
        <v>0</v>
      </c>
      <c r="I140" t="n">
        <v>0</v>
      </c>
      <c r="J140" t="n">
        <v>0</v>
      </c>
      <c r="K140" t="n">
        <v>0</v>
      </c>
      <c r="L140" t="n">
        <v>0</v>
      </c>
      <c r="M140" t="n">
        <v>0</v>
      </c>
      <c r="N140" t="n">
        <v>0</v>
      </c>
      <c r="O140" t="n">
        <v>0</v>
      </c>
      <c r="P140" t="n">
        <v>0</v>
      </c>
      <c r="Q140" t="n">
        <v>0</v>
      </c>
      <c r="R140" s="2" t="inlineStr"/>
    </row>
    <row r="141" ht="15" customHeight="1">
      <c r="A141" t="inlineStr">
        <is>
          <t>A 7137-2020</t>
        </is>
      </c>
      <c r="B141" s="1" t="n">
        <v>43869</v>
      </c>
      <c r="C141" s="1" t="n">
        <v>45566</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7559-2020</t>
        </is>
      </c>
      <c r="B142" s="1" t="n">
        <v>43871</v>
      </c>
      <c r="C142" s="1" t="n">
        <v>45566</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8617-2020</t>
        </is>
      </c>
      <c r="B143" s="1" t="n">
        <v>43875</v>
      </c>
      <c r="C143" s="1" t="n">
        <v>45566</v>
      </c>
      <c r="D143" t="inlineStr">
        <is>
          <t>NORRBOTTENS LÄN</t>
        </is>
      </c>
      <c r="E143" t="inlineStr">
        <is>
          <t>LULEÅ</t>
        </is>
      </c>
      <c r="G143" t="n">
        <v>21.8</v>
      </c>
      <c r="H143" t="n">
        <v>0</v>
      </c>
      <c r="I143" t="n">
        <v>0</v>
      </c>
      <c r="J143" t="n">
        <v>0</v>
      </c>
      <c r="K143" t="n">
        <v>0</v>
      </c>
      <c r="L143" t="n">
        <v>0</v>
      </c>
      <c r="M143" t="n">
        <v>0</v>
      </c>
      <c r="N143" t="n">
        <v>0</v>
      </c>
      <c r="O143" t="n">
        <v>0</v>
      </c>
      <c r="P143" t="n">
        <v>0</v>
      </c>
      <c r="Q143" t="n">
        <v>0</v>
      </c>
      <c r="R143" s="2" t="inlineStr"/>
    </row>
    <row r="144" ht="15" customHeight="1">
      <c r="A144" t="inlineStr">
        <is>
          <t>A 10644-2020</t>
        </is>
      </c>
      <c r="B144" s="1" t="n">
        <v>43887</v>
      </c>
      <c r="C144" s="1" t="n">
        <v>45566</v>
      </c>
      <c r="D144" t="inlineStr">
        <is>
          <t>NORRBOTTENS LÄN</t>
        </is>
      </c>
      <c r="E144" t="inlineStr">
        <is>
          <t>LULEÅ</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12326-2020</t>
        </is>
      </c>
      <c r="B145" s="1" t="n">
        <v>43895</v>
      </c>
      <c r="C145" s="1" t="n">
        <v>45566</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12325-2020</t>
        </is>
      </c>
      <c r="B146" s="1" t="n">
        <v>43895</v>
      </c>
      <c r="C146" s="1" t="n">
        <v>45566</v>
      </c>
      <c r="D146" t="inlineStr">
        <is>
          <t>NORRBOTTENS LÄN</t>
        </is>
      </c>
      <c r="E146" t="inlineStr">
        <is>
          <t>LULEÅ</t>
        </is>
      </c>
      <c r="F146" t="inlineStr">
        <is>
          <t>SCA</t>
        </is>
      </c>
      <c r="G146" t="n">
        <v>1.7</v>
      </c>
      <c r="H146" t="n">
        <v>0</v>
      </c>
      <c r="I146" t="n">
        <v>0</v>
      </c>
      <c r="J146" t="n">
        <v>0</v>
      </c>
      <c r="K146" t="n">
        <v>0</v>
      </c>
      <c r="L146" t="n">
        <v>0</v>
      </c>
      <c r="M146" t="n">
        <v>0</v>
      </c>
      <c r="N146" t="n">
        <v>0</v>
      </c>
      <c r="O146" t="n">
        <v>0</v>
      </c>
      <c r="P146" t="n">
        <v>0</v>
      </c>
      <c r="Q146" t="n">
        <v>0</v>
      </c>
      <c r="R146" s="2" t="inlineStr"/>
    </row>
    <row r="147" ht="15" customHeight="1">
      <c r="A147" t="inlineStr">
        <is>
          <t>A 16721-2020</t>
        </is>
      </c>
      <c r="B147" s="1" t="n">
        <v>43908</v>
      </c>
      <c r="C147" s="1" t="n">
        <v>45566</v>
      </c>
      <c r="D147" t="inlineStr">
        <is>
          <t>NORRBOTTENS LÄN</t>
        </is>
      </c>
      <c r="E147" t="inlineStr">
        <is>
          <t>LULEÅ</t>
        </is>
      </c>
      <c r="G147" t="n">
        <v>50</v>
      </c>
      <c r="H147" t="n">
        <v>0</v>
      </c>
      <c r="I147" t="n">
        <v>0</v>
      </c>
      <c r="J147" t="n">
        <v>0</v>
      </c>
      <c r="K147" t="n">
        <v>0</v>
      </c>
      <c r="L147" t="n">
        <v>0</v>
      </c>
      <c r="M147" t="n">
        <v>0</v>
      </c>
      <c r="N147" t="n">
        <v>0</v>
      </c>
      <c r="O147" t="n">
        <v>0</v>
      </c>
      <c r="P147" t="n">
        <v>0</v>
      </c>
      <c r="Q147" t="n">
        <v>0</v>
      </c>
      <c r="R147" s="2" t="inlineStr"/>
    </row>
    <row r="148" ht="15" customHeight="1">
      <c r="A148" t="inlineStr">
        <is>
          <t>A 15304-2020</t>
        </is>
      </c>
      <c r="B148" s="1" t="n">
        <v>43913</v>
      </c>
      <c r="C148" s="1" t="n">
        <v>45566</v>
      </c>
      <c r="D148" t="inlineStr">
        <is>
          <t>NORRBOTTENS LÄN</t>
        </is>
      </c>
      <c r="E148" t="inlineStr">
        <is>
          <t>LULEÅ</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16779-2020</t>
        </is>
      </c>
      <c r="B149" s="1" t="n">
        <v>43920</v>
      </c>
      <c r="C149" s="1" t="n">
        <v>45566</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17308-2020</t>
        </is>
      </c>
      <c r="B150" s="1" t="n">
        <v>43922</v>
      </c>
      <c r="C150" s="1" t="n">
        <v>45566</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18143-2020</t>
        </is>
      </c>
      <c r="B151" s="1" t="n">
        <v>43924</v>
      </c>
      <c r="C151" s="1" t="n">
        <v>45566</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18549-2020</t>
        </is>
      </c>
      <c r="B152" s="1" t="n">
        <v>43927</v>
      </c>
      <c r="C152" s="1" t="n">
        <v>45566</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18554-2020</t>
        </is>
      </c>
      <c r="B153" s="1" t="n">
        <v>43927</v>
      </c>
      <c r="C153" s="1" t="n">
        <v>45566</v>
      </c>
      <c r="D153" t="inlineStr">
        <is>
          <t>NORRBOTTENS LÄN</t>
        </is>
      </c>
      <c r="E153" t="inlineStr">
        <is>
          <t>LULEÅ</t>
        </is>
      </c>
      <c r="G153" t="n">
        <v>3</v>
      </c>
      <c r="H153" t="n">
        <v>0</v>
      </c>
      <c r="I153" t="n">
        <v>0</v>
      </c>
      <c r="J153" t="n">
        <v>0</v>
      </c>
      <c r="K153" t="n">
        <v>0</v>
      </c>
      <c r="L153" t="n">
        <v>0</v>
      </c>
      <c r="M153" t="n">
        <v>0</v>
      </c>
      <c r="N153" t="n">
        <v>0</v>
      </c>
      <c r="O153" t="n">
        <v>0</v>
      </c>
      <c r="P153" t="n">
        <v>0</v>
      </c>
      <c r="Q153" t="n">
        <v>0</v>
      </c>
      <c r="R153" s="2" t="inlineStr"/>
    </row>
    <row r="154" ht="15" customHeight="1">
      <c r="A154" t="inlineStr">
        <is>
          <t>A 18299-2020</t>
        </is>
      </c>
      <c r="B154" s="1" t="n">
        <v>43927</v>
      </c>
      <c r="C154" s="1" t="n">
        <v>45566</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18276-2020</t>
        </is>
      </c>
      <c r="B155" s="1" t="n">
        <v>43927</v>
      </c>
      <c r="C155" s="1" t="n">
        <v>45566</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18303-2020</t>
        </is>
      </c>
      <c r="B156" s="1" t="n">
        <v>43927</v>
      </c>
      <c r="C156" s="1" t="n">
        <v>45566</v>
      </c>
      <c r="D156" t="inlineStr">
        <is>
          <t>NORRBOTTENS LÄN</t>
        </is>
      </c>
      <c r="E156" t="inlineStr">
        <is>
          <t>LULEÅ</t>
        </is>
      </c>
      <c r="G156" t="n">
        <v>6.5</v>
      </c>
      <c r="H156" t="n">
        <v>0</v>
      </c>
      <c r="I156" t="n">
        <v>0</v>
      </c>
      <c r="J156" t="n">
        <v>0</v>
      </c>
      <c r="K156" t="n">
        <v>0</v>
      </c>
      <c r="L156" t="n">
        <v>0</v>
      </c>
      <c r="M156" t="n">
        <v>0</v>
      </c>
      <c r="N156" t="n">
        <v>0</v>
      </c>
      <c r="O156" t="n">
        <v>0</v>
      </c>
      <c r="P156" t="n">
        <v>0</v>
      </c>
      <c r="Q156" t="n">
        <v>0</v>
      </c>
      <c r="R156" s="2" t="inlineStr"/>
    </row>
    <row r="157" ht="15" customHeight="1">
      <c r="A157" t="inlineStr">
        <is>
          <t>A 18278-2020</t>
        </is>
      </c>
      <c r="B157" s="1" t="n">
        <v>43927</v>
      </c>
      <c r="C157" s="1" t="n">
        <v>45566</v>
      </c>
      <c r="D157" t="inlineStr">
        <is>
          <t>NORRBOTTENS LÄN</t>
        </is>
      </c>
      <c r="E157" t="inlineStr">
        <is>
          <t>LULEÅ</t>
        </is>
      </c>
      <c r="G157" t="n">
        <v>10.5</v>
      </c>
      <c r="H157" t="n">
        <v>0</v>
      </c>
      <c r="I157" t="n">
        <v>0</v>
      </c>
      <c r="J157" t="n">
        <v>0</v>
      </c>
      <c r="K157" t="n">
        <v>0</v>
      </c>
      <c r="L157" t="n">
        <v>0</v>
      </c>
      <c r="M157" t="n">
        <v>0</v>
      </c>
      <c r="N157" t="n">
        <v>0</v>
      </c>
      <c r="O157" t="n">
        <v>0</v>
      </c>
      <c r="P157" t="n">
        <v>0</v>
      </c>
      <c r="Q157" t="n">
        <v>0</v>
      </c>
      <c r="R157" s="2" t="inlineStr"/>
    </row>
    <row r="158" ht="15" customHeight="1">
      <c r="A158" t="inlineStr">
        <is>
          <t>A 22710-2020</t>
        </is>
      </c>
      <c r="B158" s="1" t="n">
        <v>43962</v>
      </c>
      <c r="C158" s="1" t="n">
        <v>45566</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26062-2020</t>
        </is>
      </c>
      <c r="B159" s="1" t="n">
        <v>43985</v>
      </c>
      <c r="C159" s="1" t="n">
        <v>45566</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27417-2020</t>
        </is>
      </c>
      <c r="B160" s="1" t="n">
        <v>43992</v>
      </c>
      <c r="C160" s="1" t="n">
        <v>45566</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30049-2020</t>
        </is>
      </c>
      <c r="B161" s="1" t="n">
        <v>44006</v>
      </c>
      <c r="C161" s="1" t="n">
        <v>45566</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30336-2020</t>
        </is>
      </c>
      <c r="B162" s="1" t="n">
        <v>44007</v>
      </c>
      <c r="C162" s="1" t="n">
        <v>45566</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30341-2020</t>
        </is>
      </c>
      <c r="B163" s="1" t="n">
        <v>44007</v>
      </c>
      <c r="C163" s="1" t="n">
        <v>45566</v>
      </c>
      <c r="D163" t="inlineStr">
        <is>
          <t>NORRBOTTENS LÄN</t>
        </is>
      </c>
      <c r="E163" t="inlineStr">
        <is>
          <t>LULEÅ</t>
        </is>
      </c>
      <c r="G163" t="n">
        <v>0.3</v>
      </c>
      <c r="H163" t="n">
        <v>0</v>
      </c>
      <c r="I163" t="n">
        <v>0</v>
      </c>
      <c r="J163" t="n">
        <v>0</v>
      </c>
      <c r="K163" t="n">
        <v>0</v>
      </c>
      <c r="L163" t="n">
        <v>0</v>
      </c>
      <c r="M163" t="n">
        <v>0</v>
      </c>
      <c r="N163" t="n">
        <v>0</v>
      </c>
      <c r="O163" t="n">
        <v>0</v>
      </c>
      <c r="P163" t="n">
        <v>0</v>
      </c>
      <c r="Q163" t="n">
        <v>0</v>
      </c>
      <c r="R163" s="2" t="inlineStr"/>
    </row>
    <row r="164" ht="15" customHeight="1">
      <c r="A164" t="inlineStr">
        <is>
          <t>A 31972-2020</t>
        </is>
      </c>
      <c r="B164" s="1" t="n">
        <v>44014</v>
      </c>
      <c r="C164" s="1" t="n">
        <v>45566</v>
      </c>
      <c r="D164" t="inlineStr">
        <is>
          <t>NORRBOTTENS LÄN</t>
        </is>
      </c>
      <c r="E164" t="inlineStr">
        <is>
          <t>LULEÅ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32761-2020</t>
        </is>
      </c>
      <c r="B165" s="1" t="n">
        <v>44020</v>
      </c>
      <c r="C165" s="1" t="n">
        <v>45566</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34256-2020</t>
        </is>
      </c>
      <c r="B166" s="1" t="n">
        <v>44029</v>
      </c>
      <c r="C166" s="1" t="n">
        <v>45566</v>
      </c>
      <c r="D166" t="inlineStr">
        <is>
          <t>NORRBOTTENS LÄN</t>
        </is>
      </c>
      <c r="E166" t="inlineStr">
        <is>
          <t>LULEÅ</t>
        </is>
      </c>
      <c r="F166" t="inlineStr">
        <is>
          <t>SCA</t>
        </is>
      </c>
      <c r="G166" t="n">
        <v>10.4</v>
      </c>
      <c r="H166" t="n">
        <v>0</v>
      </c>
      <c r="I166" t="n">
        <v>0</v>
      </c>
      <c r="J166" t="n">
        <v>0</v>
      </c>
      <c r="K166" t="n">
        <v>0</v>
      </c>
      <c r="L166" t="n">
        <v>0</v>
      </c>
      <c r="M166" t="n">
        <v>0</v>
      </c>
      <c r="N166" t="n">
        <v>0</v>
      </c>
      <c r="O166" t="n">
        <v>0</v>
      </c>
      <c r="P166" t="n">
        <v>0</v>
      </c>
      <c r="Q166" t="n">
        <v>0</v>
      </c>
      <c r="R166" s="2" t="inlineStr"/>
    </row>
    <row r="167" ht="15" customHeight="1">
      <c r="A167" t="inlineStr">
        <is>
          <t>A 34257-2020</t>
        </is>
      </c>
      <c r="B167" s="1" t="n">
        <v>44030</v>
      </c>
      <c r="C167" s="1" t="n">
        <v>45566</v>
      </c>
      <c r="D167" t="inlineStr">
        <is>
          <t>NORRBOTTENS LÄN</t>
        </is>
      </c>
      <c r="E167" t="inlineStr">
        <is>
          <t>LULEÅ</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36549-2020</t>
        </is>
      </c>
      <c r="B168" s="1" t="n">
        <v>44050</v>
      </c>
      <c r="C168" s="1" t="n">
        <v>45566</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36929-2020</t>
        </is>
      </c>
      <c r="B169" s="1" t="n">
        <v>44053</v>
      </c>
      <c r="C169" s="1" t="n">
        <v>45566</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39169-2020</t>
        </is>
      </c>
      <c r="B170" s="1" t="n">
        <v>44063</v>
      </c>
      <c r="C170" s="1" t="n">
        <v>45566</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41072-2020</t>
        </is>
      </c>
      <c r="B171" s="1" t="n">
        <v>44069</v>
      </c>
      <c r="C171" s="1" t="n">
        <v>45566</v>
      </c>
      <c r="D171" t="inlineStr">
        <is>
          <t>NORRBOTTENS LÄN</t>
        </is>
      </c>
      <c r="E171" t="inlineStr">
        <is>
          <t>LULEÅ</t>
        </is>
      </c>
      <c r="G171" t="n">
        <v>21.3</v>
      </c>
      <c r="H171" t="n">
        <v>0</v>
      </c>
      <c r="I171" t="n">
        <v>0</v>
      </c>
      <c r="J171" t="n">
        <v>0</v>
      </c>
      <c r="K171" t="n">
        <v>0</v>
      </c>
      <c r="L171" t="n">
        <v>0</v>
      </c>
      <c r="M171" t="n">
        <v>0</v>
      </c>
      <c r="N171" t="n">
        <v>0</v>
      </c>
      <c r="O171" t="n">
        <v>0</v>
      </c>
      <c r="P171" t="n">
        <v>0</v>
      </c>
      <c r="Q171" t="n">
        <v>0</v>
      </c>
      <c r="R171" s="2" t="inlineStr"/>
    </row>
    <row r="172" ht="15" customHeight="1">
      <c r="A172" t="inlineStr">
        <is>
          <t>A 40896-2020</t>
        </is>
      </c>
      <c r="B172" s="1" t="n">
        <v>44070</v>
      </c>
      <c r="C172" s="1" t="n">
        <v>45566</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41864-2020</t>
        </is>
      </c>
      <c r="B173" s="1" t="n">
        <v>44074</v>
      </c>
      <c r="C173" s="1" t="n">
        <v>45566</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41990-2020</t>
        </is>
      </c>
      <c r="B174" s="1" t="n">
        <v>44075</v>
      </c>
      <c r="C174" s="1" t="n">
        <v>45566</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42177-2020</t>
        </is>
      </c>
      <c r="B175" s="1" t="n">
        <v>44075</v>
      </c>
      <c r="C175" s="1" t="n">
        <v>45566</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42176-2020</t>
        </is>
      </c>
      <c r="B176" s="1" t="n">
        <v>44075</v>
      </c>
      <c r="C176" s="1" t="n">
        <v>45566</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43556-2020</t>
        </is>
      </c>
      <c r="B177" s="1" t="n">
        <v>44077</v>
      </c>
      <c r="C177" s="1" t="n">
        <v>45566</v>
      </c>
      <c r="D177" t="inlineStr">
        <is>
          <t>NORRBOTTENS LÄN</t>
        </is>
      </c>
      <c r="E177" t="inlineStr">
        <is>
          <t>LULEÅ</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42939-2020</t>
        </is>
      </c>
      <c r="B178" s="1" t="n">
        <v>44078</v>
      </c>
      <c r="C178" s="1" t="n">
        <v>45566</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46395-2020</t>
        </is>
      </c>
      <c r="B179" s="1" t="n">
        <v>44094</v>
      </c>
      <c r="C179" s="1" t="n">
        <v>45566</v>
      </c>
      <c r="D179" t="inlineStr">
        <is>
          <t>NORRBOTTENS LÄN</t>
        </is>
      </c>
      <c r="E179" t="inlineStr">
        <is>
          <t>LULEÅ</t>
        </is>
      </c>
      <c r="G179" t="n">
        <v>2.8</v>
      </c>
      <c r="H179" t="n">
        <v>0</v>
      </c>
      <c r="I179" t="n">
        <v>0</v>
      </c>
      <c r="J179" t="n">
        <v>0</v>
      </c>
      <c r="K179" t="n">
        <v>0</v>
      </c>
      <c r="L179" t="n">
        <v>0</v>
      </c>
      <c r="M179" t="n">
        <v>0</v>
      </c>
      <c r="N179" t="n">
        <v>0</v>
      </c>
      <c r="O179" t="n">
        <v>0</v>
      </c>
      <c r="P179" t="n">
        <v>0</v>
      </c>
      <c r="Q179" t="n">
        <v>0</v>
      </c>
      <c r="R179" s="2" t="inlineStr"/>
    </row>
    <row r="180" ht="15" customHeight="1">
      <c r="A180" t="inlineStr">
        <is>
          <t>A 47063-2020</t>
        </is>
      </c>
      <c r="B180" s="1" t="n">
        <v>44096</v>
      </c>
      <c r="C180" s="1" t="n">
        <v>45566</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50622-2020</t>
        </is>
      </c>
      <c r="B181" s="1" t="n">
        <v>44110</v>
      </c>
      <c r="C181" s="1" t="n">
        <v>45566</v>
      </c>
      <c r="D181" t="inlineStr">
        <is>
          <t>NORRBOTTENS LÄN</t>
        </is>
      </c>
      <c r="E181" t="inlineStr">
        <is>
          <t>LULEÅ</t>
        </is>
      </c>
      <c r="F181" t="inlineStr">
        <is>
          <t>SCA</t>
        </is>
      </c>
      <c r="G181" t="n">
        <v>4.7</v>
      </c>
      <c r="H181" t="n">
        <v>0</v>
      </c>
      <c r="I181" t="n">
        <v>0</v>
      </c>
      <c r="J181" t="n">
        <v>0</v>
      </c>
      <c r="K181" t="n">
        <v>0</v>
      </c>
      <c r="L181" t="n">
        <v>0</v>
      </c>
      <c r="M181" t="n">
        <v>0</v>
      </c>
      <c r="N181" t="n">
        <v>0</v>
      </c>
      <c r="O181" t="n">
        <v>0</v>
      </c>
      <c r="P181" t="n">
        <v>0</v>
      </c>
      <c r="Q181" t="n">
        <v>0</v>
      </c>
      <c r="R181" s="2" t="inlineStr"/>
    </row>
    <row r="182" ht="15" customHeight="1">
      <c r="A182" t="inlineStr">
        <is>
          <t>A 50778-2020</t>
        </is>
      </c>
      <c r="B182" s="1" t="n">
        <v>44111</v>
      </c>
      <c r="C182" s="1" t="n">
        <v>45566</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50705-2020</t>
        </is>
      </c>
      <c r="B183" s="1" t="n">
        <v>44111</v>
      </c>
      <c r="C183" s="1" t="n">
        <v>45566</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51128-2020</t>
        </is>
      </c>
      <c r="B184" s="1" t="n">
        <v>44112</v>
      </c>
      <c r="C184" s="1" t="n">
        <v>45566</v>
      </c>
      <c r="D184" t="inlineStr">
        <is>
          <t>NORRBOTTENS LÄN</t>
        </is>
      </c>
      <c r="E184" t="inlineStr">
        <is>
          <t>LULEÅ</t>
        </is>
      </c>
      <c r="F184" t="inlineStr">
        <is>
          <t>Sveaskog</t>
        </is>
      </c>
      <c r="G184" t="n">
        <v>0.5</v>
      </c>
      <c r="H184" t="n">
        <v>0</v>
      </c>
      <c r="I184" t="n">
        <v>0</v>
      </c>
      <c r="J184" t="n">
        <v>0</v>
      </c>
      <c r="K184" t="n">
        <v>0</v>
      </c>
      <c r="L184" t="n">
        <v>0</v>
      </c>
      <c r="M184" t="n">
        <v>0</v>
      </c>
      <c r="N184" t="n">
        <v>0</v>
      </c>
      <c r="O184" t="n">
        <v>0</v>
      </c>
      <c r="P184" t="n">
        <v>0</v>
      </c>
      <c r="Q184" t="n">
        <v>0</v>
      </c>
      <c r="R184" s="2" t="inlineStr"/>
    </row>
    <row r="185" ht="15" customHeight="1">
      <c r="A185" t="inlineStr">
        <is>
          <t>A 51117-2020</t>
        </is>
      </c>
      <c r="B185" s="1" t="n">
        <v>44112</v>
      </c>
      <c r="C185" s="1" t="n">
        <v>45566</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51210-2020</t>
        </is>
      </c>
      <c r="B186" s="1" t="n">
        <v>44112</v>
      </c>
      <c r="C186" s="1" t="n">
        <v>45566</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53118-2020</t>
        </is>
      </c>
      <c r="B187" s="1" t="n">
        <v>44120</v>
      </c>
      <c r="C187" s="1" t="n">
        <v>45566</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53105-2020</t>
        </is>
      </c>
      <c r="B188" s="1" t="n">
        <v>44120</v>
      </c>
      <c r="C188" s="1" t="n">
        <v>45566</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54538-2020</t>
        </is>
      </c>
      <c r="B189" s="1" t="n">
        <v>44126</v>
      </c>
      <c r="C189" s="1" t="n">
        <v>45566</v>
      </c>
      <c r="D189" t="inlineStr">
        <is>
          <t>NORRBOTTENS LÄN</t>
        </is>
      </c>
      <c r="E189" t="inlineStr">
        <is>
          <t>LULEÅ</t>
        </is>
      </c>
      <c r="G189" t="n">
        <v>10.5</v>
      </c>
      <c r="H189" t="n">
        <v>0</v>
      </c>
      <c r="I189" t="n">
        <v>0</v>
      </c>
      <c r="J189" t="n">
        <v>0</v>
      </c>
      <c r="K189" t="n">
        <v>0</v>
      </c>
      <c r="L189" t="n">
        <v>0</v>
      </c>
      <c r="M189" t="n">
        <v>0</v>
      </c>
      <c r="N189" t="n">
        <v>0</v>
      </c>
      <c r="O189" t="n">
        <v>0</v>
      </c>
      <c r="P189" t="n">
        <v>0</v>
      </c>
      <c r="Q189" t="n">
        <v>0</v>
      </c>
      <c r="R189" s="2" t="inlineStr"/>
    </row>
    <row r="190" ht="15" customHeight="1">
      <c r="A190" t="inlineStr">
        <is>
          <t>A 54594-2020</t>
        </is>
      </c>
      <c r="B190" s="1" t="n">
        <v>44126</v>
      </c>
      <c r="C190" s="1" t="n">
        <v>45566</v>
      </c>
      <c r="D190" t="inlineStr">
        <is>
          <t>NORRBOTTENS LÄN</t>
        </is>
      </c>
      <c r="E190" t="inlineStr">
        <is>
          <t>LULEÅ</t>
        </is>
      </c>
      <c r="G190" t="n">
        <v>0.7</v>
      </c>
      <c r="H190" t="n">
        <v>0</v>
      </c>
      <c r="I190" t="n">
        <v>0</v>
      </c>
      <c r="J190" t="n">
        <v>0</v>
      </c>
      <c r="K190" t="n">
        <v>0</v>
      </c>
      <c r="L190" t="n">
        <v>0</v>
      </c>
      <c r="M190" t="n">
        <v>0</v>
      </c>
      <c r="N190" t="n">
        <v>0</v>
      </c>
      <c r="O190" t="n">
        <v>0</v>
      </c>
      <c r="P190" t="n">
        <v>0</v>
      </c>
      <c r="Q190" t="n">
        <v>0</v>
      </c>
      <c r="R190" s="2" t="inlineStr"/>
    </row>
    <row r="191" ht="15" customHeight="1">
      <c r="A191" t="inlineStr">
        <is>
          <t>A 59747-2020</t>
        </is>
      </c>
      <c r="B191" s="1" t="n">
        <v>44148</v>
      </c>
      <c r="C191" s="1" t="n">
        <v>45566</v>
      </c>
      <c r="D191" t="inlineStr">
        <is>
          <t>NORRBOTTENS LÄN</t>
        </is>
      </c>
      <c r="E191" t="inlineStr">
        <is>
          <t>LULEÅ</t>
        </is>
      </c>
      <c r="G191" t="n">
        <v>7.7</v>
      </c>
      <c r="H191" t="n">
        <v>0</v>
      </c>
      <c r="I191" t="n">
        <v>0</v>
      </c>
      <c r="J191" t="n">
        <v>0</v>
      </c>
      <c r="K191" t="n">
        <v>0</v>
      </c>
      <c r="L191" t="n">
        <v>0</v>
      </c>
      <c r="M191" t="n">
        <v>0</v>
      </c>
      <c r="N191" t="n">
        <v>0</v>
      </c>
      <c r="O191" t="n">
        <v>0</v>
      </c>
      <c r="P191" t="n">
        <v>0</v>
      </c>
      <c r="Q191" t="n">
        <v>0</v>
      </c>
      <c r="R191" s="2" t="inlineStr"/>
    </row>
    <row r="192" ht="15" customHeight="1">
      <c r="A192" t="inlineStr">
        <is>
          <t>A 59858-2020</t>
        </is>
      </c>
      <c r="B192" s="1" t="n">
        <v>44148</v>
      </c>
      <c r="C192" s="1" t="n">
        <v>45566</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60642-2020</t>
        </is>
      </c>
      <c r="B193" s="1" t="n">
        <v>44152</v>
      </c>
      <c r="C193" s="1" t="n">
        <v>45566</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61072-2020</t>
        </is>
      </c>
      <c r="B194" s="1" t="n">
        <v>44154</v>
      </c>
      <c r="C194" s="1" t="n">
        <v>45566</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61598-2020</t>
        </is>
      </c>
      <c r="B195" s="1" t="n">
        <v>44154</v>
      </c>
      <c r="C195" s="1" t="n">
        <v>45566</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61600-2020</t>
        </is>
      </c>
      <c r="B196" s="1" t="n">
        <v>44154</v>
      </c>
      <c r="C196" s="1" t="n">
        <v>45566</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61490-2020</t>
        </is>
      </c>
      <c r="B197" s="1" t="n">
        <v>44158</v>
      </c>
      <c r="C197" s="1" t="n">
        <v>45566</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63024-2020</t>
        </is>
      </c>
      <c r="B198" s="1" t="n">
        <v>44162</v>
      </c>
      <c r="C198" s="1" t="n">
        <v>45566</v>
      </c>
      <c r="D198" t="inlineStr">
        <is>
          <t>NORRBOTTENS LÄN</t>
        </is>
      </c>
      <c r="E198" t="inlineStr">
        <is>
          <t>LULEÅ</t>
        </is>
      </c>
      <c r="F198" t="inlineStr">
        <is>
          <t>Kyrkan</t>
        </is>
      </c>
      <c r="G198" t="n">
        <v>27.4</v>
      </c>
      <c r="H198" t="n">
        <v>0</v>
      </c>
      <c r="I198" t="n">
        <v>0</v>
      </c>
      <c r="J198" t="n">
        <v>0</v>
      </c>
      <c r="K198" t="n">
        <v>0</v>
      </c>
      <c r="L198" t="n">
        <v>0</v>
      </c>
      <c r="M198" t="n">
        <v>0</v>
      </c>
      <c r="N198" t="n">
        <v>0</v>
      </c>
      <c r="O198" t="n">
        <v>0</v>
      </c>
      <c r="P198" t="n">
        <v>0</v>
      </c>
      <c r="Q198" t="n">
        <v>0</v>
      </c>
      <c r="R198" s="2" t="inlineStr"/>
    </row>
    <row r="199" ht="15" customHeight="1">
      <c r="A199" t="inlineStr">
        <is>
          <t>A 63825-2020</t>
        </is>
      </c>
      <c r="B199" s="1" t="n">
        <v>44165</v>
      </c>
      <c r="C199" s="1" t="n">
        <v>45566</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63828-2020</t>
        </is>
      </c>
      <c r="B200" s="1" t="n">
        <v>44165</v>
      </c>
      <c r="C200" s="1" t="n">
        <v>45566</v>
      </c>
      <c r="D200" t="inlineStr">
        <is>
          <t>NORRBOTTENS LÄN</t>
        </is>
      </c>
      <c r="E200" t="inlineStr">
        <is>
          <t>LULEÅ</t>
        </is>
      </c>
      <c r="G200" t="n">
        <v>5.3</v>
      </c>
      <c r="H200" t="n">
        <v>0</v>
      </c>
      <c r="I200" t="n">
        <v>0</v>
      </c>
      <c r="J200" t="n">
        <v>0</v>
      </c>
      <c r="K200" t="n">
        <v>0</v>
      </c>
      <c r="L200" t="n">
        <v>0</v>
      </c>
      <c r="M200" t="n">
        <v>0</v>
      </c>
      <c r="N200" t="n">
        <v>0</v>
      </c>
      <c r="O200" t="n">
        <v>0</v>
      </c>
      <c r="P200" t="n">
        <v>0</v>
      </c>
      <c r="Q200" t="n">
        <v>0</v>
      </c>
      <c r="R200" s="2" t="inlineStr"/>
    </row>
    <row r="201" ht="15" customHeight="1">
      <c r="A201" t="inlineStr">
        <is>
          <t>A 63901-2020</t>
        </is>
      </c>
      <c r="B201" s="1" t="n">
        <v>44165</v>
      </c>
      <c r="C201" s="1" t="n">
        <v>45566</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64678-2020</t>
        </is>
      </c>
      <c r="B202" s="1" t="n">
        <v>44166</v>
      </c>
      <c r="C202" s="1" t="n">
        <v>45566</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64527-2020</t>
        </is>
      </c>
      <c r="B203" s="1" t="n">
        <v>44166</v>
      </c>
      <c r="C203" s="1" t="n">
        <v>45566</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66925-2020</t>
        </is>
      </c>
      <c r="B204" s="1" t="n">
        <v>44176</v>
      </c>
      <c r="C204" s="1" t="n">
        <v>45566</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67938-2020</t>
        </is>
      </c>
      <c r="B205" s="1" t="n">
        <v>44182</v>
      </c>
      <c r="C205" s="1" t="n">
        <v>45566</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68269-2020</t>
        </is>
      </c>
      <c r="B206" s="1" t="n">
        <v>44183</v>
      </c>
      <c r="C206" s="1" t="n">
        <v>45566</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68701-2020</t>
        </is>
      </c>
      <c r="B207" s="1" t="n">
        <v>44186</v>
      </c>
      <c r="C207" s="1" t="n">
        <v>45566</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1144-2021</t>
        </is>
      </c>
      <c r="B208" s="1" t="n">
        <v>44207</v>
      </c>
      <c r="C208" s="1" t="n">
        <v>45566</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1147-2021</t>
        </is>
      </c>
      <c r="B209" s="1" t="n">
        <v>44207</v>
      </c>
      <c r="C209" s="1" t="n">
        <v>45566</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2369-2021</t>
        </is>
      </c>
      <c r="B210" s="1" t="n">
        <v>44211</v>
      </c>
      <c r="C210" s="1" t="n">
        <v>45566</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2385-2021</t>
        </is>
      </c>
      <c r="B211" s="1" t="n">
        <v>44211</v>
      </c>
      <c r="C211" s="1" t="n">
        <v>45566</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2380-2021</t>
        </is>
      </c>
      <c r="B212" s="1" t="n">
        <v>44211</v>
      </c>
      <c r="C212" s="1" t="n">
        <v>45566</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2392-2021</t>
        </is>
      </c>
      <c r="B213" s="1" t="n">
        <v>44211</v>
      </c>
      <c r="C213" s="1" t="n">
        <v>45566</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2403-2021</t>
        </is>
      </c>
      <c r="B214" s="1" t="n">
        <v>44211</v>
      </c>
      <c r="C214" s="1" t="n">
        <v>45566</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2397-2021</t>
        </is>
      </c>
      <c r="B215" s="1" t="n">
        <v>44211</v>
      </c>
      <c r="C215" s="1" t="n">
        <v>45566</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5559-2021</t>
        </is>
      </c>
      <c r="B216" s="1" t="n">
        <v>44229</v>
      </c>
      <c r="C216" s="1" t="n">
        <v>45566</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v>
      </c>
      <c r="C217" s="1" t="n">
        <v>45566</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6488-2021</t>
        </is>
      </c>
      <c r="B218" s="1" t="n">
        <v>44235</v>
      </c>
      <c r="C218" s="1" t="n">
        <v>45566</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6527-2021</t>
        </is>
      </c>
      <c r="B219" s="1" t="n">
        <v>44236</v>
      </c>
      <c r="C219" s="1" t="n">
        <v>45566</v>
      </c>
      <c r="D219" t="inlineStr">
        <is>
          <t>NORRBOTTENS LÄN</t>
        </is>
      </c>
      <c r="E219" t="inlineStr">
        <is>
          <t>LULEÅ</t>
        </is>
      </c>
      <c r="G219" t="n">
        <v>19.7</v>
      </c>
      <c r="H219" t="n">
        <v>0</v>
      </c>
      <c r="I219" t="n">
        <v>0</v>
      </c>
      <c r="J219" t="n">
        <v>0</v>
      </c>
      <c r="K219" t="n">
        <v>0</v>
      </c>
      <c r="L219" t="n">
        <v>0</v>
      </c>
      <c r="M219" t="n">
        <v>0</v>
      </c>
      <c r="N219" t="n">
        <v>0</v>
      </c>
      <c r="O219" t="n">
        <v>0</v>
      </c>
      <c r="P219" t="n">
        <v>0</v>
      </c>
      <c r="Q219" t="n">
        <v>0</v>
      </c>
      <c r="R219" s="2" t="inlineStr"/>
    </row>
    <row r="220" ht="15" customHeight="1">
      <c r="A220" t="inlineStr">
        <is>
          <t>A 7421-2021</t>
        </is>
      </c>
      <c r="B220" s="1" t="n">
        <v>44239</v>
      </c>
      <c r="C220" s="1" t="n">
        <v>45566</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7417-2021</t>
        </is>
      </c>
      <c r="B221" s="1" t="n">
        <v>44239</v>
      </c>
      <c r="C221" s="1" t="n">
        <v>45566</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7429-2021</t>
        </is>
      </c>
      <c r="B222" s="1" t="n">
        <v>44239</v>
      </c>
      <c r="C222" s="1" t="n">
        <v>45566</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7468-2021</t>
        </is>
      </c>
      <c r="B223" s="1" t="n">
        <v>44239</v>
      </c>
      <c r="C223" s="1" t="n">
        <v>45566</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7726-2021</t>
        </is>
      </c>
      <c r="B224" s="1" t="n">
        <v>44239</v>
      </c>
      <c r="C224" s="1" t="n">
        <v>45566</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8164-2021</t>
        </is>
      </c>
      <c r="B225" s="1" t="n">
        <v>44243</v>
      </c>
      <c r="C225" s="1" t="n">
        <v>45566</v>
      </c>
      <c r="D225" t="inlineStr">
        <is>
          <t>NORRBOTTENS LÄN</t>
        </is>
      </c>
      <c r="E225" t="inlineStr">
        <is>
          <t>LULEÅ</t>
        </is>
      </c>
      <c r="G225" t="n">
        <v>5.4</v>
      </c>
      <c r="H225" t="n">
        <v>0</v>
      </c>
      <c r="I225" t="n">
        <v>0</v>
      </c>
      <c r="J225" t="n">
        <v>0</v>
      </c>
      <c r="K225" t="n">
        <v>0</v>
      </c>
      <c r="L225" t="n">
        <v>0</v>
      </c>
      <c r="M225" t="n">
        <v>0</v>
      </c>
      <c r="N225" t="n">
        <v>0</v>
      </c>
      <c r="O225" t="n">
        <v>0</v>
      </c>
      <c r="P225" t="n">
        <v>0</v>
      </c>
      <c r="Q225" t="n">
        <v>0</v>
      </c>
      <c r="R225" s="2" t="inlineStr"/>
    </row>
    <row r="226" ht="15" customHeight="1">
      <c r="A226" t="inlineStr">
        <is>
          <t>A 7956-2021</t>
        </is>
      </c>
      <c r="B226" s="1" t="n">
        <v>44243</v>
      </c>
      <c r="C226" s="1" t="n">
        <v>45566</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8161-2021</t>
        </is>
      </c>
      <c r="B227" s="1" t="n">
        <v>44243</v>
      </c>
      <c r="C227" s="1" t="n">
        <v>45566</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8834-2021</t>
        </is>
      </c>
      <c r="B228" s="1" t="n">
        <v>44245</v>
      </c>
      <c r="C228" s="1" t="n">
        <v>45566</v>
      </c>
      <c r="D228" t="inlineStr">
        <is>
          <t>NORRBOTTENS LÄN</t>
        </is>
      </c>
      <c r="E228" t="inlineStr">
        <is>
          <t>LULEÅ</t>
        </is>
      </c>
      <c r="G228" t="n">
        <v>7.7</v>
      </c>
      <c r="H228" t="n">
        <v>0</v>
      </c>
      <c r="I228" t="n">
        <v>0</v>
      </c>
      <c r="J228" t="n">
        <v>0</v>
      </c>
      <c r="K228" t="n">
        <v>0</v>
      </c>
      <c r="L228" t="n">
        <v>0</v>
      </c>
      <c r="M228" t="n">
        <v>0</v>
      </c>
      <c r="N228" t="n">
        <v>0</v>
      </c>
      <c r="O228" t="n">
        <v>0</v>
      </c>
      <c r="P228" t="n">
        <v>0</v>
      </c>
      <c r="Q228" t="n">
        <v>0</v>
      </c>
      <c r="R228" s="2" t="inlineStr"/>
    </row>
    <row r="229" ht="15" customHeight="1">
      <c r="A229" t="inlineStr">
        <is>
          <t>A 10951-2021</t>
        </is>
      </c>
      <c r="B229" s="1" t="n">
        <v>44259</v>
      </c>
      <c r="C229" s="1" t="n">
        <v>45566</v>
      </c>
      <c r="D229" t="inlineStr">
        <is>
          <t>NORRBOTTENS LÄN</t>
        </is>
      </c>
      <c r="E229" t="inlineStr">
        <is>
          <t>LULEÅ</t>
        </is>
      </c>
      <c r="G229" t="n">
        <v>10.7</v>
      </c>
      <c r="H229" t="n">
        <v>0</v>
      </c>
      <c r="I229" t="n">
        <v>0</v>
      </c>
      <c r="J229" t="n">
        <v>0</v>
      </c>
      <c r="K229" t="n">
        <v>0</v>
      </c>
      <c r="L229" t="n">
        <v>0</v>
      </c>
      <c r="M229" t="n">
        <v>0</v>
      </c>
      <c r="N229" t="n">
        <v>0</v>
      </c>
      <c r="O229" t="n">
        <v>0</v>
      </c>
      <c r="P229" t="n">
        <v>0</v>
      </c>
      <c r="Q229" t="n">
        <v>0</v>
      </c>
      <c r="R229" s="2" t="inlineStr"/>
    </row>
    <row r="230" ht="15" customHeight="1">
      <c r="A230" t="inlineStr">
        <is>
          <t>A 11242-2021</t>
        </is>
      </c>
      <c r="B230" s="1" t="n">
        <v>44263</v>
      </c>
      <c r="C230" s="1" t="n">
        <v>45566</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11734-2021</t>
        </is>
      </c>
      <c r="B231" s="1" t="n">
        <v>44264</v>
      </c>
      <c r="C231" s="1" t="n">
        <v>45566</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11848-2021</t>
        </is>
      </c>
      <c r="B232" s="1" t="n">
        <v>44264</v>
      </c>
      <c r="C232" s="1" t="n">
        <v>45566</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11847-2021</t>
        </is>
      </c>
      <c r="B233" s="1" t="n">
        <v>44264</v>
      </c>
      <c r="C233" s="1" t="n">
        <v>45566</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13248-2021</t>
        </is>
      </c>
      <c r="B234" s="1" t="n">
        <v>44272</v>
      </c>
      <c r="C234" s="1" t="n">
        <v>45566</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14891-2021</t>
        </is>
      </c>
      <c r="B235" s="1" t="n">
        <v>44280</v>
      </c>
      <c r="C235" s="1" t="n">
        <v>45566</v>
      </c>
      <c r="D235" t="inlineStr">
        <is>
          <t>NORRBOTTENS LÄN</t>
        </is>
      </c>
      <c r="E235" t="inlineStr">
        <is>
          <t>LULEÅ</t>
        </is>
      </c>
      <c r="G235" t="n">
        <v>0.3</v>
      </c>
      <c r="H235" t="n">
        <v>0</v>
      </c>
      <c r="I235" t="n">
        <v>0</v>
      </c>
      <c r="J235" t="n">
        <v>0</v>
      </c>
      <c r="K235" t="n">
        <v>0</v>
      </c>
      <c r="L235" t="n">
        <v>0</v>
      </c>
      <c r="M235" t="n">
        <v>0</v>
      </c>
      <c r="N235" t="n">
        <v>0</v>
      </c>
      <c r="O235" t="n">
        <v>0</v>
      </c>
      <c r="P235" t="n">
        <v>0</v>
      </c>
      <c r="Q235" t="n">
        <v>0</v>
      </c>
      <c r="R235" s="2" t="inlineStr"/>
    </row>
    <row r="236" ht="15" customHeight="1">
      <c r="A236" t="inlineStr">
        <is>
          <t>A 14886-2021</t>
        </is>
      </c>
      <c r="B236" s="1" t="n">
        <v>44280</v>
      </c>
      <c r="C236" s="1" t="n">
        <v>45566</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20723-2021</t>
        </is>
      </c>
      <c r="B237" s="1" t="n">
        <v>44316</v>
      </c>
      <c r="C237" s="1" t="n">
        <v>45566</v>
      </c>
      <c r="D237" t="inlineStr">
        <is>
          <t>NORRBOTTENS LÄN</t>
        </is>
      </c>
      <c r="E237" t="inlineStr">
        <is>
          <t>LULEÅ</t>
        </is>
      </c>
      <c r="G237" t="n">
        <v>7</v>
      </c>
      <c r="H237" t="n">
        <v>0</v>
      </c>
      <c r="I237" t="n">
        <v>0</v>
      </c>
      <c r="J237" t="n">
        <v>0</v>
      </c>
      <c r="K237" t="n">
        <v>0</v>
      </c>
      <c r="L237" t="n">
        <v>0</v>
      </c>
      <c r="M237" t="n">
        <v>0</v>
      </c>
      <c r="N237" t="n">
        <v>0</v>
      </c>
      <c r="O237" t="n">
        <v>0</v>
      </c>
      <c r="P237" t="n">
        <v>0</v>
      </c>
      <c r="Q237" t="n">
        <v>0</v>
      </c>
      <c r="R237" s="2" t="inlineStr"/>
    </row>
    <row r="238" ht="15" customHeight="1">
      <c r="A238" t="inlineStr">
        <is>
          <t>A 22364-2021</t>
        </is>
      </c>
      <c r="B238" s="1" t="n">
        <v>44322</v>
      </c>
      <c r="C238" s="1" t="n">
        <v>45566</v>
      </c>
      <c r="D238" t="inlineStr">
        <is>
          <t>NORRBOTTENS LÄN</t>
        </is>
      </c>
      <c r="E238" t="inlineStr">
        <is>
          <t>LULEÅ</t>
        </is>
      </c>
      <c r="G238" t="n">
        <v>1.8</v>
      </c>
      <c r="H238" t="n">
        <v>0</v>
      </c>
      <c r="I238" t="n">
        <v>0</v>
      </c>
      <c r="J238" t="n">
        <v>0</v>
      </c>
      <c r="K238" t="n">
        <v>0</v>
      </c>
      <c r="L238" t="n">
        <v>0</v>
      </c>
      <c r="M238" t="n">
        <v>0</v>
      </c>
      <c r="N238" t="n">
        <v>0</v>
      </c>
      <c r="O238" t="n">
        <v>0</v>
      </c>
      <c r="P238" t="n">
        <v>0</v>
      </c>
      <c r="Q238" t="n">
        <v>0</v>
      </c>
      <c r="R238" s="2" t="inlineStr"/>
    </row>
    <row r="239" ht="15" customHeight="1">
      <c r="A239" t="inlineStr">
        <is>
          <t>A 22656-2021</t>
        </is>
      </c>
      <c r="B239" s="1" t="n">
        <v>44327</v>
      </c>
      <c r="C239" s="1" t="n">
        <v>45566</v>
      </c>
      <c r="D239" t="inlineStr">
        <is>
          <t>NORRBOTTENS LÄN</t>
        </is>
      </c>
      <c r="E239" t="inlineStr">
        <is>
          <t>LULEÅ</t>
        </is>
      </c>
      <c r="G239" t="n">
        <v>7.1</v>
      </c>
      <c r="H239" t="n">
        <v>0</v>
      </c>
      <c r="I239" t="n">
        <v>0</v>
      </c>
      <c r="J239" t="n">
        <v>0</v>
      </c>
      <c r="K239" t="n">
        <v>0</v>
      </c>
      <c r="L239" t="n">
        <v>0</v>
      </c>
      <c r="M239" t="n">
        <v>0</v>
      </c>
      <c r="N239" t="n">
        <v>0</v>
      </c>
      <c r="O239" t="n">
        <v>0</v>
      </c>
      <c r="P239" t="n">
        <v>0</v>
      </c>
      <c r="Q239" t="n">
        <v>0</v>
      </c>
      <c r="R239" s="2" t="inlineStr"/>
    </row>
    <row r="240" ht="15" customHeight="1">
      <c r="A240" t="inlineStr">
        <is>
          <t>A 23471-2021</t>
        </is>
      </c>
      <c r="B240" s="1" t="n">
        <v>44334</v>
      </c>
      <c r="C240" s="1" t="n">
        <v>45566</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23632-2021</t>
        </is>
      </c>
      <c r="B241" s="1" t="n">
        <v>44334</v>
      </c>
      <c r="C241" s="1" t="n">
        <v>45566</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24453-2021</t>
        </is>
      </c>
      <c r="B242" s="1" t="n">
        <v>44337</v>
      </c>
      <c r="C242" s="1" t="n">
        <v>45566</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25812-2021</t>
        </is>
      </c>
      <c r="B243" s="1" t="n">
        <v>44343</v>
      </c>
      <c r="C243" s="1" t="n">
        <v>45566</v>
      </c>
      <c r="D243" t="inlineStr">
        <is>
          <t>NORRBOTTENS LÄN</t>
        </is>
      </c>
      <c r="E243" t="inlineStr">
        <is>
          <t>LULEÅ</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26234-2021</t>
        </is>
      </c>
      <c r="B244" s="1" t="n">
        <v>44347</v>
      </c>
      <c r="C244" s="1" t="n">
        <v>45566</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29730-2021</t>
        </is>
      </c>
      <c r="B245" s="1" t="n">
        <v>44362</v>
      </c>
      <c r="C245" s="1" t="n">
        <v>45566</v>
      </c>
      <c r="D245" t="inlineStr">
        <is>
          <t>NORRBOTTENS LÄN</t>
        </is>
      </c>
      <c r="E245" t="inlineStr">
        <is>
          <t>LULEÅ</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30027-2021</t>
        </is>
      </c>
      <c r="B246" s="1" t="n">
        <v>44363</v>
      </c>
      <c r="C246" s="1" t="n">
        <v>45566</v>
      </c>
      <c r="D246" t="inlineStr">
        <is>
          <t>NORRBOTTENS LÄN</t>
        </is>
      </c>
      <c r="E246" t="inlineStr">
        <is>
          <t>LULEÅ</t>
        </is>
      </c>
      <c r="G246" t="n">
        <v>5.8</v>
      </c>
      <c r="H246" t="n">
        <v>0</v>
      </c>
      <c r="I246" t="n">
        <v>0</v>
      </c>
      <c r="J246" t="n">
        <v>0</v>
      </c>
      <c r="K246" t="n">
        <v>0</v>
      </c>
      <c r="L246" t="n">
        <v>0</v>
      </c>
      <c r="M246" t="n">
        <v>0</v>
      </c>
      <c r="N246" t="n">
        <v>0</v>
      </c>
      <c r="O246" t="n">
        <v>0</v>
      </c>
      <c r="P246" t="n">
        <v>0</v>
      </c>
      <c r="Q246" t="n">
        <v>0</v>
      </c>
      <c r="R246" s="2" t="inlineStr"/>
    </row>
    <row r="247" ht="15" customHeight="1">
      <c r="A247" t="inlineStr">
        <is>
          <t>A 32378-2021</t>
        </is>
      </c>
      <c r="B247" s="1" t="n">
        <v>44371</v>
      </c>
      <c r="C247" s="1" t="n">
        <v>45566</v>
      </c>
      <c r="D247" t="inlineStr">
        <is>
          <t>NORRBOTTENS LÄN</t>
        </is>
      </c>
      <c r="E247" t="inlineStr">
        <is>
          <t>LULEÅ</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32381-2021</t>
        </is>
      </c>
      <c r="B248" s="1" t="n">
        <v>44371</v>
      </c>
      <c r="C248" s="1" t="n">
        <v>45566</v>
      </c>
      <c r="D248" t="inlineStr">
        <is>
          <t>NORRBOTTENS LÄN</t>
        </is>
      </c>
      <c r="E248" t="inlineStr">
        <is>
          <t>LULEÅ</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33147-2021</t>
        </is>
      </c>
      <c r="B249" s="1" t="n">
        <v>44376</v>
      </c>
      <c r="C249" s="1" t="n">
        <v>45566</v>
      </c>
      <c r="D249" t="inlineStr">
        <is>
          <t>NORRBOTTENS LÄN</t>
        </is>
      </c>
      <c r="E249" t="inlineStr">
        <is>
          <t>LULEÅ</t>
        </is>
      </c>
      <c r="F249" t="inlineStr">
        <is>
          <t>Sveaskog</t>
        </is>
      </c>
      <c r="G249" t="n">
        <v>24.6</v>
      </c>
      <c r="H249" t="n">
        <v>0</v>
      </c>
      <c r="I249" t="n">
        <v>0</v>
      </c>
      <c r="J249" t="n">
        <v>0</v>
      </c>
      <c r="K249" t="n">
        <v>0</v>
      </c>
      <c r="L249" t="n">
        <v>0</v>
      </c>
      <c r="M249" t="n">
        <v>0</v>
      </c>
      <c r="N249" t="n">
        <v>0</v>
      </c>
      <c r="O249" t="n">
        <v>0</v>
      </c>
      <c r="P249" t="n">
        <v>0</v>
      </c>
      <c r="Q249" t="n">
        <v>0</v>
      </c>
      <c r="R249" s="2" t="inlineStr"/>
    </row>
    <row r="250" ht="15" customHeight="1">
      <c r="A250" t="inlineStr">
        <is>
          <t>A 33148-2021</t>
        </is>
      </c>
      <c r="B250" s="1" t="n">
        <v>44376</v>
      </c>
      <c r="C250" s="1" t="n">
        <v>45566</v>
      </c>
      <c r="D250" t="inlineStr">
        <is>
          <t>NORRBOTTENS LÄN</t>
        </is>
      </c>
      <c r="E250" t="inlineStr">
        <is>
          <t>LULEÅ</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34495-2021</t>
        </is>
      </c>
      <c r="B251" s="1" t="n">
        <v>44379</v>
      </c>
      <c r="C251" s="1" t="n">
        <v>45566</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45566</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35234-2021</t>
        </is>
      </c>
      <c r="B253" s="1" t="n">
        <v>44384</v>
      </c>
      <c r="C253" s="1" t="n">
        <v>45566</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35962-2021</t>
        </is>
      </c>
      <c r="B254" s="1" t="n">
        <v>44385</v>
      </c>
      <c r="C254" s="1" t="n">
        <v>45566</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37765-2021</t>
        </is>
      </c>
      <c r="B255" s="1" t="n">
        <v>44400</v>
      </c>
      <c r="C255" s="1" t="n">
        <v>45566</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37835-2021</t>
        </is>
      </c>
      <c r="B256" s="1" t="n">
        <v>44400</v>
      </c>
      <c r="C256" s="1" t="n">
        <v>45566</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37766-2021</t>
        </is>
      </c>
      <c r="B257" s="1" t="n">
        <v>44400</v>
      </c>
      <c r="C257" s="1" t="n">
        <v>45566</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45566</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44680-2021</t>
        </is>
      </c>
      <c r="B259" s="1" t="n">
        <v>44435</v>
      </c>
      <c r="C259" s="1" t="n">
        <v>45566</v>
      </c>
      <c r="D259" t="inlineStr">
        <is>
          <t>NORRBOTTENS LÄN</t>
        </is>
      </c>
      <c r="E259" t="inlineStr">
        <is>
          <t>LULEÅ</t>
        </is>
      </c>
      <c r="G259" t="n">
        <v>6.1</v>
      </c>
      <c r="H259" t="n">
        <v>0</v>
      </c>
      <c r="I259" t="n">
        <v>0</v>
      </c>
      <c r="J259" t="n">
        <v>0</v>
      </c>
      <c r="K259" t="n">
        <v>0</v>
      </c>
      <c r="L259" t="n">
        <v>0</v>
      </c>
      <c r="M259" t="n">
        <v>0</v>
      </c>
      <c r="N259" t="n">
        <v>0</v>
      </c>
      <c r="O259" t="n">
        <v>0</v>
      </c>
      <c r="P259" t="n">
        <v>0</v>
      </c>
      <c r="Q259" t="n">
        <v>0</v>
      </c>
      <c r="R259" s="2" t="inlineStr"/>
    </row>
    <row r="260" ht="15" customHeight="1">
      <c r="A260" t="inlineStr">
        <is>
          <t>A 45940-2021</t>
        </is>
      </c>
      <c r="B260" s="1" t="n">
        <v>44441</v>
      </c>
      <c r="C260" s="1" t="n">
        <v>45566</v>
      </c>
      <c r="D260" t="inlineStr">
        <is>
          <t>NORRBOTTENS LÄN</t>
        </is>
      </c>
      <c r="E260" t="inlineStr">
        <is>
          <t>LULEÅ</t>
        </is>
      </c>
      <c r="G260" t="n">
        <v>15.2</v>
      </c>
      <c r="H260" t="n">
        <v>0</v>
      </c>
      <c r="I260" t="n">
        <v>0</v>
      </c>
      <c r="J260" t="n">
        <v>0</v>
      </c>
      <c r="K260" t="n">
        <v>0</v>
      </c>
      <c r="L260" t="n">
        <v>0</v>
      </c>
      <c r="M260" t="n">
        <v>0</v>
      </c>
      <c r="N260" t="n">
        <v>0</v>
      </c>
      <c r="O260" t="n">
        <v>0</v>
      </c>
      <c r="P260" t="n">
        <v>0</v>
      </c>
      <c r="Q260" t="n">
        <v>0</v>
      </c>
      <c r="R260" s="2" t="inlineStr"/>
    </row>
    <row r="261" ht="15" customHeight="1">
      <c r="A261" t="inlineStr">
        <is>
          <t>A 46150-2021</t>
        </is>
      </c>
      <c r="B261" s="1" t="n">
        <v>44441</v>
      </c>
      <c r="C261" s="1" t="n">
        <v>45566</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46158-2021</t>
        </is>
      </c>
      <c r="B262" s="1" t="n">
        <v>44442</v>
      </c>
      <c r="C262" s="1" t="n">
        <v>45566</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46547-2021</t>
        </is>
      </c>
      <c r="B263" s="1" t="n">
        <v>44445</v>
      </c>
      <c r="C263" s="1" t="n">
        <v>45566</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46826-2021</t>
        </is>
      </c>
      <c r="B264" s="1" t="n">
        <v>44446</v>
      </c>
      <c r="C264" s="1" t="n">
        <v>45566</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47801-2021</t>
        </is>
      </c>
      <c r="B265" s="1" t="n">
        <v>44448</v>
      </c>
      <c r="C265" s="1" t="n">
        <v>45566</v>
      </c>
      <c r="D265" t="inlineStr">
        <is>
          <t>NORRBOTTENS LÄN</t>
        </is>
      </c>
      <c r="E265" t="inlineStr">
        <is>
          <t>LULEÅ</t>
        </is>
      </c>
      <c r="G265" t="n">
        <v>7.3</v>
      </c>
      <c r="H265" t="n">
        <v>0</v>
      </c>
      <c r="I265" t="n">
        <v>0</v>
      </c>
      <c r="J265" t="n">
        <v>0</v>
      </c>
      <c r="K265" t="n">
        <v>0</v>
      </c>
      <c r="L265" t="n">
        <v>0</v>
      </c>
      <c r="M265" t="n">
        <v>0</v>
      </c>
      <c r="N265" t="n">
        <v>0</v>
      </c>
      <c r="O265" t="n">
        <v>0</v>
      </c>
      <c r="P265" t="n">
        <v>0</v>
      </c>
      <c r="Q265" t="n">
        <v>0</v>
      </c>
      <c r="R265" s="2" t="inlineStr"/>
    </row>
    <row r="266" ht="15" customHeight="1">
      <c r="A266" t="inlineStr">
        <is>
          <t>A 50087-2021</t>
        </is>
      </c>
      <c r="B266" s="1" t="n">
        <v>44456</v>
      </c>
      <c r="C266" s="1" t="n">
        <v>45566</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50468-2021</t>
        </is>
      </c>
      <c r="B267" s="1" t="n">
        <v>44459</v>
      </c>
      <c r="C267" s="1" t="n">
        <v>45566</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50632-2021</t>
        </is>
      </c>
      <c r="B268" s="1" t="n">
        <v>44459</v>
      </c>
      <c r="C268" s="1" t="n">
        <v>45566</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52436-2021</t>
        </is>
      </c>
      <c r="B269" s="1" t="n">
        <v>44463</v>
      </c>
      <c r="C269" s="1" t="n">
        <v>45566</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52444-2021</t>
        </is>
      </c>
      <c r="B270" s="1" t="n">
        <v>44463</v>
      </c>
      <c r="C270" s="1" t="n">
        <v>45566</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54879-2021</t>
        </is>
      </c>
      <c r="B271" s="1" t="n">
        <v>44473</v>
      </c>
      <c r="C271" s="1" t="n">
        <v>45566</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56057-2021</t>
        </is>
      </c>
      <c r="B272" s="1" t="n">
        <v>44477</v>
      </c>
      <c r="C272" s="1" t="n">
        <v>45566</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56066-2021</t>
        </is>
      </c>
      <c r="B273" s="1" t="n">
        <v>44477</v>
      </c>
      <c r="C273" s="1" t="n">
        <v>45566</v>
      </c>
      <c r="D273" t="inlineStr">
        <is>
          <t>NORRBOTTENS LÄN</t>
        </is>
      </c>
      <c r="E273" t="inlineStr">
        <is>
          <t>LULEÅ</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56073-2021</t>
        </is>
      </c>
      <c r="B274" s="1" t="n">
        <v>44477</v>
      </c>
      <c r="C274" s="1" t="n">
        <v>45566</v>
      </c>
      <c r="D274" t="inlineStr">
        <is>
          <t>NORRBOTTENS LÄN</t>
        </is>
      </c>
      <c r="E274" t="inlineStr">
        <is>
          <t>LULEÅ</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45566</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56465-2021</t>
        </is>
      </c>
      <c r="B276" s="1" t="n">
        <v>44480</v>
      </c>
      <c r="C276" s="1" t="n">
        <v>45566</v>
      </c>
      <c r="D276" t="inlineStr">
        <is>
          <t>NORRBOTTENS LÄN</t>
        </is>
      </c>
      <c r="E276" t="inlineStr">
        <is>
          <t>LULEÅ</t>
        </is>
      </c>
      <c r="G276" t="n">
        <v>6.6</v>
      </c>
      <c r="H276" t="n">
        <v>0</v>
      </c>
      <c r="I276" t="n">
        <v>0</v>
      </c>
      <c r="J276" t="n">
        <v>0</v>
      </c>
      <c r="K276" t="n">
        <v>0</v>
      </c>
      <c r="L276" t="n">
        <v>0</v>
      </c>
      <c r="M276" t="n">
        <v>0</v>
      </c>
      <c r="N276" t="n">
        <v>0</v>
      </c>
      <c r="O276" t="n">
        <v>0</v>
      </c>
      <c r="P276" t="n">
        <v>0</v>
      </c>
      <c r="Q276" t="n">
        <v>0</v>
      </c>
      <c r="R276" s="2" t="inlineStr"/>
    </row>
    <row r="277" ht="15" customHeight="1">
      <c r="A277" t="inlineStr">
        <is>
          <t>A 56781-2021</t>
        </is>
      </c>
      <c r="B277" s="1" t="n">
        <v>44481</v>
      </c>
      <c r="C277" s="1" t="n">
        <v>45566</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58981-2021</t>
        </is>
      </c>
      <c r="B278" s="1" t="n">
        <v>44490</v>
      </c>
      <c r="C278" s="1" t="n">
        <v>45566</v>
      </c>
      <c r="D278" t="inlineStr">
        <is>
          <t>NORRBOTTENS LÄN</t>
        </is>
      </c>
      <c r="E278" t="inlineStr">
        <is>
          <t>LULEÅ</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59122-2021</t>
        </is>
      </c>
      <c r="B279" s="1" t="n">
        <v>44490</v>
      </c>
      <c r="C279" s="1" t="n">
        <v>45566</v>
      </c>
      <c r="D279" t="inlineStr">
        <is>
          <t>NORRBOTTENS LÄN</t>
        </is>
      </c>
      <c r="E279" t="inlineStr">
        <is>
          <t>LULEÅ</t>
        </is>
      </c>
      <c r="F279" t="inlineStr">
        <is>
          <t>Kommuner</t>
        </is>
      </c>
      <c r="G279" t="n">
        <v>4</v>
      </c>
      <c r="H279" t="n">
        <v>0</v>
      </c>
      <c r="I279" t="n">
        <v>0</v>
      </c>
      <c r="J279" t="n">
        <v>0</v>
      </c>
      <c r="K279" t="n">
        <v>0</v>
      </c>
      <c r="L279" t="n">
        <v>0</v>
      </c>
      <c r="M279" t="n">
        <v>0</v>
      </c>
      <c r="N279" t="n">
        <v>0</v>
      </c>
      <c r="O279" t="n">
        <v>0</v>
      </c>
      <c r="P279" t="n">
        <v>0</v>
      </c>
      <c r="Q279" t="n">
        <v>0</v>
      </c>
      <c r="R279" s="2" t="inlineStr"/>
    </row>
    <row r="280" ht="15" customHeight="1">
      <c r="A280" t="inlineStr">
        <is>
          <t>A 59115-2021</t>
        </is>
      </c>
      <c r="B280" s="1" t="n">
        <v>44490</v>
      </c>
      <c r="C280" s="1" t="n">
        <v>45566</v>
      </c>
      <c r="D280" t="inlineStr">
        <is>
          <t>NORRBOTTENS LÄN</t>
        </is>
      </c>
      <c r="E280" t="inlineStr">
        <is>
          <t>LULEÅ</t>
        </is>
      </c>
      <c r="F280" t="inlineStr">
        <is>
          <t>Kommuner</t>
        </is>
      </c>
      <c r="G280" t="n">
        <v>2.4</v>
      </c>
      <c r="H280" t="n">
        <v>0</v>
      </c>
      <c r="I280" t="n">
        <v>0</v>
      </c>
      <c r="J280" t="n">
        <v>0</v>
      </c>
      <c r="K280" t="n">
        <v>0</v>
      </c>
      <c r="L280" t="n">
        <v>0</v>
      </c>
      <c r="M280" t="n">
        <v>0</v>
      </c>
      <c r="N280" t="n">
        <v>0</v>
      </c>
      <c r="O280" t="n">
        <v>0</v>
      </c>
      <c r="P280" t="n">
        <v>0</v>
      </c>
      <c r="Q280" t="n">
        <v>0</v>
      </c>
      <c r="R280" s="2" t="inlineStr"/>
    </row>
    <row r="281" ht="15" customHeight="1">
      <c r="A281" t="inlineStr">
        <is>
          <t>A 59552-2021</t>
        </is>
      </c>
      <c r="B281" s="1" t="n">
        <v>44491</v>
      </c>
      <c r="C281" s="1" t="n">
        <v>45566</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59558-2021</t>
        </is>
      </c>
      <c r="B282" s="1" t="n">
        <v>44491</v>
      </c>
      <c r="C282" s="1" t="n">
        <v>45566</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59568-2021</t>
        </is>
      </c>
      <c r="B283" s="1" t="n">
        <v>44491</v>
      </c>
      <c r="C283" s="1" t="n">
        <v>45566</v>
      </c>
      <c r="D283" t="inlineStr">
        <is>
          <t>NORRBOTTENS LÄN</t>
        </is>
      </c>
      <c r="E283" t="inlineStr">
        <is>
          <t>LULEÅ</t>
        </is>
      </c>
      <c r="G283" t="n">
        <v>0.2</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45566</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62048-2021</t>
        </is>
      </c>
      <c r="B285" s="1" t="n">
        <v>44501</v>
      </c>
      <c r="C285" s="1" t="n">
        <v>45566</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62050-2021</t>
        </is>
      </c>
      <c r="B286" s="1" t="n">
        <v>44501</v>
      </c>
      <c r="C286" s="1" t="n">
        <v>45566</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62732-2021</t>
        </is>
      </c>
      <c r="B287" s="1" t="n">
        <v>44503</v>
      </c>
      <c r="C287" s="1" t="n">
        <v>45566</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63150-2021</t>
        </is>
      </c>
      <c r="B288" s="1" t="n">
        <v>44505</v>
      </c>
      <c r="C288" s="1" t="n">
        <v>45566</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66225-2021</t>
        </is>
      </c>
      <c r="B289" s="1" t="n">
        <v>44517</v>
      </c>
      <c r="C289" s="1" t="n">
        <v>45566</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66702-2021</t>
        </is>
      </c>
      <c r="B290" s="1" t="n">
        <v>44519</v>
      </c>
      <c r="C290" s="1" t="n">
        <v>45566</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68307-2021</t>
        </is>
      </c>
      <c r="B291" s="1" t="n">
        <v>44526</v>
      </c>
      <c r="C291" s="1" t="n">
        <v>45566</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68808-2021</t>
        </is>
      </c>
      <c r="B292" s="1" t="n">
        <v>44529</v>
      </c>
      <c r="C292" s="1" t="n">
        <v>45566</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69895-2021</t>
        </is>
      </c>
      <c r="B293" s="1" t="n">
        <v>44532</v>
      </c>
      <c r="C293" s="1" t="n">
        <v>45566</v>
      </c>
      <c r="D293" t="inlineStr">
        <is>
          <t>NORRBOTTENS LÄN</t>
        </is>
      </c>
      <c r="E293" t="inlineStr">
        <is>
          <t>LULEÅ</t>
        </is>
      </c>
      <c r="G293" t="n">
        <v>3.2</v>
      </c>
      <c r="H293" t="n">
        <v>0</v>
      </c>
      <c r="I293" t="n">
        <v>0</v>
      </c>
      <c r="J293" t="n">
        <v>0</v>
      </c>
      <c r="K293" t="n">
        <v>0</v>
      </c>
      <c r="L293" t="n">
        <v>0</v>
      </c>
      <c r="M293" t="n">
        <v>0</v>
      </c>
      <c r="N293" t="n">
        <v>0</v>
      </c>
      <c r="O293" t="n">
        <v>0</v>
      </c>
      <c r="P293" t="n">
        <v>0</v>
      </c>
      <c r="Q293" t="n">
        <v>0</v>
      </c>
      <c r="R293" s="2" t="inlineStr"/>
    </row>
    <row r="294" ht="15" customHeight="1">
      <c r="A294" t="inlineStr">
        <is>
          <t>A 71909-2021</t>
        </is>
      </c>
      <c r="B294" s="1" t="n">
        <v>44543</v>
      </c>
      <c r="C294" s="1" t="n">
        <v>45566</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72555-2021</t>
        </is>
      </c>
      <c r="B295" s="1" t="n">
        <v>44546</v>
      </c>
      <c r="C295" s="1" t="n">
        <v>45566</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v>
      </c>
      <c r="C296" s="1" t="n">
        <v>45566</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72756-2021</t>
        </is>
      </c>
      <c r="B297" s="1" t="n">
        <v>44546</v>
      </c>
      <c r="C297" s="1" t="n">
        <v>45566</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72919-2021</t>
        </is>
      </c>
      <c r="B298" s="1" t="n">
        <v>44547</v>
      </c>
      <c r="C298" s="1" t="n">
        <v>45566</v>
      </c>
      <c r="D298" t="inlineStr">
        <is>
          <t>NORRBOTTENS LÄN</t>
        </is>
      </c>
      <c r="E298" t="inlineStr">
        <is>
          <t>LULEÅ</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73645-2021</t>
        </is>
      </c>
      <c r="B299" s="1" t="n">
        <v>44550</v>
      </c>
      <c r="C299" s="1" t="n">
        <v>45566</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73539-2021</t>
        </is>
      </c>
      <c r="B300" s="1" t="n">
        <v>44550</v>
      </c>
      <c r="C300" s="1" t="n">
        <v>45566</v>
      </c>
      <c r="D300" t="inlineStr">
        <is>
          <t>NORRBOTTENS LÄN</t>
        </is>
      </c>
      <c r="E300" t="inlineStr">
        <is>
          <t>LULEÅ</t>
        </is>
      </c>
      <c r="G300" t="n">
        <v>7.1</v>
      </c>
      <c r="H300" t="n">
        <v>0</v>
      </c>
      <c r="I300" t="n">
        <v>0</v>
      </c>
      <c r="J300" t="n">
        <v>0</v>
      </c>
      <c r="K300" t="n">
        <v>0</v>
      </c>
      <c r="L300" t="n">
        <v>0</v>
      </c>
      <c r="M300" t="n">
        <v>0</v>
      </c>
      <c r="N300" t="n">
        <v>0</v>
      </c>
      <c r="O300" t="n">
        <v>0</v>
      </c>
      <c r="P300" t="n">
        <v>0</v>
      </c>
      <c r="Q300" t="n">
        <v>0</v>
      </c>
      <c r="R300" s="2" t="inlineStr"/>
    </row>
    <row r="301" ht="15" customHeight="1">
      <c r="A301" t="inlineStr">
        <is>
          <t>A 73907-2021</t>
        </is>
      </c>
      <c r="B301" s="1" t="n">
        <v>44552</v>
      </c>
      <c r="C301" s="1" t="n">
        <v>45566</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73905-2021</t>
        </is>
      </c>
      <c r="B302" s="1" t="n">
        <v>44552</v>
      </c>
      <c r="C302" s="1" t="n">
        <v>45566</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74440-2021</t>
        </is>
      </c>
      <c r="B303" s="1" t="n">
        <v>44558</v>
      </c>
      <c r="C303" s="1" t="n">
        <v>45566</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74441-2021</t>
        </is>
      </c>
      <c r="B304" s="1" t="n">
        <v>44558</v>
      </c>
      <c r="C304" s="1" t="n">
        <v>45566</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74276-2021</t>
        </is>
      </c>
      <c r="B305" s="1" t="n">
        <v>44558</v>
      </c>
      <c r="C305" s="1" t="n">
        <v>45566</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74437-2021</t>
        </is>
      </c>
      <c r="B306" s="1" t="n">
        <v>44558</v>
      </c>
      <c r="C306" s="1" t="n">
        <v>45566</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74274-2021</t>
        </is>
      </c>
      <c r="B307" s="1" t="n">
        <v>44558</v>
      </c>
      <c r="C307" s="1" t="n">
        <v>45566</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74433-2021</t>
        </is>
      </c>
      <c r="B308" s="1" t="n">
        <v>44558</v>
      </c>
      <c r="C308" s="1" t="n">
        <v>45566</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74445-2021</t>
        </is>
      </c>
      <c r="B309" s="1" t="n">
        <v>44558</v>
      </c>
      <c r="C309" s="1" t="n">
        <v>45566</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434-2022</t>
        </is>
      </c>
      <c r="B310" s="1" t="n">
        <v>44565</v>
      </c>
      <c r="C310" s="1" t="n">
        <v>45566</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433-2022</t>
        </is>
      </c>
      <c r="B311" s="1" t="n">
        <v>44565</v>
      </c>
      <c r="C311" s="1" t="n">
        <v>45566</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432-2022</t>
        </is>
      </c>
      <c r="B312" s="1" t="n">
        <v>44565</v>
      </c>
      <c r="C312" s="1" t="n">
        <v>45566</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1336-2022</t>
        </is>
      </c>
      <c r="B313" s="1" t="n">
        <v>44572</v>
      </c>
      <c r="C313" s="1" t="n">
        <v>45566</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1857-2022</t>
        </is>
      </c>
      <c r="B314" s="1" t="n">
        <v>44574</v>
      </c>
      <c r="C314" s="1" t="n">
        <v>45566</v>
      </c>
      <c r="D314" t="inlineStr">
        <is>
          <t>NORRBOTTENS LÄN</t>
        </is>
      </c>
      <c r="E314" t="inlineStr">
        <is>
          <t>LULEÅ</t>
        </is>
      </c>
      <c r="G314" t="n">
        <v>16.8</v>
      </c>
      <c r="H314" t="n">
        <v>0</v>
      </c>
      <c r="I314" t="n">
        <v>0</v>
      </c>
      <c r="J314" t="n">
        <v>0</v>
      </c>
      <c r="K314" t="n">
        <v>0</v>
      </c>
      <c r="L314" t="n">
        <v>0</v>
      </c>
      <c r="M314" t="n">
        <v>0</v>
      </c>
      <c r="N314" t="n">
        <v>0</v>
      </c>
      <c r="O314" t="n">
        <v>0</v>
      </c>
      <c r="P314" t="n">
        <v>0</v>
      </c>
      <c r="Q314" t="n">
        <v>0</v>
      </c>
      <c r="R314" s="2" t="inlineStr"/>
    </row>
    <row r="315" ht="15" customHeight="1">
      <c r="A315" t="inlineStr">
        <is>
          <t>A 2339-2022</t>
        </is>
      </c>
      <c r="B315" s="1" t="n">
        <v>44578</v>
      </c>
      <c r="C315" s="1" t="n">
        <v>45566</v>
      </c>
      <c r="D315" t="inlineStr">
        <is>
          <t>NORRBOTTENS LÄN</t>
        </is>
      </c>
      <c r="E315" t="inlineStr">
        <is>
          <t>LULEÅ</t>
        </is>
      </c>
      <c r="G315" t="n">
        <v>6.8</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45566</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2748-2022</t>
        </is>
      </c>
      <c r="B317" s="1" t="n">
        <v>44580</v>
      </c>
      <c r="C317" s="1" t="n">
        <v>45566</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3536-2022</t>
        </is>
      </c>
      <c r="B318" s="1" t="n">
        <v>44585</v>
      </c>
      <c r="C318" s="1" t="n">
        <v>45566</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3843-2022</t>
        </is>
      </c>
      <c r="B319" s="1" t="n">
        <v>44586</v>
      </c>
      <c r="C319" s="1" t="n">
        <v>45566</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3951-2022</t>
        </is>
      </c>
      <c r="B320" s="1" t="n">
        <v>44587</v>
      </c>
      <c r="C320" s="1" t="n">
        <v>45566</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8472-2022</t>
        </is>
      </c>
      <c r="B321" s="1" t="n">
        <v>44610</v>
      </c>
      <c r="C321" s="1" t="n">
        <v>45566</v>
      </c>
      <c r="D321" t="inlineStr">
        <is>
          <t>NORRBOTTENS LÄN</t>
        </is>
      </c>
      <c r="E321" t="inlineStr">
        <is>
          <t>LULEÅ</t>
        </is>
      </c>
      <c r="G321" t="n">
        <v>5.1</v>
      </c>
      <c r="H321" t="n">
        <v>0</v>
      </c>
      <c r="I321" t="n">
        <v>0</v>
      </c>
      <c r="J321" t="n">
        <v>0</v>
      </c>
      <c r="K321" t="n">
        <v>0</v>
      </c>
      <c r="L321" t="n">
        <v>0</v>
      </c>
      <c r="M321" t="n">
        <v>0</v>
      </c>
      <c r="N321" t="n">
        <v>0</v>
      </c>
      <c r="O321" t="n">
        <v>0</v>
      </c>
      <c r="P321" t="n">
        <v>0</v>
      </c>
      <c r="Q321" t="n">
        <v>0</v>
      </c>
      <c r="R321" s="2" t="inlineStr"/>
    </row>
    <row r="322" ht="15" customHeight="1">
      <c r="A322" t="inlineStr">
        <is>
          <t>A 8390-2022</t>
        </is>
      </c>
      <c r="B322" s="1" t="n">
        <v>44610</v>
      </c>
      <c r="C322" s="1" t="n">
        <v>45566</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8521-2022</t>
        </is>
      </c>
      <c r="B323" s="1" t="n">
        <v>44610</v>
      </c>
      <c r="C323" s="1" t="n">
        <v>45566</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9580-2022</t>
        </is>
      </c>
      <c r="B324" s="1" t="n">
        <v>44617</v>
      </c>
      <c r="C324" s="1" t="n">
        <v>45566</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9582-2022</t>
        </is>
      </c>
      <c r="B325" s="1" t="n">
        <v>44617</v>
      </c>
      <c r="C325" s="1" t="n">
        <v>45566</v>
      </c>
      <c r="D325" t="inlineStr">
        <is>
          <t>NORRBOTTENS LÄN</t>
        </is>
      </c>
      <c r="E325" t="inlineStr">
        <is>
          <t>LULEÅ</t>
        </is>
      </c>
      <c r="G325" t="n">
        <v>2.9</v>
      </c>
      <c r="H325" t="n">
        <v>0</v>
      </c>
      <c r="I325" t="n">
        <v>0</v>
      </c>
      <c r="J325" t="n">
        <v>0</v>
      </c>
      <c r="K325" t="n">
        <v>0</v>
      </c>
      <c r="L325" t="n">
        <v>0</v>
      </c>
      <c r="M325" t="n">
        <v>0</v>
      </c>
      <c r="N325" t="n">
        <v>0</v>
      </c>
      <c r="O325" t="n">
        <v>0</v>
      </c>
      <c r="P325" t="n">
        <v>0</v>
      </c>
      <c r="Q325" t="n">
        <v>0</v>
      </c>
      <c r="R325" s="2" t="inlineStr"/>
    </row>
    <row r="326" ht="15" customHeight="1">
      <c r="A326" t="inlineStr">
        <is>
          <t>A 9706-2022</t>
        </is>
      </c>
      <c r="B326" s="1" t="n">
        <v>44617</v>
      </c>
      <c r="C326" s="1" t="n">
        <v>45566</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9929-2022</t>
        </is>
      </c>
      <c r="B327" s="1" t="n">
        <v>44620</v>
      </c>
      <c r="C327" s="1" t="n">
        <v>45566</v>
      </c>
      <c r="D327" t="inlineStr">
        <is>
          <t>NORRBOTTENS LÄN</t>
        </is>
      </c>
      <c r="E327" t="inlineStr">
        <is>
          <t>LULEÅ</t>
        </is>
      </c>
      <c r="G327" t="n">
        <v>1.2</v>
      </c>
      <c r="H327" t="n">
        <v>0</v>
      </c>
      <c r="I327" t="n">
        <v>0</v>
      </c>
      <c r="J327" t="n">
        <v>0</v>
      </c>
      <c r="K327" t="n">
        <v>0</v>
      </c>
      <c r="L327" t="n">
        <v>0</v>
      </c>
      <c r="M327" t="n">
        <v>0</v>
      </c>
      <c r="N327" t="n">
        <v>0</v>
      </c>
      <c r="O327" t="n">
        <v>0</v>
      </c>
      <c r="P327" t="n">
        <v>0</v>
      </c>
      <c r="Q327" t="n">
        <v>0</v>
      </c>
      <c r="R327" s="2" t="inlineStr"/>
    </row>
    <row r="328" ht="15" customHeight="1">
      <c r="A328" t="inlineStr">
        <is>
          <t>A 9930-2022</t>
        </is>
      </c>
      <c r="B328" s="1" t="n">
        <v>44620</v>
      </c>
      <c r="C328" s="1" t="n">
        <v>45566</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9932-2022</t>
        </is>
      </c>
      <c r="B329" s="1" t="n">
        <v>44620</v>
      </c>
      <c r="C329" s="1" t="n">
        <v>45566</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10303-2022</t>
        </is>
      </c>
      <c r="B330" s="1" t="n">
        <v>44622</v>
      </c>
      <c r="C330" s="1" t="n">
        <v>45566</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10304-2022</t>
        </is>
      </c>
      <c r="B331" s="1" t="n">
        <v>44622</v>
      </c>
      <c r="C331" s="1" t="n">
        <v>45566</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10195-2022</t>
        </is>
      </c>
      <c r="B332" s="1" t="n">
        <v>44622</v>
      </c>
      <c r="C332" s="1" t="n">
        <v>45566</v>
      </c>
      <c r="D332" t="inlineStr">
        <is>
          <t>NORRBOTTENS LÄN</t>
        </is>
      </c>
      <c r="E332" t="inlineStr">
        <is>
          <t>LULEÅ</t>
        </is>
      </c>
      <c r="G332" t="n">
        <v>33.4</v>
      </c>
      <c r="H332" t="n">
        <v>0</v>
      </c>
      <c r="I332" t="n">
        <v>0</v>
      </c>
      <c r="J332" t="n">
        <v>0</v>
      </c>
      <c r="K332" t="n">
        <v>0</v>
      </c>
      <c r="L332" t="n">
        <v>0</v>
      </c>
      <c r="M332" t="n">
        <v>0</v>
      </c>
      <c r="N332" t="n">
        <v>0</v>
      </c>
      <c r="O332" t="n">
        <v>0</v>
      </c>
      <c r="P332" t="n">
        <v>0</v>
      </c>
      <c r="Q332" t="n">
        <v>0</v>
      </c>
      <c r="R332" s="2" t="inlineStr"/>
    </row>
    <row r="333" ht="15" customHeight="1">
      <c r="A333" t="inlineStr">
        <is>
          <t>A 11793-2022</t>
        </is>
      </c>
      <c r="B333" s="1" t="n">
        <v>44634</v>
      </c>
      <c r="C333" s="1" t="n">
        <v>45566</v>
      </c>
      <c r="D333" t="inlineStr">
        <is>
          <t>NORRBOTTENS LÄN</t>
        </is>
      </c>
      <c r="E333" t="inlineStr">
        <is>
          <t>LULEÅ</t>
        </is>
      </c>
      <c r="G333" t="n">
        <v>5.3</v>
      </c>
      <c r="H333" t="n">
        <v>0</v>
      </c>
      <c r="I333" t="n">
        <v>0</v>
      </c>
      <c r="J333" t="n">
        <v>0</v>
      </c>
      <c r="K333" t="n">
        <v>0</v>
      </c>
      <c r="L333" t="n">
        <v>0</v>
      </c>
      <c r="M333" t="n">
        <v>0</v>
      </c>
      <c r="N333" t="n">
        <v>0</v>
      </c>
      <c r="O333" t="n">
        <v>0</v>
      </c>
      <c r="P333" t="n">
        <v>0</v>
      </c>
      <c r="Q333" t="n">
        <v>0</v>
      </c>
      <c r="R333" s="2" t="inlineStr"/>
    </row>
    <row r="334" ht="15" customHeight="1">
      <c r="A334" t="inlineStr">
        <is>
          <t>A 11833-2022</t>
        </is>
      </c>
      <c r="B334" s="1" t="n">
        <v>44634</v>
      </c>
      <c r="C334" s="1" t="n">
        <v>45566</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12010-2022</t>
        </is>
      </c>
      <c r="B335" s="1" t="n">
        <v>44635</v>
      </c>
      <c r="C335" s="1" t="n">
        <v>45566</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13095-2022</t>
        </is>
      </c>
      <c r="B336" s="1" t="n">
        <v>44643</v>
      </c>
      <c r="C336" s="1" t="n">
        <v>45566</v>
      </c>
      <c r="D336" t="inlineStr">
        <is>
          <t>NORRBOTTENS LÄN</t>
        </is>
      </c>
      <c r="E336" t="inlineStr">
        <is>
          <t>LULEÅ</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14561-2022</t>
        </is>
      </c>
      <c r="B337" s="1" t="n">
        <v>44655</v>
      </c>
      <c r="C337" s="1" t="n">
        <v>45566</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15047-2022</t>
        </is>
      </c>
      <c r="B338" s="1" t="n">
        <v>44657</v>
      </c>
      <c r="C338" s="1" t="n">
        <v>45566</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15194-2022</t>
        </is>
      </c>
      <c r="B339" s="1" t="n">
        <v>44658</v>
      </c>
      <c r="C339" s="1" t="n">
        <v>45566</v>
      </c>
      <c r="D339" t="inlineStr">
        <is>
          <t>NORRBOTTENS LÄN</t>
        </is>
      </c>
      <c r="E339" t="inlineStr">
        <is>
          <t>LULEÅ</t>
        </is>
      </c>
      <c r="G339" t="n">
        <v>26.9</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45566</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16793-2022</t>
        </is>
      </c>
      <c r="B341" s="1" t="n">
        <v>44673</v>
      </c>
      <c r="C341" s="1" t="n">
        <v>45566</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16987-2022</t>
        </is>
      </c>
      <c r="B342" s="1" t="n">
        <v>44676</v>
      </c>
      <c r="C342" s="1" t="n">
        <v>45566</v>
      </c>
      <c r="D342" t="inlineStr">
        <is>
          <t>NORRBOTTENS LÄN</t>
        </is>
      </c>
      <c r="E342" t="inlineStr">
        <is>
          <t>LULEÅ</t>
        </is>
      </c>
      <c r="G342" t="n">
        <v>29.9</v>
      </c>
      <c r="H342" t="n">
        <v>0</v>
      </c>
      <c r="I342" t="n">
        <v>0</v>
      </c>
      <c r="J342" t="n">
        <v>0</v>
      </c>
      <c r="K342" t="n">
        <v>0</v>
      </c>
      <c r="L342" t="n">
        <v>0</v>
      </c>
      <c r="M342" t="n">
        <v>0</v>
      </c>
      <c r="N342" t="n">
        <v>0</v>
      </c>
      <c r="O342" t="n">
        <v>0</v>
      </c>
      <c r="P342" t="n">
        <v>0</v>
      </c>
      <c r="Q342" t="n">
        <v>0</v>
      </c>
      <c r="R342" s="2" t="inlineStr"/>
    </row>
    <row r="343" ht="15" customHeight="1">
      <c r="A343" t="inlineStr">
        <is>
          <t>A 17548-2022</t>
        </is>
      </c>
      <c r="B343" s="1" t="n">
        <v>44679</v>
      </c>
      <c r="C343" s="1" t="n">
        <v>45566</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19392-2022</t>
        </is>
      </c>
      <c r="B344" s="1" t="n">
        <v>44693</v>
      </c>
      <c r="C344" s="1" t="n">
        <v>45566</v>
      </c>
      <c r="D344" t="inlineStr">
        <is>
          <t>NORRBOTTENS LÄN</t>
        </is>
      </c>
      <c r="E344" t="inlineStr">
        <is>
          <t>LULEÅ</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19391-2022</t>
        </is>
      </c>
      <c r="B345" s="1" t="n">
        <v>44693</v>
      </c>
      <c r="C345" s="1" t="n">
        <v>45566</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19790-2022</t>
        </is>
      </c>
      <c r="B346" s="1" t="n">
        <v>44695</v>
      </c>
      <c r="C346" s="1" t="n">
        <v>45566</v>
      </c>
      <c r="D346" t="inlineStr">
        <is>
          <t>NORRBOTTENS LÄN</t>
        </is>
      </c>
      <c r="E346" t="inlineStr">
        <is>
          <t>LULEÅ</t>
        </is>
      </c>
      <c r="G346" t="n">
        <v>6.1</v>
      </c>
      <c r="H346" t="n">
        <v>0</v>
      </c>
      <c r="I346" t="n">
        <v>0</v>
      </c>
      <c r="J346" t="n">
        <v>0</v>
      </c>
      <c r="K346" t="n">
        <v>0</v>
      </c>
      <c r="L346" t="n">
        <v>0</v>
      </c>
      <c r="M346" t="n">
        <v>0</v>
      </c>
      <c r="N346" t="n">
        <v>0</v>
      </c>
      <c r="O346" t="n">
        <v>0</v>
      </c>
      <c r="P346" t="n">
        <v>0</v>
      </c>
      <c r="Q346" t="n">
        <v>0</v>
      </c>
      <c r="R346" s="2" t="inlineStr"/>
    </row>
    <row r="347" ht="15" customHeight="1">
      <c r="A347" t="inlineStr">
        <is>
          <t>A 19791-2022</t>
        </is>
      </c>
      <c r="B347" s="1" t="n">
        <v>44695</v>
      </c>
      <c r="C347" s="1" t="n">
        <v>45566</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22784-2022</t>
        </is>
      </c>
      <c r="B348" s="1" t="n">
        <v>44714</v>
      </c>
      <c r="C348" s="1" t="n">
        <v>45566</v>
      </c>
      <c r="D348" t="inlineStr">
        <is>
          <t>NORRBOTTENS LÄN</t>
        </is>
      </c>
      <c r="E348" t="inlineStr">
        <is>
          <t>LULEÅ</t>
        </is>
      </c>
      <c r="F348" t="inlineStr">
        <is>
          <t>SCA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23166-2022</t>
        </is>
      </c>
      <c r="B349" s="1" t="n">
        <v>44720</v>
      </c>
      <c r="C349" s="1" t="n">
        <v>45566</v>
      </c>
      <c r="D349" t="inlineStr">
        <is>
          <t>NORRBOTTENS LÄN</t>
        </is>
      </c>
      <c r="E349" t="inlineStr">
        <is>
          <t>LULEÅ</t>
        </is>
      </c>
      <c r="G349" t="n">
        <v>5.7</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v>
      </c>
      <c r="C350" s="1" t="n">
        <v>45566</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24995-2022</t>
        </is>
      </c>
      <c r="B351" s="1" t="n">
        <v>44729</v>
      </c>
      <c r="C351" s="1" t="n">
        <v>45566</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26267-2022</t>
        </is>
      </c>
      <c r="B352" s="1" t="n">
        <v>44735</v>
      </c>
      <c r="C352" s="1" t="n">
        <v>45566</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27108-2022</t>
        </is>
      </c>
      <c r="B353" s="1" t="n">
        <v>44741</v>
      </c>
      <c r="C353" s="1" t="n">
        <v>45566</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27305-2022</t>
        </is>
      </c>
      <c r="B354" s="1" t="n">
        <v>44741</v>
      </c>
      <c r="C354" s="1" t="n">
        <v>45566</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27303-2022</t>
        </is>
      </c>
      <c r="B355" s="1" t="n">
        <v>44741</v>
      </c>
      <c r="C355" s="1" t="n">
        <v>45566</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28274-2022</t>
        </is>
      </c>
      <c r="B356" s="1" t="n">
        <v>44747</v>
      </c>
      <c r="C356" s="1" t="n">
        <v>45566</v>
      </c>
      <c r="D356" t="inlineStr">
        <is>
          <t>NORRBOTTENS LÄN</t>
        </is>
      </c>
      <c r="E356" t="inlineStr">
        <is>
          <t>LULEÅ</t>
        </is>
      </c>
      <c r="G356" t="n">
        <v>6.4</v>
      </c>
      <c r="H356" t="n">
        <v>0</v>
      </c>
      <c r="I356" t="n">
        <v>0</v>
      </c>
      <c r="J356" t="n">
        <v>0</v>
      </c>
      <c r="K356" t="n">
        <v>0</v>
      </c>
      <c r="L356" t="n">
        <v>0</v>
      </c>
      <c r="M356" t="n">
        <v>0</v>
      </c>
      <c r="N356" t="n">
        <v>0</v>
      </c>
      <c r="O356" t="n">
        <v>0</v>
      </c>
      <c r="P356" t="n">
        <v>0</v>
      </c>
      <c r="Q356" t="n">
        <v>0</v>
      </c>
      <c r="R356" s="2" t="inlineStr"/>
    </row>
    <row r="357" ht="15" customHeight="1">
      <c r="A357" t="inlineStr">
        <is>
          <t>A 28276-2022</t>
        </is>
      </c>
      <c r="B357" s="1" t="n">
        <v>44746</v>
      </c>
      <c r="C357" s="1" t="n">
        <v>45566</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28272-2022</t>
        </is>
      </c>
      <c r="B358" s="1" t="n">
        <v>44747</v>
      </c>
      <c r="C358" s="1" t="n">
        <v>45566</v>
      </c>
      <c r="D358" t="inlineStr">
        <is>
          <t>NORRBOTTENS LÄN</t>
        </is>
      </c>
      <c r="E358" t="inlineStr">
        <is>
          <t>LULEÅ</t>
        </is>
      </c>
      <c r="G358" t="n">
        <v>7.9</v>
      </c>
      <c r="H358" t="n">
        <v>0</v>
      </c>
      <c r="I358" t="n">
        <v>0</v>
      </c>
      <c r="J358" t="n">
        <v>0</v>
      </c>
      <c r="K358" t="n">
        <v>0</v>
      </c>
      <c r="L358" t="n">
        <v>0</v>
      </c>
      <c r="M358" t="n">
        <v>0</v>
      </c>
      <c r="N358" t="n">
        <v>0</v>
      </c>
      <c r="O358" t="n">
        <v>0</v>
      </c>
      <c r="P358" t="n">
        <v>0</v>
      </c>
      <c r="Q358" t="n">
        <v>0</v>
      </c>
      <c r="R358" s="2" t="inlineStr"/>
    </row>
    <row r="359" ht="15" customHeight="1">
      <c r="A359" t="inlineStr">
        <is>
          <t>A 28273-2022</t>
        </is>
      </c>
      <c r="B359" s="1" t="n">
        <v>44747</v>
      </c>
      <c r="C359" s="1" t="n">
        <v>45566</v>
      </c>
      <c r="D359" t="inlineStr">
        <is>
          <t>NORRBOTTENS LÄN</t>
        </is>
      </c>
      <c r="E359" t="inlineStr">
        <is>
          <t>LULEÅ</t>
        </is>
      </c>
      <c r="G359" t="n">
        <v>7.8</v>
      </c>
      <c r="H359" t="n">
        <v>0</v>
      </c>
      <c r="I359" t="n">
        <v>0</v>
      </c>
      <c r="J359" t="n">
        <v>0</v>
      </c>
      <c r="K359" t="n">
        <v>0</v>
      </c>
      <c r="L359" t="n">
        <v>0</v>
      </c>
      <c r="M359" t="n">
        <v>0</v>
      </c>
      <c r="N359" t="n">
        <v>0</v>
      </c>
      <c r="O359" t="n">
        <v>0</v>
      </c>
      <c r="P359" t="n">
        <v>0</v>
      </c>
      <c r="Q359" t="n">
        <v>0</v>
      </c>
      <c r="R359" s="2" t="inlineStr"/>
    </row>
    <row r="360" ht="15" customHeight="1">
      <c r="A360" t="inlineStr">
        <is>
          <t>A 28275-2022</t>
        </is>
      </c>
      <c r="B360" s="1" t="n">
        <v>44746</v>
      </c>
      <c r="C360" s="1" t="n">
        <v>45566</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30521-2022</t>
        </is>
      </c>
      <c r="B361" s="1" t="n">
        <v>44762</v>
      </c>
      <c r="C361" s="1" t="n">
        <v>45566</v>
      </c>
      <c r="D361" t="inlineStr">
        <is>
          <t>NORRBOTTENS LÄN</t>
        </is>
      </c>
      <c r="E361" t="inlineStr">
        <is>
          <t>LULEÅ</t>
        </is>
      </c>
      <c r="G361" t="n">
        <v>3.6</v>
      </c>
      <c r="H361" t="n">
        <v>0</v>
      </c>
      <c r="I361" t="n">
        <v>0</v>
      </c>
      <c r="J361" t="n">
        <v>0</v>
      </c>
      <c r="K361" t="n">
        <v>0</v>
      </c>
      <c r="L361" t="n">
        <v>0</v>
      </c>
      <c r="M361" t="n">
        <v>0</v>
      </c>
      <c r="N361" t="n">
        <v>0</v>
      </c>
      <c r="O361" t="n">
        <v>0</v>
      </c>
      <c r="P361" t="n">
        <v>0</v>
      </c>
      <c r="Q361" t="n">
        <v>0</v>
      </c>
      <c r="R361" s="2" t="inlineStr"/>
    </row>
    <row r="362" ht="15" customHeight="1">
      <c r="A362" t="inlineStr">
        <is>
          <t>A 32108-2022</t>
        </is>
      </c>
      <c r="B362" s="1" t="n">
        <v>44779</v>
      </c>
      <c r="C362" s="1" t="n">
        <v>45566</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32110-2022</t>
        </is>
      </c>
      <c r="B363" s="1" t="n">
        <v>44779</v>
      </c>
      <c r="C363" s="1" t="n">
        <v>45566</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32653-2022</t>
        </is>
      </c>
      <c r="B364" s="1" t="n">
        <v>44783</v>
      </c>
      <c r="C364" s="1" t="n">
        <v>45566</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33594-2022</t>
        </is>
      </c>
      <c r="B365" s="1" t="n">
        <v>44789</v>
      </c>
      <c r="C365" s="1" t="n">
        <v>45566</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33643-2022</t>
        </is>
      </c>
      <c r="B366" s="1" t="n">
        <v>44789</v>
      </c>
      <c r="C366" s="1" t="n">
        <v>45566</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34701-2022</t>
        </is>
      </c>
      <c r="B367" s="1" t="n">
        <v>44795</v>
      </c>
      <c r="C367" s="1" t="n">
        <v>45566</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35766-2022</t>
        </is>
      </c>
      <c r="B368" s="1" t="n">
        <v>44800</v>
      </c>
      <c r="C368" s="1" t="n">
        <v>45566</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45566</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40871-2022</t>
        </is>
      </c>
      <c r="B370" s="1" t="n">
        <v>44820</v>
      </c>
      <c r="C370" s="1" t="n">
        <v>45566</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45566</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44205-2022</t>
        </is>
      </c>
      <c r="B372" s="1" t="n">
        <v>44837</v>
      </c>
      <c r="C372" s="1" t="n">
        <v>45566</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44192-2022</t>
        </is>
      </c>
      <c r="B373" s="1" t="n">
        <v>44837</v>
      </c>
      <c r="C373" s="1" t="n">
        <v>45566</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44688-2022</t>
        </is>
      </c>
      <c r="B374" s="1" t="n">
        <v>44839</v>
      </c>
      <c r="C374" s="1" t="n">
        <v>45566</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44705-2022</t>
        </is>
      </c>
      <c r="B375" s="1" t="n">
        <v>44839</v>
      </c>
      <c r="C375" s="1" t="n">
        <v>45566</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44987-2022</t>
        </is>
      </c>
      <c r="B376" s="1" t="n">
        <v>44841</v>
      </c>
      <c r="C376" s="1" t="n">
        <v>45566</v>
      </c>
      <c r="D376" t="inlineStr">
        <is>
          <t>NORRBOTTENS LÄN</t>
        </is>
      </c>
      <c r="E376" t="inlineStr">
        <is>
          <t>LULEÅ</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46473-2022</t>
        </is>
      </c>
      <c r="B377" s="1" t="n">
        <v>44848</v>
      </c>
      <c r="C377" s="1" t="n">
        <v>45566</v>
      </c>
      <c r="D377" t="inlineStr">
        <is>
          <t>NORRBOTTENS LÄN</t>
        </is>
      </c>
      <c r="E377" t="inlineStr">
        <is>
          <t>LULEÅ</t>
        </is>
      </c>
      <c r="G377" t="n">
        <v>3.6</v>
      </c>
      <c r="H377" t="n">
        <v>0</v>
      </c>
      <c r="I377" t="n">
        <v>0</v>
      </c>
      <c r="J377" t="n">
        <v>0</v>
      </c>
      <c r="K377" t="n">
        <v>0</v>
      </c>
      <c r="L377" t="n">
        <v>0</v>
      </c>
      <c r="M377" t="n">
        <v>0</v>
      </c>
      <c r="N377" t="n">
        <v>0</v>
      </c>
      <c r="O377" t="n">
        <v>0</v>
      </c>
      <c r="P377" t="n">
        <v>0</v>
      </c>
      <c r="Q377" t="n">
        <v>0</v>
      </c>
      <c r="R377" s="2" t="inlineStr"/>
    </row>
    <row r="378" ht="15" customHeight="1">
      <c r="A378" t="inlineStr">
        <is>
          <t>A 47153-2022</t>
        </is>
      </c>
      <c r="B378" s="1" t="n">
        <v>44852</v>
      </c>
      <c r="C378" s="1" t="n">
        <v>45566</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47170-2022</t>
        </is>
      </c>
      <c r="B379" s="1" t="n">
        <v>44852</v>
      </c>
      <c r="C379" s="1" t="n">
        <v>45566</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47246-2022</t>
        </is>
      </c>
      <c r="B380" s="1" t="n">
        <v>44852</v>
      </c>
      <c r="C380" s="1" t="n">
        <v>45566</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47247-2022</t>
        </is>
      </c>
      <c r="B381" s="1" t="n">
        <v>44852</v>
      </c>
      <c r="C381" s="1" t="n">
        <v>45566</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48341-2022</t>
        </is>
      </c>
      <c r="B382" s="1" t="n">
        <v>44854</v>
      </c>
      <c r="C382" s="1" t="n">
        <v>45566</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48363-2022</t>
        </is>
      </c>
      <c r="B383" s="1" t="n">
        <v>44854</v>
      </c>
      <c r="C383" s="1" t="n">
        <v>45566</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48347-2022</t>
        </is>
      </c>
      <c r="B384" s="1" t="n">
        <v>44854</v>
      </c>
      <c r="C384" s="1" t="n">
        <v>45566</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48367-2022</t>
        </is>
      </c>
      <c r="B385" s="1" t="n">
        <v>44854</v>
      </c>
      <c r="C385" s="1" t="n">
        <v>45566</v>
      </c>
      <c r="D385" t="inlineStr">
        <is>
          <t>NORRBOTTENS LÄN</t>
        </is>
      </c>
      <c r="E385" t="inlineStr">
        <is>
          <t>LULEÅ</t>
        </is>
      </c>
      <c r="G385" t="n">
        <v>1.6</v>
      </c>
      <c r="H385" t="n">
        <v>0</v>
      </c>
      <c r="I385" t="n">
        <v>0</v>
      </c>
      <c r="J385" t="n">
        <v>0</v>
      </c>
      <c r="K385" t="n">
        <v>0</v>
      </c>
      <c r="L385" t="n">
        <v>0</v>
      </c>
      <c r="M385" t="n">
        <v>0</v>
      </c>
      <c r="N385" t="n">
        <v>0</v>
      </c>
      <c r="O385" t="n">
        <v>0</v>
      </c>
      <c r="P385" t="n">
        <v>0</v>
      </c>
      <c r="Q385" t="n">
        <v>0</v>
      </c>
      <c r="R385" s="2" t="inlineStr"/>
    </row>
    <row r="386" ht="15" customHeight="1">
      <c r="A386" t="inlineStr">
        <is>
          <t>A 48335-2022</t>
        </is>
      </c>
      <c r="B386" s="1" t="n">
        <v>44854</v>
      </c>
      <c r="C386" s="1" t="n">
        <v>45566</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48323-2022</t>
        </is>
      </c>
      <c r="B387" s="1" t="n">
        <v>44854</v>
      </c>
      <c r="C387" s="1" t="n">
        <v>45566</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48357-2022</t>
        </is>
      </c>
      <c r="B388" s="1" t="n">
        <v>44854</v>
      </c>
      <c r="C388" s="1" t="n">
        <v>45566</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48379-2022</t>
        </is>
      </c>
      <c r="B389" s="1" t="n">
        <v>44854</v>
      </c>
      <c r="C389" s="1" t="n">
        <v>45566</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49721-2022</t>
        </is>
      </c>
      <c r="B390" s="1" t="n">
        <v>44859</v>
      </c>
      <c r="C390" s="1" t="n">
        <v>45566</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49742-2022</t>
        </is>
      </c>
      <c r="B391" s="1" t="n">
        <v>44859</v>
      </c>
      <c r="C391" s="1" t="n">
        <v>45566</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49712-2022</t>
        </is>
      </c>
      <c r="B392" s="1" t="n">
        <v>44859</v>
      </c>
      <c r="C392" s="1" t="n">
        <v>45566</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49736-2022</t>
        </is>
      </c>
      <c r="B393" s="1" t="n">
        <v>44859</v>
      </c>
      <c r="C393" s="1" t="n">
        <v>45566</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49727-2022</t>
        </is>
      </c>
      <c r="B394" s="1" t="n">
        <v>44859</v>
      </c>
      <c r="C394" s="1" t="n">
        <v>45566</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49746-2022</t>
        </is>
      </c>
      <c r="B395" s="1" t="n">
        <v>44859</v>
      </c>
      <c r="C395" s="1" t="n">
        <v>45566</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49733-2022</t>
        </is>
      </c>
      <c r="B396" s="1" t="n">
        <v>44859</v>
      </c>
      <c r="C396" s="1" t="n">
        <v>45566</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49509-2022</t>
        </is>
      </c>
      <c r="B397" s="1" t="n">
        <v>44862</v>
      </c>
      <c r="C397" s="1" t="n">
        <v>45566</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49401-2022</t>
        </is>
      </c>
      <c r="B398" s="1" t="n">
        <v>44861</v>
      </c>
      <c r="C398" s="1" t="n">
        <v>45566</v>
      </c>
      <c r="D398" t="inlineStr">
        <is>
          <t>NORRBOTTENS LÄN</t>
        </is>
      </c>
      <c r="E398" t="inlineStr">
        <is>
          <t>LULEÅ</t>
        </is>
      </c>
      <c r="G398" t="n">
        <v>8.4</v>
      </c>
      <c r="H398" t="n">
        <v>0</v>
      </c>
      <c r="I398" t="n">
        <v>0</v>
      </c>
      <c r="J398" t="n">
        <v>0</v>
      </c>
      <c r="K398" t="n">
        <v>0</v>
      </c>
      <c r="L398" t="n">
        <v>0</v>
      </c>
      <c r="M398" t="n">
        <v>0</v>
      </c>
      <c r="N398" t="n">
        <v>0</v>
      </c>
      <c r="O398" t="n">
        <v>0</v>
      </c>
      <c r="P398" t="n">
        <v>0</v>
      </c>
      <c r="Q398" t="n">
        <v>0</v>
      </c>
      <c r="R398" s="2" t="inlineStr"/>
    </row>
    <row r="399" ht="15" customHeight="1">
      <c r="A399" t="inlineStr">
        <is>
          <t>A 50330-2022</t>
        </is>
      </c>
      <c r="B399" s="1" t="n">
        <v>44865</v>
      </c>
      <c r="C399" s="1" t="n">
        <v>45566</v>
      </c>
      <c r="D399" t="inlineStr">
        <is>
          <t>NORRBOTTENS LÄN</t>
        </is>
      </c>
      <c r="E399" t="inlineStr">
        <is>
          <t>LULEÅ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51668-2022</t>
        </is>
      </c>
      <c r="B400" s="1" t="n">
        <v>44867</v>
      </c>
      <c r="C400" s="1" t="n">
        <v>45566</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52164-2022</t>
        </is>
      </c>
      <c r="B401" s="1" t="n">
        <v>44868</v>
      </c>
      <c r="C401" s="1" t="n">
        <v>45566</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52191-2022</t>
        </is>
      </c>
      <c r="B402" s="1" t="n">
        <v>44868</v>
      </c>
      <c r="C402" s="1" t="n">
        <v>45566</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52190-2022</t>
        </is>
      </c>
      <c r="B403" s="1" t="n">
        <v>44868</v>
      </c>
      <c r="C403" s="1" t="n">
        <v>45566</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52168-2022</t>
        </is>
      </c>
      <c r="B404" s="1" t="n">
        <v>44868</v>
      </c>
      <c r="C404" s="1" t="n">
        <v>45566</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52185-2022</t>
        </is>
      </c>
      <c r="B405" s="1" t="n">
        <v>44868</v>
      </c>
      <c r="C405" s="1" t="n">
        <v>45566</v>
      </c>
      <c r="D405" t="inlineStr">
        <is>
          <t>NORRBOTTENS LÄN</t>
        </is>
      </c>
      <c r="E405" t="inlineStr">
        <is>
          <t>LULEÅ</t>
        </is>
      </c>
      <c r="G405" t="n">
        <v>3</v>
      </c>
      <c r="H405" t="n">
        <v>0</v>
      </c>
      <c r="I405" t="n">
        <v>0</v>
      </c>
      <c r="J405" t="n">
        <v>0</v>
      </c>
      <c r="K405" t="n">
        <v>0</v>
      </c>
      <c r="L405" t="n">
        <v>0</v>
      </c>
      <c r="M405" t="n">
        <v>0</v>
      </c>
      <c r="N405" t="n">
        <v>0</v>
      </c>
      <c r="O405" t="n">
        <v>0</v>
      </c>
      <c r="P405" t="n">
        <v>0</v>
      </c>
      <c r="Q405" t="n">
        <v>0</v>
      </c>
      <c r="R405" s="2" t="inlineStr"/>
    </row>
    <row r="406" ht="15" customHeight="1">
      <c r="A406" t="inlineStr">
        <is>
          <t>A 52205-2022</t>
        </is>
      </c>
      <c r="B406" s="1" t="n">
        <v>44868</v>
      </c>
      <c r="C406" s="1" t="n">
        <v>45566</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52188-2022</t>
        </is>
      </c>
      <c r="B407" s="1" t="n">
        <v>44868</v>
      </c>
      <c r="C407" s="1" t="n">
        <v>45566</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52216-2022</t>
        </is>
      </c>
      <c r="B408" s="1" t="n">
        <v>44869</v>
      </c>
      <c r="C408" s="1" t="n">
        <v>45566</v>
      </c>
      <c r="D408" t="inlineStr">
        <is>
          <t>NORRBOTTENS LÄN</t>
        </is>
      </c>
      <c r="E408" t="inlineStr">
        <is>
          <t>LULEÅ</t>
        </is>
      </c>
      <c r="G408" t="n">
        <v>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45566</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51964-2022</t>
        </is>
      </c>
      <c r="B410" s="1" t="n">
        <v>44872</v>
      </c>
      <c r="C410" s="1" t="n">
        <v>45566</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52594-2022</t>
        </is>
      </c>
      <c r="B411" s="1" t="n">
        <v>44874</v>
      </c>
      <c r="C411" s="1" t="n">
        <v>45566</v>
      </c>
      <c r="D411" t="inlineStr">
        <is>
          <t>NORRBOTTENS LÄN</t>
        </is>
      </c>
      <c r="E411" t="inlineStr">
        <is>
          <t>LULEÅ</t>
        </is>
      </c>
      <c r="F411" t="inlineStr">
        <is>
          <t>Kyrkan</t>
        </is>
      </c>
      <c r="G411" t="n">
        <v>6.2</v>
      </c>
      <c r="H411" t="n">
        <v>0</v>
      </c>
      <c r="I411" t="n">
        <v>0</v>
      </c>
      <c r="J411" t="n">
        <v>0</v>
      </c>
      <c r="K411" t="n">
        <v>0</v>
      </c>
      <c r="L411" t="n">
        <v>0</v>
      </c>
      <c r="M411" t="n">
        <v>0</v>
      </c>
      <c r="N411" t="n">
        <v>0</v>
      </c>
      <c r="O411" t="n">
        <v>0</v>
      </c>
      <c r="P411" t="n">
        <v>0</v>
      </c>
      <c r="Q411" t="n">
        <v>0</v>
      </c>
      <c r="R411" s="2" t="inlineStr"/>
    </row>
    <row r="412" ht="15" customHeight="1">
      <c r="A412" t="inlineStr">
        <is>
          <t>A 53444-2022</t>
        </is>
      </c>
      <c r="B412" s="1" t="n">
        <v>44874</v>
      </c>
      <c r="C412" s="1" t="n">
        <v>45566</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53185-2022</t>
        </is>
      </c>
      <c r="B413" s="1" t="n">
        <v>44876</v>
      </c>
      <c r="C413" s="1" t="n">
        <v>45566</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54580-2022</t>
        </is>
      </c>
      <c r="B414" s="1" t="n">
        <v>44882</v>
      </c>
      <c r="C414" s="1" t="n">
        <v>45566</v>
      </c>
      <c r="D414" t="inlineStr">
        <is>
          <t>NORRBOTTENS LÄN</t>
        </is>
      </c>
      <c r="E414" t="inlineStr">
        <is>
          <t>LULEÅ</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54824-2022</t>
        </is>
      </c>
      <c r="B415" s="1" t="n">
        <v>44883</v>
      </c>
      <c r="C415" s="1" t="n">
        <v>45566</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55770-2022</t>
        </is>
      </c>
      <c r="B416" s="1" t="n">
        <v>44886</v>
      </c>
      <c r="C416" s="1" t="n">
        <v>45566</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55195-2022</t>
        </is>
      </c>
      <c r="B417" s="1" t="n">
        <v>44886</v>
      </c>
      <c r="C417" s="1" t="n">
        <v>45566</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57619-2022</t>
        </is>
      </c>
      <c r="B418" s="1" t="n">
        <v>44890</v>
      </c>
      <c r="C418" s="1" t="n">
        <v>45566</v>
      </c>
      <c r="D418" t="inlineStr">
        <is>
          <t>NORRBOTTENS LÄN</t>
        </is>
      </c>
      <c r="E418" t="inlineStr">
        <is>
          <t>LULEÅ</t>
        </is>
      </c>
      <c r="G418" t="n">
        <v>1.9</v>
      </c>
      <c r="H418" t="n">
        <v>0</v>
      </c>
      <c r="I418" t="n">
        <v>0</v>
      </c>
      <c r="J418" t="n">
        <v>0</v>
      </c>
      <c r="K418" t="n">
        <v>0</v>
      </c>
      <c r="L418" t="n">
        <v>0</v>
      </c>
      <c r="M418" t="n">
        <v>0</v>
      </c>
      <c r="N418" t="n">
        <v>0</v>
      </c>
      <c r="O418" t="n">
        <v>0</v>
      </c>
      <c r="P418" t="n">
        <v>0</v>
      </c>
      <c r="Q418" t="n">
        <v>0</v>
      </c>
      <c r="R418" s="2" t="inlineStr"/>
    </row>
    <row r="419" ht="15" customHeight="1">
      <c r="A419" t="inlineStr">
        <is>
          <t>A 57764-2022</t>
        </is>
      </c>
      <c r="B419" s="1" t="n">
        <v>44890</v>
      </c>
      <c r="C419" s="1" t="n">
        <v>45566</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57264-2022</t>
        </is>
      </c>
      <c r="B420" s="1" t="n">
        <v>44895</v>
      </c>
      <c r="C420" s="1" t="n">
        <v>45566</v>
      </c>
      <c r="D420" t="inlineStr">
        <is>
          <t>NORRBOTTENS LÄN</t>
        </is>
      </c>
      <c r="E420" t="inlineStr">
        <is>
          <t>LULEÅ</t>
        </is>
      </c>
      <c r="G420" t="n">
        <v>8</v>
      </c>
      <c r="H420" t="n">
        <v>0</v>
      </c>
      <c r="I420" t="n">
        <v>0</v>
      </c>
      <c r="J420" t="n">
        <v>0</v>
      </c>
      <c r="K420" t="n">
        <v>0</v>
      </c>
      <c r="L420" t="n">
        <v>0</v>
      </c>
      <c r="M420" t="n">
        <v>0</v>
      </c>
      <c r="N420" t="n">
        <v>0</v>
      </c>
      <c r="O420" t="n">
        <v>0</v>
      </c>
      <c r="P420" t="n">
        <v>0</v>
      </c>
      <c r="Q420" t="n">
        <v>0</v>
      </c>
      <c r="R420" s="2" t="inlineStr"/>
    </row>
    <row r="421" ht="15" customHeight="1">
      <c r="A421" t="inlineStr">
        <is>
          <t>A 57816-2022</t>
        </is>
      </c>
      <c r="B421" s="1" t="n">
        <v>44897</v>
      </c>
      <c r="C421" s="1" t="n">
        <v>45566</v>
      </c>
      <c r="D421" t="inlineStr">
        <is>
          <t>NORRBOTTENS LÄN</t>
        </is>
      </c>
      <c r="E421" t="inlineStr">
        <is>
          <t>LULEÅ</t>
        </is>
      </c>
      <c r="G421" t="n">
        <v>3.4</v>
      </c>
      <c r="H421" t="n">
        <v>0</v>
      </c>
      <c r="I421" t="n">
        <v>0</v>
      </c>
      <c r="J421" t="n">
        <v>0</v>
      </c>
      <c r="K421" t="n">
        <v>0</v>
      </c>
      <c r="L421" t="n">
        <v>0</v>
      </c>
      <c r="M421" t="n">
        <v>0</v>
      </c>
      <c r="N421" t="n">
        <v>0</v>
      </c>
      <c r="O421" t="n">
        <v>0</v>
      </c>
      <c r="P421" t="n">
        <v>0</v>
      </c>
      <c r="Q421" t="n">
        <v>0</v>
      </c>
      <c r="R421" s="2" t="inlineStr"/>
    </row>
    <row r="422" ht="15" customHeight="1">
      <c r="A422" t="inlineStr">
        <is>
          <t>A 57822-2022</t>
        </is>
      </c>
      <c r="B422" s="1" t="n">
        <v>44897</v>
      </c>
      <c r="C422" s="1" t="n">
        <v>45566</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v>
      </c>
      <c r="C423" s="1" t="n">
        <v>45566</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57821-2022</t>
        </is>
      </c>
      <c r="B424" s="1" t="n">
        <v>44897</v>
      </c>
      <c r="C424" s="1" t="n">
        <v>45566</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45566</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57818-2022</t>
        </is>
      </c>
      <c r="B426" s="1" t="n">
        <v>44897</v>
      </c>
      <c r="C426" s="1" t="n">
        <v>45566</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57823-2022</t>
        </is>
      </c>
      <c r="B427" s="1" t="n">
        <v>44897</v>
      </c>
      <c r="C427" s="1" t="n">
        <v>45566</v>
      </c>
      <c r="D427" t="inlineStr">
        <is>
          <t>NORRBOTTENS LÄN</t>
        </is>
      </c>
      <c r="E427" t="inlineStr">
        <is>
          <t>LULEÅ</t>
        </is>
      </c>
      <c r="G427" t="n">
        <v>6.7</v>
      </c>
      <c r="H427" t="n">
        <v>0</v>
      </c>
      <c r="I427" t="n">
        <v>0</v>
      </c>
      <c r="J427" t="n">
        <v>0</v>
      </c>
      <c r="K427" t="n">
        <v>0</v>
      </c>
      <c r="L427" t="n">
        <v>0</v>
      </c>
      <c r="M427" t="n">
        <v>0</v>
      </c>
      <c r="N427" t="n">
        <v>0</v>
      </c>
      <c r="O427" t="n">
        <v>0</v>
      </c>
      <c r="P427" t="n">
        <v>0</v>
      </c>
      <c r="Q427" t="n">
        <v>0</v>
      </c>
      <c r="R427" s="2" t="inlineStr"/>
    </row>
    <row r="428" ht="15" customHeight="1">
      <c r="A428" t="inlineStr">
        <is>
          <t>A 57826-2022</t>
        </is>
      </c>
      <c r="B428" s="1" t="n">
        <v>44897</v>
      </c>
      <c r="C428" s="1" t="n">
        <v>45566</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57824-2022</t>
        </is>
      </c>
      <c r="B429" s="1" t="n">
        <v>44897</v>
      </c>
      <c r="C429" s="1" t="n">
        <v>45566</v>
      </c>
      <c r="D429" t="inlineStr">
        <is>
          <t>NORRBOTTENS LÄN</t>
        </is>
      </c>
      <c r="E429" t="inlineStr">
        <is>
          <t>LULEÅ</t>
        </is>
      </c>
      <c r="G429" t="n">
        <v>3.3</v>
      </c>
      <c r="H429" t="n">
        <v>0</v>
      </c>
      <c r="I429" t="n">
        <v>0</v>
      </c>
      <c r="J429" t="n">
        <v>0</v>
      </c>
      <c r="K429" t="n">
        <v>0</v>
      </c>
      <c r="L429" t="n">
        <v>0</v>
      </c>
      <c r="M429" t="n">
        <v>0</v>
      </c>
      <c r="N429" t="n">
        <v>0</v>
      </c>
      <c r="O429" t="n">
        <v>0</v>
      </c>
      <c r="P429" t="n">
        <v>0</v>
      </c>
      <c r="Q429" t="n">
        <v>0</v>
      </c>
      <c r="R429" s="2" t="inlineStr"/>
    </row>
    <row r="430" ht="15" customHeight="1">
      <c r="A430" t="inlineStr">
        <is>
          <t>A 58716-2022</t>
        </is>
      </c>
      <c r="B430" s="1" t="n">
        <v>44902</v>
      </c>
      <c r="C430" s="1" t="n">
        <v>45566</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59397-2022</t>
        </is>
      </c>
      <c r="B431" s="1" t="n">
        <v>44906</v>
      </c>
      <c r="C431" s="1" t="n">
        <v>45566</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59523-2022</t>
        </is>
      </c>
      <c r="B432" s="1" t="n">
        <v>44907</v>
      </c>
      <c r="C432" s="1" t="n">
        <v>45566</v>
      </c>
      <c r="D432" t="inlineStr">
        <is>
          <t>NORRBOTTENS LÄN</t>
        </is>
      </c>
      <c r="E432" t="inlineStr">
        <is>
          <t>LULEÅ</t>
        </is>
      </c>
      <c r="G432" t="n">
        <v>9.5</v>
      </c>
      <c r="H432" t="n">
        <v>0</v>
      </c>
      <c r="I432" t="n">
        <v>0</v>
      </c>
      <c r="J432" t="n">
        <v>0</v>
      </c>
      <c r="K432" t="n">
        <v>0</v>
      </c>
      <c r="L432" t="n">
        <v>0</v>
      </c>
      <c r="M432" t="n">
        <v>0</v>
      </c>
      <c r="N432" t="n">
        <v>0</v>
      </c>
      <c r="O432" t="n">
        <v>0</v>
      </c>
      <c r="P432" t="n">
        <v>0</v>
      </c>
      <c r="Q432" t="n">
        <v>0</v>
      </c>
      <c r="R432" s="2" t="inlineStr"/>
    </row>
    <row r="433" ht="15" customHeight="1">
      <c r="A433" t="inlineStr">
        <is>
          <t>A 59515-2022</t>
        </is>
      </c>
      <c r="B433" s="1" t="n">
        <v>44907</v>
      </c>
      <c r="C433" s="1" t="n">
        <v>45566</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61315-2022</t>
        </is>
      </c>
      <c r="B434" s="1" t="n">
        <v>44909</v>
      </c>
      <c r="C434" s="1" t="n">
        <v>45566</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61469-2022</t>
        </is>
      </c>
      <c r="B435" s="1" t="n">
        <v>44910</v>
      </c>
      <c r="C435" s="1" t="n">
        <v>45566</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61753-2022</t>
        </is>
      </c>
      <c r="B436" s="1" t="n">
        <v>44911</v>
      </c>
      <c r="C436" s="1" t="n">
        <v>45566</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62055-2022</t>
        </is>
      </c>
      <c r="B437" s="1" t="n">
        <v>44914</v>
      </c>
      <c r="C437" s="1" t="n">
        <v>45566</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62061-2022</t>
        </is>
      </c>
      <c r="B438" s="1" t="n">
        <v>44914</v>
      </c>
      <c r="C438" s="1" t="n">
        <v>45566</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62692-2022</t>
        </is>
      </c>
      <c r="B439" s="1" t="n">
        <v>44917</v>
      </c>
      <c r="C439" s="1" t="n">
        <v>45566</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62701-2022</t>
        </is>
      </c>
      <c r="B440" s="1" t="n">
        <v>44917</v>
      </c>
      <c r="C440" s="1" t="n">
        <v>45566</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62697-2022</t>
        </is>
      </c>
      <c r="B441" s="1" t="n">
        <v>44917</v>
      </c>
      <c r="C441" s="1" t="n">
        <v>45566</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62685-2022</t>
        </is>
      </c>
      <c r="B442" s="1" t="n">
        <v>44917</v>
      </c>
      <c r="C442" s="1" t="n">
        <v>45566</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62686-2022</t>
        </is>
      </c>
      <c r="B443" s="1" t="n">
        <v>44918</v>
      </c>
      <c r="C443" s="1" t="n">
        <v>45566</v>
      </c>
      <c r="D443" t="inlineStr">
        <is>
          <t>NORRBOTTENS LÄN</t>
        </is>
      </c>
      <c r="E443" t="inlineStr">
        <is>
          <t>LULEÅ</t>
        </is>
      </c>
      <c r="G443" t="n">
        <v>2.9</v>
      </c>
      <c r="H443" t="n">
        <v>0</v>
      </c>
      <c r="I443" t="n">
        <v>0</v>
      </c>
      <c r="J443" t="n">
        <v>0</v>
      </c>
      <c r="K443" t="n">
        <v>0</v>
      </c>
      <c r="L443" t="n">
        <v>0</v>
      </c>
      <c r="M443" t="n">
        <v>0</v>
      </c>
      <c r="N443" t="n">
        <v>0</v>
      </c>
      <c r="O443" t="n">
        <v>0</v>
      </c>
      <c r="P443" t="n">
        <v>0</v>
      </c>
      <c r="Q443" t="n">
        <v>0</v>
      </c>
      <c r="R443" s="2" t="inlineStr"/>
    </row>
    <row r="444" ht="15" customHeight="1">
      <c r="A444" t="inlineStr">
        <is>
          <t>A 2002-2023</t>
        </is>
      </c>
      <c r="B444" s="1" t="n">
        <v>44937</v>
      </c>
      <c r="C444" s="1" t="n">
        <v>45566</v>
      </c>
      <c r="D444" t="inlineStr">
        <is>
          <t>NORRBOTTENS LÄN</t>
        </is>
      </c>
      <c r="E444" t="inlineStr">
        <is>
          <t>LULEÅ</t>
        </is>
      </c>
      <c r="G444" t="n">
        <v>7.9</v>
      </c>
      <c r="H444" t="n">
        <v>0</v>
      </c>
      <c r="I444" t="n">
        <v>0</v>
      </c>
      <c r="J444" t="n">
        <v>0</v>
      </c>
      <c r="K444" t="n">
        <v>0</v>
      </c>
      <c r="L444" t="n">
        <v>0</v>
      </c>
      <c r="M444" t="n">
        <v>0</v>
      </c>
      <c r="N444" t="n">
        <v>0</v>
      </c>
      <c r="O444" t="n">
        <v>0</v>
      </c>
      <c r="P444" t="n">
        <v>0</v>
      </c>
      <c r="Q444" t="n">
        <v>0</v>
      </c>
      <c r="R444" s="2" t="inlineStr"/>
    </row>
    <row r="445" ht="15" customHeight="1">
      <c r="A445" t="inlineStr">
        <is>
          <t>A 2006-2023</t>
        </is>
      </c>
      <c r="B445" s="1" t="n">
        <v>44937</v>
      </c>
      <c r="C445" s="1" t="n">
        <v>45566</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2007-2023</t>
        </is>
      </c>
      <c r="B446" s="1" t="n">
        <v>44937</v>
      </c>
      <c r="C446" s="1" t="n">
        <v>45566</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45566</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3888-2023</t>
        </is>
      </c>
      <c r="B448" s="1" t="n">
        <v>44951</v>
      </c>
      <c r="C448" s="1" t="n">
        <v>45566</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4046-2023</t>
        </is>
      </c>
      <c r="B449" s="1" t="n">
        <v>44952</v>
      </c>
      <c r="C449" s="1" t="n">
        <v>45566</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4599-2023</t>
        </is>
      </c>
      <c r="B450" s="1" t="n">
        <v>44956</v>
      </c>
      <c r="C450" s="1" t="n">
        <v>45566</v>
      </c>
      <c r="D450" t="inlineStr">
        <is>
          <t>NORRBOTTENS LÄN</t>
        </is>
      </c>
      <c r="E450" t="inlineStr">
        <is>
          <t>LULEÅ</t>
        </is>
      </c>
      <c r="G450" t="n">
        <v>14.8</v>
      </c>
      <c r="H450" t="n">
        <v>0</v>
      </c>
      <c r="I450" t="n">
        <v>0</v>
      </c>
      <c r="J450" t="n">
        <v>0</v>
      </c>
      <c r="K450" t="n">
        <v>0</v>
      </c>
      <c r="L450" t="n">
        <v>0</v>
      </c>
      <c r="M450" t="n">
        <v>0</v>
      </c>
      <c r="N450" t="n">
        <v>0</v>
      </c>
      <c r="O450" t="n">
        <v>0</v>
      </c>
      <c r="P450" t="n">
        <v>0</v>
      </c>
      <c r="Q450" t="n">
        <v>0</v>
      </c>
      <c r="R450" s="2" t="inlineStr"/>
    </row>
    <row r="451" ht="15" customHeight="1">
      <c r="A451" t="inlineStr">
        <is>
          <t>A 5688-2023</t>
        </is>
      </c>
      <c r="B451" s="1" t="n">
        <v>44960</v>
      </c>
      <c r="C451" s="1" t="n">
        <v>45566</v>
      </c>
      <c r="D451" t="inlineStr">
        <is>
          <t>NORRBOTTENS LÄN</t>
        </is>
      </c>
      <c r="E451" t="inlineStr">
        <is>
          <t>LULEÅ</t>
        </is>
      </c>
      <c r="G451" t="n">
        <v>5.9</v>
      </c>
      <c r="H451" t="n">
        <v>0</v>
      </c>
      <c r="I451" t="n">
        <v>0</v>
      </c>
      <c r="J451" t="n">
        <v>0</v>
      </c>
      <c r="K451" t="n">
        <v>0</v>
      </c>
      <c r="L451" t="n">
        <v>0</v>
      </c>
      <c r="M451" t="n">
        <v>0</v>
      </c>
      <c r="N451" t="n">
        <v>0</v>
      </c>
      <c r="O451" t="n">
        <v>0</v>
      </c>
      <c r="P451" t="n">
        <v>0</v>
      </c>
      <c r="Q451" t="n">
        <v>0</v>
      </c>
      <c r="R451" s="2" t="inlineStr"/>
    </row>
    <row r="452" ht="15" customHeight="1">
      <c r="A452" t="inlineStr">
        <is>
          <t>A 6386-2023</t>
        </is>
      </c>
      <c r="B452" s="1" t="n">
        <v>44960</v>
      </c>
      <c r="C452" s="1" t="n">
        <v>45566</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45566</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6396-2023</t>
        </is>
      </c>
      <c r="B454" s="1" t="n">
        <v>44960</v>
      </c>
      <c r="C454" s="1" t="n">
        <v>45566</v>
      </c>
      <c r="D454" t="inlineStr">
        <is>
          <t>NORRBOTTENS LÄN</t>
        </is>
      </c>
      <c r="E454" t="inlineStr">
        <is>
          <t>LULEÅ</t>
        </is>
      </c>
      <c r="G454" t="n">
        <v>7.4</v>
      </c>
      <c r="H454" t="n">
        <v>0</v>
      </c>
      <c r="I454" t="n">
        <v>0</v>
      </c>
      <c r="J454" t="n">
        <v>0</v>
      </c>
      <c r="K454" t="n">
        <v>0</v>
      </c>
      <c r="L454" t="n">
        <v>0</v>
      </c>
      <c r="M454" t="n">
        <v>0</v>
      </c>
      <c r="N454" t="n">
        <v>0</v>
      </c>
      <c r="O454" t="n">
        <v>0</v>
      </c>
      <c r="P454" t="n">
        <v>0</v>
      </c>
      <c r="Q454" t="n">
        <v>0</v>
      </c>
      <c r="R454" s="2" t="inlineStr"/>
    </row>
    <row r="455" ht="15" customHeight="1">
      <c r="A455" t="inlineStr">
        <is>
          <t>A 6361-2023</t>
        </is>
      </c>
      <c r="B455" s="1" t="n">
        <v>44965</v>
      </c>
      <c r="C455" s="1" t="n">
        <v>45566</v>
      </c>
      <c r="D455" t="inlineStr">
        <is>
          <t>NORRBOTTENS LÄN</t>
        </is>
      </c>
      <c r="E455" t="inlineStr">
        <is>
          <t>LULEÅ</t>
        </is>
      </c>
      <c r="G455" t="n">
        <v>6.7</v>
      </c>
      <c r="H455" t="n">
        <v>0</v>
      </c>
      <c r="I455" t="n">
        <v>0</v>
      </c>
      <c r="J455" t="n">
        <v>0</v>
      </c>
      <c r="K455" t="n">
        <v>0</v>
      </c>
      <c r="L455" t="n">
        <v>0</v>
      </c>
      <c r="M455" t="n">
        <v>0</v>
      </c>
      <c r="N455" t="n">
        <v>0</v>
      </c>
      <c r="O455" t="n">
        <v>0</v>
      </c>
      <c r="P455" t="n">
        <v>0</v>
      </c>
      <c r="Q455" t="n">
        <v>0</v>
      </c>
      <c r="R455" s="2" t="inlineStr"/>
    </row>
    <row r="456" ht="15" customHeight="1">
      <c r="A456" t="inlineStr">
        <is>
          <t>A 7393-2023</t>
        </is>
      </c>
      <c r="B456" s="1" t="n">
        <v>44966</v>
      </c>
      <c r="C456" s="1" t="n">
        <v>45566</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7390-2023</t>
        </is>
      </c>
      <c r="B457" s="1" t="n">
        <v>44966</v>
      </c>
      <c r="C457" s="1" t="n">
        <v>45566</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7010-2023</t>
        </is>
      </c>
      <c r="B458" s="1" t="n">
        <v>44967</v>
      </c>
      <c r="C458" s="1" t="n">
        <v>45566</v>
      </c>
      <c r="D458" t="inlineStr">
        <is>
          <t>NORRBOTTENS LÄN</t>
        </is>
      </c>
      <c r="E458" t="inlineStr">
        <is>
          <t>LULEÅ</t>
        </is>
      </c>
      <c r="G458" t="n">
        <v>4.3</v>
      </c>
      <c r="H458" t="n">
        <v>0</v>
      </c>
      <c r="I458" t="n">
        <v>0</v>
      </c>
      <c r="J458" t="n">
        <v>0</v>
      </c>
      <c r="K458" t="n">
        <v>0</v>
      </c>
      <c r="L458" t="n">
        <v>0</v>
      </c>
      <c r="M458" t="n">
        <v>0</v>
      </c>
      <c r="N458" t="n">
        <v>0</v>
      </c>
      <c r="O458" t="n">
        <v>0</v>
      </c>
      <c r="P458" t="n">
        <v>0</v>
      </c>
      <c r="Q458" t="n">
        <v>0</v>
      </c>
      <c r="R458" s="2" t="inlineStr"/>
    </row>
    <row r="459" ht="15" customHeight="1">
      <c r="A459" t="inlineStr">
        <is>
          <t>A 8824-2023</t>
        </is>
      </c>
      <c r="B459" s="1" t="n">
        <v>44973</v>
      </c>
      <c r="C459" s="1" t="n">
        <v>45566</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8816-2023</t>
        </is>
      </c>
      <c r="B460" s="1" t="n">
        <v>44973</v>
      </c>
      <c r="C460" s="1" t="n">
        <v>45566</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8068-2023</t>
        </is>
      </c>
      <c r="B461" s="1" t="n">
        <v>44974</v>
      </c>
      <c r="C461" s="1" t="n">
        <v>45566</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9278-2023</t>
        </is>
      </c>
      <c r="B462" s="1" t="n">
        <v>44977</v>
      </c>
      <c r="C462" s="1" t="n">
        <v>45566</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9282-2023</t>
        </is>
      </c>
      <c r="B463" s="1" t="n">
        <v>44977</v>
      </c>
      <c r="C463" s="1" t="n">
        <v>45566</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45566</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9274-2023</t>
        </is>
      </c>
      <c r="B465" s="1" t="n">
        <v>44977</v>
      </c>
      <c r="C465" s="1" t="n">
        <v>45566</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9289-2023</t>
        </is>
      </c>
      <c r="B466" s="1" t="n">
        <v>44977</v>
      </c>
      <c r="C466" s="1" t="n">
        <v>45566</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10050-2023</t>
        </is>
      </c>
      <c r="B467" s="1" t="n">
        <v>44979</v>
      </c>
      <c r="C467" s="1" t="n">
        <v>45566</v>
      </c>
      <c r="D467" t="inlineStr">
        <is>
          <t>NORRBOTTENS LÄN</t>
        </is>
      </c>
      <c r="E467" t="inlineStr">
        <is>
          <t>LULEÅ</t>
        </is>
      </c>
      <c r="G467" t="n">
        <v>2.8</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45566</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45566</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10894-2023</t>
        </is>
      </c>
      <c r="B470" s="1" t="n">
        <v>44985</v>
      </c>
      <c r="C470" s="1" t="n">
        <v>45566</v>
      </c>
      <c r="D470" t="inlineStr">
        <is>
          <t>NORRBOTTENS LÄN</t>
        </is>
      </c>
      <c r="E470" t="inlineStr">
        <is>
          <t>LULEÅ</t>
        </is>
      </c>
      <c r="G470" t="n">
        <v>4</v>
      </c>
      <c r="H470" t="n">
        <v>0</v>
      </c>
      <c r="I470" t="n">
        <v>0</v>
      </c>
      <c r="J470" t="n">
        <v>0</v>
      </c>
      <c r="K470" t="n">
        <v>0</v>
      </c>
      <c r="L470" t="n">
        <v>0</v>
      </c>
      <c r="M470" t="n">
        <v>0</v>
      </c>
      <c r="N470" t="n">
        <v>0</v>
      </c>
      <c r="O470" t="n">
        <v>0</v>
      </c>
      <c r="P470" t="n">
        <v>0</v>
      </c>
      <c r="Q470" t="n">
        <v>0</v>
      </c>
      <c r="R470" s="2" t="inlineStr"/>
    </row>
    <row r="471" ht="15" customHeight="1">
      <c r="A471" t="inlineStr">
        <is>
          <t>A 10885-2023</t>
        </is>
      </c>
      <c r="B471" s="1" t="n">
        <v>44985</v>
      </c>
      <c r="C471" s="1" t="n">
        <v>45566</v>
      </c>
      <c r="D471" t="inlineStr">
        <is>
          <t>NORRBOTTENS LÄN</t>
        </is>
      </c>
      <c r="E471" t="inlineStr">
        <is>
          <t>LULEÅ</t>
        </is>
      </c>
      <c r="G471" t="n">
        <v>3.1</v>
      </c>
      <c r="H471" t="n">
        <v>0</v>
      </c>
      <c r="I471" t="n">
        <v>0</v>
      </c>
      <c r="J471" t="n">
        <v>0</v>
      </c>
      <c r="K471" t="n">
        <v>0</v>
      </c>
      <c r="L471" t="n">
        <v>0</v>
      </c>
      <c r="M471" t="n">
        <v>0</v>
      </c>
      <c r="N471" t="n">
        <v>0</v>
      </c>
      <c r="O471" t="n">
        <v>0</v>
      </c>
      <c r="P471" t="n">
        <v>0</v>
      </c>
      <c r="Q471" t="n">
        <v>0</v>
      </c>
      <c r="R471" s="2" t="inlineStr"/>
    </row>
    <row r="472" ht="15" customHeight="1">
      <c r="A472" t="inlineStr">
        <is>
          <t>A 11142-2023</t>
        </is>
      </c>
      <c r="B472" s="1" t="n">
        <v>44987</v>
      </c>
      <c r="C472" s="1" t="n">
        <v>45566</v>
      </c>
      <c r="D472" t="inlineStr">
        <is>
          <t>NORRBOTTENS LÄN</t>
        </is>
      </c>
      <c r="E472" t="inlineStr">
        <is>
          <t>LULEÅ</t>
        </is>
      </c>
      <c r="G472" t="n">
        <v>6.8</v>
      </c>
      <c r="H472" t="n">
        <v>0</v>
      </c>
      <c r="I472" t="n">
        <v>0</v>
      </c>
      <c r="J472" t="n">
        <v>0</v>
      </c>
      <c r="K472" t="n">
        <v>0</v>
      </c>
      <c r="L472" t="n">
        <v>0</v>
      </c>
      <c r="M472" t="n">
        <v>0</v>
      </c>
      <c r="N472" t="n">
        <v>0</v>
      </c>
      <c r="O472" t="n">
        <v>0</v>
      </c>
      <c r="P472" t="n">
        <v>0</v>
      </c>
      <c r="Q472" t="n">
        <v>0</v>
      </c>
      <c r="R472" s="2" t="inlineStr"/>
    </row>
    <row r="473" ht="15" customHeight="1">
      <c r="A473" t="inlineStr">
        <is>
          <t>A 11178-2023</t>
        </is>
      </c>
      <c r="B473" s="1" t="n">
        <v>44987</v>
      </c>
      <c r="C473" s="1" t="n">
        <v>45566</v>
      </c>
      <c r="D473" t="inlineStr">
        <is>
          <t>NORRBOTTENS LÄN</t>
        </is>
      </c>
      <c r="E473" t="inlineStr">
        <is>
          <t>LULEÅ</t>
        </is>
      </c>
      <c r="G473" t="n">
        <v>4.7</v>
      </c>
      <c r="H473" t="n">
        <v>0</v>
      </c>
      <c r="I473" t="n">
        <v>0</v>
      </c>
      <c r="J473" t="n">
        <v>0</v>
      </c>
      <c r="K473" t="n">
        <v>0</v>
      </c>
      <c r="L473" t="n">
        <v>0</v>
      </c>
      <c r="M473" t="n">
        <v>0</v>
      </c>
      <c r="N473" t="n">
        <v>0</v>
      </c>
      <c r="O473" t="n">
        <v>0</v>
      </c>
      <c r="P473" t="n">
        <v>0</v>
      </c>
      <c r="Q473" t="n">
        <v>0</v>
      </c>
      <c r="R473" s="2" t="inlineStr"/>
    </row>
    <row r="474" ht="15" customHeight="1">
      <c r="A474" t="inlineStr">
        <is>
          <t>A 11716-2023</t>
        </is>
      </c>
      <c r="B474" s="1" t="n">
        <v>44992</v>
      </c>
      <c r="C474" s="1" t="n">
        <v>45566</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11719-2023</t>
        </is>
      </c>
      <c r="B475" s="1" t="n">
        <v>44992</v>
      </c>
      <c r="C475" s="1" t="n">
        <v>45566</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11982-2023</t>
        </is>
      </c>
      <c r="B476" s="1" t="n">
        <v>44994</v>
      </c>
      <c r="C476" s="1" t="n">
        <v>45566</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12312-2023</t>
        </is>
      </c>
      <c r="B477" s="1" t="n">
        <v>44995</v>
      </c>
      <c r="C477" s="1" t="n">
        <v>45566</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12323-2023</t>
        </is>
      </c>
      <c r="B478" s="1" t="n">
        <v>44995</v>
      </c>
      <c r="C478" s="1" t="n">
        <v>45566</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12685-2023</t>
        </is>
      </c>
      <c r="B479" s="1" t="n">
        <v>44999</v>
      </c>
      <c r="C479" s="1" t="n">
        <v>45566</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12782-2023</t>
        </is>
      </c>
      <c r="B480" s="1" t="n">
        <v>45000</v>
      </c>
      <c r="C480" s="1" t="n">
        <v>45566</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12865-2023</t>
        </is>
      </c>
      <c r="B481" s="1" t="n">
        <v>45001</v>
      </c>
      <c r="C481" s="1" t="n">
        <v>45566</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13247-2023</t>
        </is>
      </c>
      <c r="B482" s="1" t="n">
        <v>45002</v>
      </c>
      <c r="C482" s="1" t="n">
        <v>45566</v>
      </c>
      <c r="D482" t="inlineStr">
        <is>
          <t>NORRBOTTENS LÄN</t>
        </is>
      </c>
      <c r="E482" t="inlineStr">
        <is>
          <t>LULEÅ</t>
        </is>
      </c>
      <c r="G482" t="n">
        <v>5.3</v>
      </c>
      <c r="H482" t="n">
        <v>0</v>
      </c>
      <c r="I482" t="n">
        <v>0</v>
      </c>
      <c r="J482" t="n">
        <v>0</v>
      </c>
      <c r="K482" t="n">
        <v>0</v>
      </c>
      <c r="L482" t="n">
        <v>0</v>
      </c>
      <c r="M482" t="n">
        <v>0</v>
      </c>
      <c r="N482" t="n">
        <v>0</v>
      </c>
      <c r="O482" t="n">
        <v>0</v>
      </c>
      <c r="P482" t="n">
        <v>0</v>
      </c>
      <c r="Q482" t="n">
        <v>0</v>
      </c>
      <c r="R482" s="2" t="inlineStr"/>
    </row>
    <row r="483" ht="15" customHeight="1">
      <c r="A483" t="inlineStr">
        <is>
          <t>A 14128-2023</t>
        </is>
      </c>
      <c r="B483" s="1" t="n">
        <v>45009</v>
      </c>
      <c r="C483" s="1" t="n">
        <v>45566</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14447-2023</t>
        </is>
      </c>
      <c r="B484" s="1" t="n">
        <v>45012</v>
      </c>
      <c r="C484" s="1" t="n">
        <v>45566</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14803-2023</t>
        </is>
      </c>
      <c r="B485" s="1" t="n">
        <v>45013</v>
      </c>
      <c r="C485" s="1" t="n">
        <v>45566</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15127-2023</t>
        </is>
      </c>
      <c r="B486" s="1" t="n">
        <v>45016</v>
      </c>
      <c r="C486" s="1" t="n">
        <v>45566</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16108-2023</t>
        </is>
      </c>
      <c r="B487" s="1" t="n">
        <v>45021</v>
      </c>
      <c r="C487" s="1" t="n">
        <v>45566</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17419-2023</t>
        </is>
      </c>
      <c r="B488" s="1" t="n">
        <v>45035</v>
      </c>
      <c r="C488" s="1" t="n">
        <v>45566</v>
      </c>
      <c r="D488" t="inlineStr">
        <is>
          <t>NORRBOTTENS LÄN</t>
        </is>
      </c>
      <c r="E488" t="inlineStr">
        <is>
          <t>LULEÅ</t>
        </is>
      </c>
      <c r="G488" t="n">
        <v>5.5</v>
      </c>
      <c r="H488" t="n">
        <v>0</v>
      </c>
      <c r="I488" t="n">
        <v>0</v>
      </c>
      <c r="J488" t="n">
        <v>0</v>
      </c>
      <c r="K488" t="n">
        <v>0</v>
      </c>
      <c r="L488" t="n">
        <v>0</v>
      </c>
      <c r="M488" t="n">
        <v>0</v>
      </c>
      <c r="N488" t="n">
        <v>0</v>
      </c>
      <c r="O488" t="n">
        <v>0</v>
      </c>
      <c r="P488" t="n">
        <v>0</v>
      </c>
      <c r="Q488" t="n">
        <v>0</v>
      </c>
      <c r="R488" s="2" t="inlineStr"/>
    </row>
    <row r="489" ht="15" customHeight="1">
      <c r="A489" t="inlineStr">
        <is>
          <t>A 17438-2023</t>
        </is>
      </c>
      <c r="B489" s="1" t="n">
        <v>45036</v>
      </c>
      <c r="C489" s="1" t="n">
        <v>45566</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17427-2023</t>
        </is>
      </c>
      <c r="B490" s="1" t="n">
        <v>45035</v>
      </c>
      <c r="C490" s="1" t="n">
        <v>45566</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17439-2023</t>
        </is>
      </c>
      <c r="B491" s="1" t="n">
        <v>45036</v>
      </c>
      <c r="C491" s="1" t="n">
        <v>45566</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17421-2023</t>
        </is>
      </c>
      <c r="B492" s="1" t="n">
        <v>45036</v>
      </c>
      <c r="C492" s="1" t="n">
        <v>45566</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17425-2023</t>
        </is>
      </c>
      <c r="B493" s="1" t="n">
        <v>45035</v>
      </c>
      <c r="C493" s="1" t="n">
        <v>45566</v>
      </c>
      <c r="D493" t="inlineStr">
        <is>
          <t>NORRBOTTENS LÄN</t>
        </is>
      </c>
      <c r="E493" t="inlineStr">
        <is>
          <t>LULEÅ</t>
        </is>
      </c>
      <c r="G493" t="n">
        <v>2.7</v>
      </c>
      <c r="H493" t="n">
        <v>0</v>
      </c>
      <c r="I493" t="n">
        <v>0</v>
      </c>
      <c r="J493" t="n">
        <v>0</v>
      </c>
      <c r="K493" t="n">
        <v>0</v>
      </c>
      <c r="L493" t="n">
        <v>0</v>
      </c>
      <c r="M493" t="n">
        <v>0</v>
      </c>
      <c r="N493" t="n">
        <v>0</v>
      </c>
      <c r="O493" t="n">
        <v>0</v>
      </c>
      <c r="P493" t="n">
        <v>0</v>
      </c>
      <c r="Q493" t="n">
        <v>0</v>
      </c>
      <c r="R493" s="2" t="inlineStr"/>
    </row>
    <row r="494" ht="15" customHeight="1">
      <c r="A494" t="inlineStr">
        <is>
          <t>A 18166-2023</t>
        </is>
      </c>
      <c r="B494" s="1" t="n">
        <v>45041</v>
      </c>
      <c r="C494" s="1" t="n">
        <v>45566</v>
      </c>
      <c r="D494" t="inlineStr">
        <is>
          <t>NORRBOTTENS LÄN</t>
        </is>
      </c>
      <c r="E494" t="inlineStr">
        <is>
          <t>LULEÅ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18208-2023</t>
        </is>
      </c>
      <c r="B495" s="1" t="n">
        <v>45040</v>
      </c>
      <c r="C495" s="1" t="n">
        <v>45566</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18754-2023</t>
        </is>
      </c>
      <c r="B496" s="1" t="n">
        <v>45043</v>
      </c>
      <c r="C496" s="1" t="n">
        <v>45566</v>
      </c>
      <c r="D496" t="inlineStr">
        <is>
          <t>NORRBOTTENS LÄN</t>
        </is>
      </c>
      <c r="E496" t="inlineStr">
        <is>
          <t>LULEÅ</t>
        </is>
      </c>
      <c r="G496" t="n">
        <v>7.4</v>
      </c>
      <c r="H496" t="n">
        <v>0</v>
      </c>
      <c r="I496" t="n">
        <v>0</v>
      </c>
      <c r="J496" t="n">
        <v>0</v>
      </c>
      <c r="K496" t="n">
        <v>0</v>
      </c>
      <c r="L496" t="n">
        <v>0</v>
      </c>
      <c r="M496" t="n">
        <v>0</v>
      </c>
      <c r="N496" t="n">
        <v>0</v>
      </c>
      <c r="O496" t="n">
        <v>0</v>
      </c>
      <c r="P496" t="n">
        <v>0</v>
      </c>
      <c r="Q496" t="n">
        <v>0</v>
      </c>
      <c r="R496" s="2" t="inlineStr"/>
    </row>
    <row r="497" ht="15" customHeight="1">
      <c r="A497" t="inlineStr">
        <is>
          <t>A 20063-2023</t>
        </is>
      </c>
      <c r="B497" s="1" t="n">
        <v>45054</v>
      </c>
      <c r="C497" s="1" t="n">
        <v>45566</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20340-2023</t>
        </is>
      </c>
      <c r="B498" s="1" t="n">
        <v>45054</v>
      </c>
      <c r="C498" s="1" t="n">
        <v>45566</v>
      </c>
      <c r="D498" t="inlineStr">
        <is>
          <t>NORRBOTTENS LÄN</t>
        </is>
      </c>
      <c r="E498" t="inlineStr">
        <is>
          <t>LULEÅ</t>
        </is>
      </c>
      <c r="G498" t="n">
        <v>65</v>
      </c>
      <c r="H498" t="n">
        <v>0</v>
      </c>
      <c r="I498" t="n">
        <v>0</v>
      </c>
      <c r="J498" t="n">
        <v>0</v>
      </c>
      <c r="K498" t="n">
        <v>0</v>
      </c>
      <c r="L498" t="n">
        <v>0</v>
      </c>
      <c r="M498" t="n">
        <v>0</v>
      </c>
      <c r="N498" t="n">
        <v>0</v>
      </c>
      <c r="O498" t="n">
        <v>0</v>
      </c>
      <c r="P498" t="n">
        <v>0</v>
      </c>
      <c r="Q498" t="n">
        <v>0</v>
      </c>
      <c r="R498" s="2" t="inlineStr"/>
    </row>
    <row r="499" ht="15" customHeight="1">
      <c r="A499" t="inlineStr">
        <is>
          <t>A 21226-2023</t>
        </is>
      </c>
      <c r="B499" s="1" t="n">
        <v>45058</v>
      </c>
      <c r="C499" s="1" t="n">
        <v>45566</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21891-2023</t>
        </is>
      </c>
      <c r="B500" s="1" t="n">
        <v>45068</v>
      </c>
      <c r="C500" s="1" t="n">
        <v>45566</v>
      </c>
      <c r="D500" t="inlineStr">
        <is>
          <t>NORRBOTTENS LÄN</t>
        </is>
      </c>
      <c r="E500" t="inlineStr">
        <is>
          <t>LULEÅ</t>
        </is>
      </c>
      <c r="G500" t="n">
        <v>4.2</v>
      </c>
      <c r="H500" t="n">
        <v>0</v>
      </c>
      <c r="I500" t="n">
        <v>0</v>
      </c>
      <c r="J500" t="n">
        <v>0</v>
      </c>
      <c r="K500" t="n">
        <v>0</v>
      </c>
      <c r="L500" t="n">
        <v>0</v>
      </c>
      <c r="M500" t="n">
        <v>0</v>
      </c>
      <c r="N500" t="n">
        <v>0</v>
      </c>
      <c r="O500" t="n">
        <v>0</v>
      </c>
      <c r="P500" t="n">
        <v>0</v>
      </c>
      <c r="Q500" t="n">
        <v>0</v>
      </c>
      <c r="R500" s="2" t="inlineStr"/>
    </row>
    <row r="501" ht="15" customHeight="1">
      <c r="A501" t="inlineStr">
        <is>
          <t>A 22982-2023</t>
        </is>
      </c>
      <c r="B501" s="1" t="n">
        <v>45072</v>
      </c>
      <c r="C501" s="1" t="n">
        <v>45566</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23801-2023</t>
        </is>
      </c>
      <c r="B502" s="1" t="n">
        <v>45075</v>
      </c>
      <c r="C502" s="1" t="n">
        <v>45566</v>
      </c>
      <c r="D502" t="inlineStr">
        <is>
          <t>NORRBOTTENS LÄN</t>
        </is>
      </c>
      <c r="E502" t="inlineStr">
        <is>
          <t>LULEÅ</t>
        </is>
      </c>
      <c r="G502" t="n">
        <v>26.1</v>
      </c>
      <c r="H502" t="n">
        <v>0</v>
      </c>
      <c r="I502" t="n">
        <v>0</v>
      </c>
      <c r="J502" t="n">
        <v>0</v>
      </c>
      <c r="K502" t="n">
        <v>0</v>
      </c>
      <c r="L502" t="n">
        <v>0</v>
      </c>
      <c r="M502" t="n">
        <v>0</v>
      </c>
      <c r="N502" t="n">
        <v>0</v>
      </c>
      <c r="O502" t="n">
        <v>0</v>
      </c>
      <c r="P502" t="n">
        <v>0</v>
      </c>
      <c r="Q502" t="n">
        <v>0</v>
      </c>
      <c r="R502" s="2" t="inlineStr"/>
    </row>
    <row r="503" ht="15" customHeight="1">
      <c r="A503" t="inlineStr">
        <is>
          <t>A 23835-2023</t>
        </is>
      </c>
      <c r="B503" s="1" t="n">
        <v>45075</v>
      </c>
      <c r="C503" s="1" t="n">
        <v>45566</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45566</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23830-2023</t>
        </is>
      </c>
      <c r="B505" s="1" t="n">
        <v>45075</v>
      </c>
      <c r="C505" s="1" t="n">
        <v>45566</v>
      </c>
      <c r="D505" t="inlineStr">
        <is>
          <t>NORRBOTTENS LÄN</t>
        </is>
      </c>
      <c r="E505" t="inlineStr">
        <is>
          <t>LULEÅ</t>
        </is>
      </c>
      <c r="G505" t="n">
        <v>4.1</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45566</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23730-2023</t>
        </is>
      </c>
      <c r="B507" s="1" t="n">
        <v>45077</v>
      </c>
      <c r="C507" s="1" t="n">
        <v>45566</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24168-2023</t>
        </is>
      </c>
      <c r="B508" s="1" t="n">
        <v>45079</v>
      </c>
      <c r="C508" s="1" t="n">
        <v>45566</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24166-2023</t>
        </is>
      </c>
      <c r="B509" s="1" t="n">
        <v>45079</v>
      </c>
      <c r="C509" s="1" t="n">
        <v>45566</v>
      </c>
      <c r="D509" t="inlineStr">
        <is>
          <t>NORRBOTTENS LÄN</t>
        </is>
      </c>
      <c r="E509" t="inlineStr">
        <is>
          <t>LULEÅ</t>
        </is>
      </c>
      <c r="G509" t="n">
        <v>4.6</v>
      </c>
      <c r="H509" t="n">
        <v>0</v>
      </c>
      <c r="I509" t="n">
        <v>0</v>
      </c>
      <c r="J509" t="n">
        <v>0</v>
      </c>
      <c r="K509" t="n">
        <v>0</v>
      </c>
      <c r="L509" t="n">
        <v>0</v>
      </c>
      <c r="M509" t="n">
        <v>0</v>
      </c>
      <c r="N509" t="n">
        <v>0</v>
      </c>
      <c r="O509" t="n">
        <v>0</v>
      </c>
      <c r="P509" t="n">
        <v>0</v>
      </c>
      <c r="Q509" t="n">
        <v>0</v>
      </c>
      <c r="R509" s="2" t="inlineStr"/>
    </row>
    <row r="510" ht="15" customHeight="1">
      <c r="A510" t="inlineStr">
        <is>
          <t>A 25834-2023</t>
        </is>
      </c>
      <c r="B510" s="1" t="n">
        <v>45090</v>
      </c>
      <c r="C510" s="1" t="n">
        <v>45566</v>
      </c>
      <c r="D510" t="inlineStr">
        <is>
          <t>NORRBOTTENS LÄN</t>
        </is>
      </c>
      <c r="E510" t="inlineStr">
        <is>
          <t>LULEÅ</t>
        </is>
      </c>
      <c r="G510" t="n">
        <v>3.1</v>
      </c>
      <c r="H510" t="n">
        <v>0</v>
      </c>
      <c r="I510" t="n">
        <v>0</v>
      </c>
      <c r="J510" t="n">
        <v>0</v>
      </c>
      <c r="K510" t="n">
        <v>0</v>
      </c>
      <c r="L510" t="n">
        <v>0</v>
      </c>
      <c r="M510" t="n">
        <v>0</v>
      </c>
      <c r="N510" t="n">
        <v>0</v>
      </c>
      <c r="O510" t="n">
        <v>0</v>
      </c>
      <c r="P510" t="n">
        <v>0</v>
      </c>
      <c r="Q510" t="n">
        <v>0</v>
      </c>
      <c r="R510" s="2" t="inlineStr"/>
    </row>
    <row r="511" ht="15" customHeight="1">
      <c r="A511" t="inlineStr">
        <is>
          <t>A 26253-2023</t>
        </is>
      </c>
      <c r="B511" s="1" t="n">
        <v>45091</v>
      </c>
      <c r="C511" s="1" t="n">
        <v>45566</v>
      </c>
      <c r="D511" t="inlineStr">
        <is>
          <t>NORRBOTTENS LÄN</t>
        </is>
      </c>
      <c r="E511" t="inlineStr">
        <is>
          <t>LULEÅ</t>
        </is>
      </c>
      <c r="G511" t="n">
        <v>4.9</v>
      </c>
      <c r="H511" t="n">
        <v>0</v>
      </c>
      <c r="I511" t="n">
        <v>0</v>
      </c>
      <c r="J511" t="n">
        <v>0</v>
      </c>
      <c r="K511" t="n">
        <v>0</v>
      </c>
      <c r="L511" t="n">
        <v>0</v>
      </c>
      <c r="M511" t="n">
        <v>0</v>
      </c>
      <c r="N511" t="n">
        <v>0</v>
      </c>
      <c r="O511" t="n">
        <v>0</v>
      </c>
      <c r="P511" t="n">
        <v>0</v>
      </c>
      <c r="Q511" t="n">
        <v>0</v>
      </c>
      <c r="R511" s="2" t="inlineStr"/>
    </row>
    <row r="512" ht="15" customHeight="1">
      <c r="A512" t="inlineStr">
        <is>
          <t>A 27503-2023</t>
        </is>
      </c>
      <c r="B512" s="1" t="n">
        <v>45092</v>
      </c>
      <c r="C512" s="1" t="n">
        <v>45566</v>
      </c>
      <c r="D512" t="inlineStr">
        <is>
          <t>NORRBOTTENS LÄN</t>
        </is>
      </c>
      <c r="E512" t="inlineStr">
        <is>
          <t>LULEÅ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28294-2023</t>
        </is>
      </c>
      <c r="B513" s="1" t="n">
        <v>45096</v>
      </c>
      <c r="C513" s="1" t="n">
        <v>45566</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27999-2023</t>
        </is>
      </c>
      <c r="B514" s="1" t="n">
        <v>45099</v>
      </c>
      <c r="C514" s="1" t="n">
        <v>45566</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29490-2023</t>
        </is>
      </c>
      <c r="B515" s="1" t="n">
        <v>45098</v>
      </c>
      <c r="C515" s="1" t="n">
        <v>45566</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29510-2023</t>
        </is>
      </c>
      <c r="B516" s="1" t="n">
        <v>45098</v>
      </c>
      <c r="C516" s="1" t="n">
        <v>45566</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29537-2023</t>
        </is>
      </c>
      <c r="B517" s="1" t="n">
        <v>45098</v>
      </c>
      <c r="C517" s="1" t="n">
        <v>45566</v>
      </c>
      <c r="D517" t="inlineStr">
        <is>
          <t>NORRBOTTENS LÄN</t>
        </is>
      </c>
      <c r="E517" t="inlineStr">
        <is>
          <t>LULEÅ</t>
        </is>
      </c>
      <c r="G517" t="n">
        <v>0.3</v>
      </c>
      <c r="H517" t="n">
        <v>0</v>
      </c>
      <c r="I517" t="n">
        <v>0</v>
      </c>
      <c r="J517" t="n">
        <v>0</v>
      </c>
      <c r="K517" t="n">
        <v>0</v>
      </c>
      <c r="L517" t="n">
        <v>0</v>
      </c>
      <c r="M517" t="n">
        <v>0</v>
      </c>
      <c r="N517" t="n">
        <v>0</v>
      </c>
      <c r="O517" t="n">
        <v>0</v>
      </c>
      <c r="P517" t="n">
        <v>0</v>
      </c>
      <c r="Q517" t="n">
        <v>0</v>
      </c>
      <c r="R517" s="2" t="inlineStr"/>
    </row>
    <row r="518" ht="15" customHeight="1">
      <c r="A518" t="inlineStr">
        <is>
          <t>A 31347-2023</t>
        </is>
      </c>
      <c r="B518" s="1" t="n">
        <v>45104</v>
      </c>
      <c r="C518" s="1" t="n">
        <v>45566</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31338-2023</t>
        </is>
      </c>
      <c r="B519" s="1" t="n">
        <v>45104</v>
      </c>
      <c r="C519" s="1" t="n">
        <v>45566</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29458-2023</t>
        </is>
      </c>
      <c r="B520" s="1" t="n">
        <v>45106</v>
      </c>
      <c r="C520" s="1" t="n">
        <v>45566</v>
      </c>
      <c r="D520" t="inlineStr">
        <is>
          <t>NORRBOTTENS LÄN</t>
        </is>
      </c>
      <c r="E520" t="inlineStr">
        <is>
          <t>LULEÅ</t>
        </is>
      </c>
      <c r="G520" t="n">
        <v>7.4</v>
      </c>
      <c r="H520" t="n">
        <v>0</v>
      </c>
      <c r="I520" t="n">
        <v>0</v>
      </c>
      <c r="J520" t="n">
        <v>0</v>
      </c>
      <c r="K520" t="n">
        <v>0</v>
      </c>
      <c r="L520" t="n">
        <v>0</v>
      </c>
      <c r="M520" t="n">
        <v>0</v>
      </c>
      <c r="N520" t="n">
        <v>0</v>
      </c>
      <c r="O520" t="n">
        <v>0</v>
      </c>
      <c r="P520" t="n">
        <v>0</v>
      </c>
      <c r="Q520" t="n">
        <v>0</v>
      </c>
      <c r="R520" s="2" t="inlineStr"/>
    </row>
    <row r="521" ht="15" customHeight="1">
      <c r="A521" t="inlineStr">
        <is>
          <t>A 29457-2023</t>
        </is>
      </c>
      <c r="B521" s="1" t="n">
        <v>45106</v>
      </c>
      <c r="C521" s="1" t="n">
        <v>45566</v>
      </c>
      <c r="D521" t="inlineStr">
        <is>
          <t>NORRBOTTENS LÄN</t>
        </is>
      </c>
      <c r="E521" t="inlineStr">
        <is>
          <t>LULEÅ</t>
        </is>
      </c>
      <c r="G521" t="n">
        <v>7</v>
      </c>
      <c r="H521" t="n">
        <v>0</v>
      </c>
      <c r="I521" t="n">
        <v>0</v>
      </c>
      <c r="J521" t="n">
        <v>0</v>
      </c>
      <c r="K521" t="n">
        <v>0</v>
      </c>
      <c r="L521" t="n">
        <v>0</v>
      </c>
      <c r="M521" t="n">
        <v>0</v>
      </c>
      <c r="N521" t="n">
        <v>0</v>
      </c>
      <c r="O521" t="n">
        <v>0</v>
      </c>
      <c r="P521" t="n">
        <v>0</v>
      </c>
      <c r="Q521" t="n">
        <v>0</v>
      </c>
      <c r="R521" s="2" t="inlineStr"/>
    </row>
    <row r="522" ht="15" customHeight="1">
      <c r="A522" t="inlineStr">
        <is>
          <t>A 30290-2023</t>
        </is>
      </c>
      <c r="B522" s="1" t="n">
        <v>45110</v>
      </c>
      <c r="C522" s="1" t="n">
        <v>45566</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30288-2023</t>
        </is>
      </c>
      <c r="B523" s="1" t="n">
        <v>45110</v>
      </c>
      <c r="C523" s="1" t="n">
        <v>45566</v>
      </c>
      <c r="D523" t="inlineStr">
        <is>
          <t>NORRBOTTENS LÄN</t>
        </is>
      </c>
      <c r="E523" t="inlineStr">
        <is>
          <t>LULEÅ</t>
        </is>
      </c>
      <c r="G523" t="n">
        <v>1</v>
      </c>
      <c r="H523" t="n">
        <v>0</v>
      </c>
      <c r="I523" t="n">
        <v>0</v>
      </c>
      <c r="J523" t="n">
        <v>0</v>
      </c>
      <c r="K523" t="n">
        <v>0</v>
      </c>
      <c r="L523" t="n">
        <v>0</v>
      </c>
      <c r="M523" t="n">
        <v>0</v>
      </c>
      <c r="N523" t="n">
        <v>0</v>
      </c>
      <c r="O523" t="n">
        <v>0</v>
      </c>
      <c r="P523" t="n">
        <v>0</v>
      </c>
      <c r="Q523" t="n">
        <v>0</v>
      </c>
      <c r="R523" s="2" t="inlineStr"/>
    </row>
    <row r="524" ht="15" customHeight="1">
      <c r="A524" t="inlineStr">
        <is>
          <t>A 30289-2023</t>
        </is>
      </c>
      <c r="B524" s="1" t="n">
        <v>45110</v>
      </c>
      <c r="C524" s="1" t="n">
        <v>45566</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30358-2023</t>
        </is>
      </c>
      <c r="B525" s="1" t="n">
        <v>45111</v>
      </c>
      <c r="C525" s="1" t="n">
        <v>45566</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30357-2023</t>
        </is>
      </c>
      <c r="B526" s="1" t="n">
        <v>45111</v>
      </c>
      <c r="C526" s="1" t="n">
        <v>45566</v>
      </c>
      <c r="D526" t="inlineStr">
        <is>
          <t>NORRBOTTENS LÄN</t>
        </is>
      </c>
      <c r="E526" t="inlineStr">
        <is>
          <t>LULEÅ</t>
        </is>
      </c>
      <c r="G526" t="n">
        <v>5.3</v>
      </c>
      <c r="H526" t="n">
        <v>0</v>
      </c>
      <c r="I526" t="n">
        <v>0</v>
      </c>
      <c r="J526" t="n">
        <v>0</v>
      </c>
      <c r="K526" t="n">
        <v>0</v>
      </c>
      <c r="L526" t="n">
        <v>0</v>
      </c>
      <c r="M526" t="n">
        <v>0</v>
      </c>
      <c r="N526" t="n">
        <v>0</v>
      </c>
      <c r="O526" t="n">
        <v>0</v>
      </c>
      <c r="P526" t="n">
        <v>0</v>
      </c>
      <c r="Q526" t="n">
        <v>0</v>
      </c>
      <c r="R526" s="2" t="inlineStr"/>
    </row>
    <row r="527" ht="15" customHeight="1">
      <c r="A527" t="inlineStr">
        <is>
          <t>A 30727-2023</t>
        </is>
      </c>
      <c r="B527" s="1" t="n">
        <v>45112</v>
      </c>
      <c r="C527" s="1" t="n">
        <v>45566</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31067-2023</t>
        </is>
      </c>
      <c r="B528" s="1" t="n">
        <v>45113</v>
      </c>
      <c r="C528" s="1" t="n">
        <v>45566</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31321-2023</t>
        </is>
      </c>
      <c r="B529" s="1" t="n">
        <v>45114</v>
      </c>
      <c r="C529" s="1" t="n">
        <v>45566</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33404-2023</t>
        </is>
      </c>
      <c r="B530" s="1" t="n">
        <v>45117</v>
      </c>
      <c r="C530" s="1" t="n">
        <v>45566</v>
      </c>
      <c r="D530" t="inlineStr">
        <is>
          <t>NORRBOTTENS LÄN</t>
        </is>
      </c>
      <c r="E530" t="inlineStr">
        <is>
          <t>LULEÅ</t>
        </is>
      </c>
      <c r="G530" t="n">
        <v>7.3</v>
      </c>
      <c r="H530" t="n">
        <v>0</v>
      </c>
      <c r="I530" t="n">
        <v>0</v>
      </c>
      <c r="J530" t="n">
        <v>0</v>
      </c>
      <c r="K530" t="n">
        <v>0</v>
      </c>
      <c r="L530" t="n">
        <v>0</v>
      </c>
      <c r="M530" t="n">
        <v>0</v>
      </c>
      <c r="N530" t="n">
        <v>0</v>
      </c>
      <c r="O530" t="n">
        <v>0</v>
      </c>
      <c r="P530" t="n">
        <v>0</v>
      </c>
      <c r="Q530" t="n">
        <v>0</v>
      </c>
      <c r="R530" s="2" t="inlineStr"/>
    </row>
    <row r="531" ht="15" customHeight="1">
      <c r="A531" t="inlineStr">
        <is>
          <t>A 34390-2023</t>
        </is>
      </c>
      <c r="B531" s="1" t="n">
        <v>45132</v>
      </c>
      <c r="C531" s="1" t="n">
        <v>45566</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33995-2023</t>
        </is>
      </c>
      <c r="B532" s="1" t="n">
        <v>45135</v>
      </c>
      <c r="C532" s="1" t="n">
        <v>45566</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34678-2023</t>
        </is>
      </c>
      <c r="B533" s="1" t="n">
        <v>45141</v>
      </c>
      <c r="C533" s="1" t="n">
        <v>45566</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45566</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34910-2023</t>
        </is>
      </c>
      <c r="B535" s="1" t="n">
        <v>45142</v>
      </c>
      <c r="C535" s="1" t="n">
        <v>45566</v>
      </c>
      <c r="D535" t="inlineStr">
        <is>
          <t>NORRBOTTENS LÄN</t>
        </is>
      </c>
      <c r="E535" t="inlineStr">
        <is>
          <t>LULEÅ</t>
        </is>
      </c>
      <c r="G535" t="n">
        <v>18.9</v>
      </c>
      <c r="H535" t="n">
        <v>0</v>
      </c>
      <c r="I535" t="n">
        <v>0</v>
      </c>
      <c r="J535" t="n">
        <v>0</v>
      </c>
      <c r="K535" t="n">
        <v>0</v>
      </c>
      <c r="L535" t="n">
        <v>0</v>
      </c>
      <c r="M535" t="n">
        <v>0</v>
      </c>
      <c r="N535" t="n">
        <v>0</v>
      </c>
      <c r="O535" t="n">
        <v>0</v>
      </c>
      <c r="P535" t="n">
        <v>0</v>
      </c>
      <c r="Q535" t="n">
        <v>0</v>
      </c>
      <c r="R535" s="2" t="inlineStr"/>
    </row>
    <row r="536" ht="15" customHeight="1">
      <c r="A536" t="inlineStr">
        <is>
          <t>A 34946-2023</t>
        </is>
      </c>
      <c r="B536" s="1" t="n">
        <v>45142</v>
      </c>
      <c r="C536" s="1" t="n">
        <v>45566</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34943-2023</t>
        </is>
      </c>
      <c r="B537" s="1" t="n">
        <v>45142</v>
      </c>
      <c r="C537" s="1" t="n">
        <v>45566</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35090-2023</t>
        </is>
      </c>
      <c r="B538" s="1" t="n">
        <v>45145</v>
      </c>
      <c r="C538" s="1" t="n">
        <v>45566</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36525-2023</t>
        </is>
      </c>
      <c r="B539" s="1" t="n">
        <v>45153</v>
      </c>
      <c r="C539" s="1" t="n">
        <v>45566</v>
      </c>
      <c r="D539" t="inlineStr">
        <is>
          <t>NORRBOTTENS LÄN</t>
        </is>
      </c>
      <c r="E539" t="inlineStr">
        <is>
          <t>LULEÅ</t>
        </is>
      </c>
      <c r="G539" t="n">
        <v>11.9</v>
      </c>
      <c r="H539" t="n">
        <v>0</v>
      </c>
      <c r="I539" t="n">
        <v>0</v>
      </c>
      <c r="J539" t="n">
        <v>0</v>
      </c>
      <c r="K539" t="n">
        <v>0</v>
      </c>
      <c r="L539" t="n">
        <v>0</v>
      </c>
      <c r="M539" t="n">
        <v>0</v>
      </c>
      <c r="N539" t="n">
        <v>0</v>
      </c>
      <c r="O539" t="n">
        <v>0</v>
      </c>
      <c r="P539" t="n">
        <v>0</v>
      </c>
      <c r="Q539" t="n">
        <v>0</v>
      </c>
      <c r="R539" s="2" t="inlineStr"/>
    </row>
    <row r="540" ht="15" customHeight="1">
      <c r="A540" t="inlineStr">
        <is>
          <t>A 36784-2023</t>
        </is>
      </c>
      <c r="B540" s="1" t="n">
        <v>45153</v>
      </c>
      <c r="C540" s="1" t="n">
        <v>45566</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36791-2023</t>
        </is>
      </c>
      <c r="B541" s="1" t="n">
        <v>45153</v>
      </c>
      <c r="C541" s="1" t="n">
        <v>45566</v>
      </c>
      <c r="D541" t="inlineStr">
        <is>
          <t>NORRBOTTENS LÄN</t>
        </is>
      </c>
      <c r="E541" t="inlineStr">
        <is>
          <t>LULEÅ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37070-2023</t>
        </is>
      </c>
      <c r="B542" s="1" t="n">
        <v>45155</v>
      </c>
      <c r="C542" s="1" t="n">
        <v>45566</v>
      </c>
      <c r="D542" t="inlineStr">
        <is>
          <t>NORRBOTTENS LÄN</t>
        </is>
      </c>
      <c r="E542" t="inlineStr">
        <is>
          <t>LULEÅ</t>
        </is>
      </c>
      <c r="G542" t="n">
        <v>3.1</v>
      </c>
      <c r="H542" t="n">
        <v>0</v>
      </c>
      <c r="I542" t="n">
        <v>0</v>
      </c>
      <c r="J542" t="n">
        <v>0</v>
      </c>
      <c r="K542" t="n">
        <v>0</v>
      </c>
      <c r="L542" t="n">
        <v>0</v>
      </c>
      <c r="M542" t="n">
        <v>0</v>
      </c>
      <c r="N542" t="n">
        <v>0</v>
      </c>
      <c r="O542" t="n">
        <v>0</v>
      </c>
      <c r="P542" t="n">
        <v>0</v>
      </c>
      <c r="Q542" t="n">
        <v>0</v>
      </c>
      <c r="R542" s="2" t="inlineStr"/>
    </row>
    <row r="543" ht="15" customHeight="1">
      <c r="A543" t="inlineStr">
        <is>
          <t>A 38547-2023</t>
        </is>
      </c>
      <c r="B543" s="1" t="n">
        <v>45160</v>
      </c>
      <c r="C543" s="1" t="n">
        <v>45566</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38551-2023</t>
        </is>
      </c>
      <c r="B544" s="1" t="n">
        <v>45160</v>
      </c>
      <c r="C544" s="1" t="n">
        <v>45566</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38882-2023</t>
        </is>
      </c>
      <c r="B545" s="1" t="n">
        <v>45161</v>
      </c>
      <c r="C545" s="1" t="n">
        <v>45566</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38220-2023</t>
        </is>
      </c>
      <c r="B546" s="1" t="n">
        <v>45161</v>
      </c>
      <c r="C546" s="1" t="n">
        <v>45566</v>
      </c>
      <c r="D546" t="inlineStr">
        <is>
          <t>NORRBOTTENS LÄN</t>
        </is>
      </c>
      <c r="E546" t="inlineStr">
        <is>
          <t>LULEÅ</t>
        </is>
      </c>
      <c r="G546" t="n">
        <v>20.2</v>
      </c>
      <c r="H546" t="n">
        <v>0</v>
      </c>
      <c r="I546" t="n">
        <v>0</v>
      </c>
      <c r="J546" t="n">
        <v>0</v>
      </c>
      <c r="K546" t="n">
        <v>0</v>
      </c>
      <c r="L546" t="n">
        <v>0</v>
      </c>
      <c r="M546" t="n">
        <v>0</v>
      </c>
      <c r="N546" t="n">
        <v>0</v>
      </c>
      <c r="O546" t="n">
        <v>0</v>
      </c>
      <c r="P546" t="n">
        <v>0</v>
      </c>
      <c r="Q546" t="n">
        <v>0</v>
      </c>
      <c r="R546" s="2" t="inlineStr"/>
    </row>
    <row r="547" ht="15" customHeight="1">
      <c r="A547" t="inlineStr">
        <is>
          <t>A 38358-2023</t>
        </is>
      </c>
      <c r="B547" s="1" t="n">
        <v>45162</v>
      </c>
      <c r="C547" s="1" t="n">
        <v>45566</v>
      </c>
      <c r="D547" t="inlineStr">
        <is>
          <t>NORRBOTTENS LÄN</t>
        </is>
      </c>
      <c r="E547" t="inlineStr">
        <is>
          <t>LULEÅ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38885-2023</t>
        </is>
      </c>
      <c r="B548" s="1" t="n">
        <v>45161</v>
      </c>
      <c r="C548" s="1" t="n">
        <v>45566</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39315-2023</t>
        </is>
      </c>
      <c r="B549" s="1" t="n">
        <v>45162</v>
      </c>
      <c r="C549" s="1" t="n">
        <v>45566</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38865-2023</t>
        </is>
      </c>
      <c r="B550" s="1" t="n">
        <v>45163</v>
      </c>
      <c r="C550" s="1" t="n">
        <v>45566</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39196-2023</t>
        </is>
      </c>
      <c r="B551" s="1" t="n">
        <v>45166</v>
      </c>
      <c r="C551" s="1" t="n">
        <v>45566</v>
      </c>
      <c r="D551" t="inlineStr">
        <is>
          <t>NORRBOTTENS LÄN</t>
        </is>
      </c>
      <c r="E551" t="inlineStr">
        <is>
          <t>LULEÅ</t>
        </is>
      </c>
      <c r="G551" t="n">
        <v>4.5</v>
      </c>
      <c r="H551" t="n">
        <v>0</v>
      </c>
      <c r="I551" t="n">
        <v>0</v>
      </c>
      <c r="J551" t="n">
        <v>0</v>
      </c>
      <c r="K551" t="n">
        <v>0</v>
      </c>
      <c r="L551" t="n">
        <v>0</v>
      </c>
      <c r="M551" t="n">
        <v>0</v>
      </c>
      <c r="N551" t="n">
        <v>0</v>
      </c>
      <c r="O551" t="n">
        <v>0</v>
      </c>
      <c r="P551" t="n">
        <v>0</v>
      </c>
      <c r="Q551" t="n">
        <v>0</v>
      </c>
      <c r="R551" s="2" t="inlineStr"/>
    </row>
    <row r="552" ht="15" customHeight="1">
      <c r="A552" t="inlineStr">
        <is>
          <t>A 40673-2023</t>
        </is>
      </c>
      <c r="B552" s="1" t="n">
        <v>45169</v>
      </c>
      <c r="C552" s="1" t="n">
        <v>45566</v>
      </c>
      <c r="D552" t="inlineStr">
        <is>
          <t>NORRBOTTENS LÄN</t>
        </is>
      </c>
      <c r="E552" t="inlineStr">
        <is>
          <t>LULEÅ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40496-2023</t>
        </is>
      </c>
      <c r="B553" s="1" t="n">
        <v>45170</v>
      </c>
      <c r="C553" s="1" t="n">
        <v>45566</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40504-2023</t>
        </is>
      </c>
      <c r="B554" s="1" t="n">
        <v>45170</v>
      </c>
      <c r="C554" s="1" t="n">
        <v>45566</v>
      </c>
      <c r="D554" t="inlineStr">
        <is>
          <t>NORRBOTTENS LÄN</t>
        </is>
      </c>
      <c r="E554" t="inlineStr">
        <is>
          <t>LULEÅ</t>
        </is>
      </c>
      <c r="G554" t="n">
        <v>3.9</v>
      </c>
      <c r="H554" t="n">
        <v>0</v>
      </c>
      <c r="I554" t="n">
        <v>0</v>
      </c>
      <c r="J554" t="n">
        <v>0</v>
      </c>
      <c r="K554" t="n">
        <v>0</v>
      </c>
      <c r="L554" t="n">
        <v>0</v>
      </c>
      <c r="M554" t="n">
        <v>0</v>
      </c>
      <c r="N554" t="n">
        <v>0</v>
      </c>
      <c r="O554" t="n">
        <v>0</v>
      </c>
      <c r="P554" t="n">
        <v>0</v>
      </c>
      <c r="Q554" t="n">
        <v>0</v>
      </c>
      <c r="R554" s="2" t="inlineStr"/>
    </row>
    <row r="555" ht="15" customHeight="1">
      <c r="A555" t="inlineStr">
        <is>
          <t>A 40503-2023</t>
        </is>
      </c>
      <c r="B555" s="1" t="n">
        <v>45170</v>
      </c>
      <c r="C555" s="1" t="n">
        <v>45566</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40501-2023</t>
        </is>
      </c>
      <c r="B556" s="1" t="n">
        <v>45170</v>
      </c>
      <c r="C556" s="1" t="n">
        <v>45566</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41129-2023</t>
        </is>
      </c>
      <c r="B557" s="1" t="n">
        <v>45174</v>
      </c>
      <c r="C557" s="1" t="n">
        <v>45566</v>
      </c>
      <c r="D557" t="inlineStr">
        <is>
          <t>NORRBOTTENS LÄN</t>
        </is>
      </c>
      <c r="E557" t="inlineStr">
        <is>
          <t>LULEÅ</t>
        </is>
      </c>
      <c r="G557" t="n">
        <v>14.1</v>
      </c>
      <c r="H557" t="n">
        <v>0</v>
      </c>
      <c r="I557" t="n">
        <v>0</v>
      </c>
      <c r="J557" t="n">
        <v>0</v>
      </c>
      <c r="K557" t="n">
        <v>0</v>
      </c>
      <c r="L557" t="n">
        <v>0</v>
      </c>
      <c r="M557" t="n">
        <v>0</v>
      </c>
      <c r="N557" t="n">
        <v>0</v>
      </c>
      <c r="O557" t="n">
        <v>0</v>
      </c>
      <c r="P557" t="n">
        <v>0</v>
      </c>
      <c r="Q557" t="n">
        <v>0</v>
      </c>
      <c r="R557" s="2" t="inlineStr"/>
    </row>
    <row r="558" ht="15" customHeight="1">
      <c r="A558" t="inlineStr">
        <is>
          <t>A 41128-2023</t>
        </is>
      </c>
      <c r="B558" s="1" t="n">
        <v>45174</v>
      </c>
      <c r="C558" s="1" t="n">
        <v>45566</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41140-2023</t>
        </is>
      </c>
      <c r="B559" s="1" t="n">
        <v>45173</v>
      </c>
      <c r="C559" s="1" t="n">
        <v>45566</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43048-2023</t>
        </is>
      </c>
      <c r="B560" s="1" t="n">
        <v>45176</v>
      </c>
      <c r="C560" s="1" t="n">
        <v>45566</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42946-2023</t>
        </is>
      </c>
      <c r="B561" s="1" t="n">
        <v>45177</v>
      </c>
      <c r="C561" s="1" t="n">
        <v>45566</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42571-2023</t>
        </is>
      </c>
      <c r="B562" s="1" t="n">
        <v>45181</v>
      </c>
      <c r="C562" s="1" t="n">
        <v>45566</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42575-2023</t>
        </is>
      </c>
      <c r="B563" s="1" t="n">
        <v>45181</v>
      </c>
      <c r="C563" s="1" t="n">
        <v>45566</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43270-2023</t>
        </is>
      </c>
      <c r="B564" s="1" t="n">
        <v>45183</v>
      </c>
      <c r="C564" s="1" t="n">
        <v>45566</v>
      </c>
      <c r="D564" t="inlineStr">
        <is>
          <t>NORRBOTTENS LÄN</t>
        </is>
      </c>
      <c r="E564" t="inlineStr">
        <is>
          <t>LULEÅ</t>
        </is>
      </c>
      <c r="G564" t="n">
        <v>6</v>
      </c>
      <c r="H564" t="n">
        <v>0</v>
      </c>
      <c r="I564" t="n">
        <v>0</v>
      </c>
      <c r="J564" t="n">
        <v>0</v>
      </c>
      <c r="K564" t="n">
        <v>0</v>
      </c>
      <c r="L564" t="n">
        <v>0</v>
      </c>
      <c r="M564" t="n">
        <v>0</v>
      </c>
      <c r="N564" t="n">
        <v>0</v>
      </c>
      <c r="O564" t="n">
        <v>0</v>
      </c>
      <c r="P564" t="n">
        <v>0</v>
      </c>
      <c r="Q564" t="n">
        <v>0</v>
      </c>
      <c r="R564" s="2" t="inlineStr"/>
    </row>
    <row r="565" ht="15" customHeight="1">
      <c r="A565" t="inlineStr">
        <is>
          <t>A 44526-2023</t>
        </is>
      </c>
      <c r="B565" s="1" t="n">
        <v>45183</v>
      </c>
      <c r="C565" s="1" t="n">
        <v>45566</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44531-2023</t>
        </is>
      </c>
      <c r="B566" s="1" t="n">
        <v>45183</v>
      </c>
      <c r="C566" s="1" t="n">
        <v>45566</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44516-2023</t>
        </is>
      </c>
      <c r="B567" s="1" t="n">
        <v>45183</v>
      </c>
      <c r="C567" s="1" t="n">
        <v>45566</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43765-2023</t>
        </is>
      </c>
      <c r="B568" s="1" t="n">
        <v>45187</v>
      </c>
      <c r="C568" s="1" t="n">
        <v>45566</v>
      </c>
      <c r="D568" t="inlineStr">
        <is>
          <t>NORRBOTTENS LÄN</t>
        </is>
      </c>
      <c r="E568" t="inlineStr">
        <is>
          <t>LULEÅ</t>
        </is>
      </c>
      <c r="G568" t="n">
        <v>13.7</v>
      </c>
      <c r="H568" t="n">
        <v>0</v>
      </c>
      <c r="I568" t="n">
        <v>0</v>
      </c>
      <c r="J568" t="n">
        <v>0</v>
      </c>
      <c r="K568" t="n">
        <v>0</v>
      </c>
      <c r="L568" t="n">
        <v>0</v>
      </c>
      <c r="M568" t="n">
        <v>0</v>
      </c>
      <c r="N568" t="n">
        <v>0</v>
      </c>
      <c r="O568" t="n">
        <v>0</v>
      </c>
      <c r="P568" t="n">
        <v>0</v>
      </c>
      <c r="Q568" t="n">
        <v>0</v>
      </c>
      <c r="R568" s="2" t="inlineStr"/>
    </row>
    <row r="569" ht="15" customHeight="1">
      <c r="A569" t="inlineStr">
        <is>
          <t>A 43861-2023</t>
        </is>
      </c>
      <c r="B569" s="1" t="n">
        <v>45187</v>
      </c>
      <c r="C569" s="1" t="n">
        <v>45566</v>
      </c>
      <c r="D569" t="inlineStr">
        <is>
          <t>NORRBOTTENS LÄN</t>
        </is>
      </c>
      <c r="E569" t="inlineStr">
        <is>
          <t>LULEÅ</t>
        </is>
      </c>
      <c r="G569" t="n">
        <v>5.1</v>
      </c>
      <c r="H569" t="n">
        <v>0</v>
      </c>
      <c r="I569" t="n">
        <v>0</v>
      </c>
      <c r="J569" t="n">
        <v>0</v>
      </c>
      <c r="K569" t="n">
        <v>0</v>
      </c>
      <c r="L569" t="n">
        <v>0</v>
      </c>
      <c r="M569" t="n">
        <v>0</v>
      </c>
      <c r="N569" t="n">
        <v>0</v>
      </c>
      <c r="O569" t="n">
        <v>0</v>
      </c>
      <c r="P569" t="n">
        <v>0</v>
      </c>
      <c r="Q569" t="n">
        <v>0</v>
      </c>
      <c r="R569" s="2" t="inlineStr"/>
    </row>
    <row r="570" ht="15" customHeight="1">
      <c r="A570" t="inlineStr">
        <is>
          <t>A 44377-2023</t>
        </is>
      </c>
      <c r="B570" s="1" t="n">
        <v>45188</v>
      </c>
      <c r="C570" s="1" t="n">
        <v>45566</v>
      </c>
      <c r="D570" t="inlineStr">
        <is>
          <t>NORRBOTTENS LÄN</t>
        </is>
      </c>
      <c r="E570" t="inlineStr">
        <is>
          <t>LULEÅ</t>
        </is>
      </c>
      <c r="G570" t="n">
        <v>5.7</v>
      </c>
      <c r="H570" t="n">
        <v>0</v>
      </c>
      <c r="I570" t="n">
        <v>0</v>
      </c>
      <c r="J570" t="n">
        <v>0</v>
      </c>
      <c r="K570" t="n">
        <v>0</v>
      </c>
      <c r="L570" t="n">
        <v>0</v>
      </c>
      <c r="M570" t="n">
        <v>0</v>
      </c>
      <c r="N570" t="n">
        <v>0</v>
      </c>
      <c r="O570" t="n">
        <v>0</v>
      </c>
      <c r="P570" t="n">
        <v>0</v>
      </c>
      <c r="Q570" t="n">
        <v>0</v>
      </c>
      <c r="R570" s="2" t="inlineStr"/>
    </row>
    <row r="571" ht="15" customHeight="1">
      <c r="A571" t="inlineStr">
        <is>
          <t>A 44758-2023</t>
        </is>
      </c>
      <c r="B571" s="1" t="n">
        <v>45190</v>
      </c>
      <c r="C571" s="1" t="n">
        <v>45566</v>
      </c>
      <c r="D571" t="inlineStr">
        <is>
          <t>NORRBOTTENS LÄN</t>
        </is>
      </c>
      <c r="E571" t="inlineStr">
        <is>
          <t>LULEÅ</t>
        </is>
      </c>
      <c r="G571" t="n">
        <v>10.9</v>
      </c>
      <c r="H571" t="n">
        <v>0</v>
      </c>
      <c r="I571" t="n">
        <v>0</v>
      </c>
      <c r="J571" t="n">
        <v>0</v>
      </c>
      <c r="K571" t="n">
        <v>0</v>
      </c>
      <c r="L571" t="n">
        <v>0</v>
      </c>
      <c r="M571" t="n">
        <v>0</v>
      </c>
      <c r="N571" t="n">
        <v>0</v>
      </c>
      <c r="O571" t="n">
        <v>0</v>
      </c>
      <c r="P571" t="n">
        <v>0</v>
      </c>
      <c r="Q571" t="n">
        <v>0</v>
      </c>
      <c r="R571" s="2" t="inlineStr"/>
    </row>
    <row r="572" ht="15" customHeight="1">
      <c r="A572" t="inlineStr">
        <is>
          <t>A 46711-2023</t>
        </is>
      </c>
      <c r="B572" s="1" t="n">
        <v>45194</v>
      </c>
      <c r="C572" s="1" t="n">
        <v>45566</v>
      </c>
      <c r="D572" t="inlineStr">
        <is>
          <t>NORRBOTTENS LÄN</t>
        </is>
      </c>
      <c r="E572" t="inlineStr">
        <is>
          <t>LULEÅ</t>
        </is>
      </c>
      <c r="G572" t="n">
        <v>10.7</v>
      </c>
      <c r="H572" t="n">
        <v>0</v>
      </c>
      <c r="I572" t="n">
        <v>0</v>
      </c>
      <c r="J572" t="n">
        <v>0</v>
      </c>
      <c r="K572" t="n">
        <v>0</v>
      </c>
      <c r="L572" t="n">
        <v>0</v>
      </c>
      <c r="M572" t="n">
        <v>0</v>
      </c>
      <c r="N572" t="n">
        <v>0</v>
      </c>
      <c r="O572" t="n">
        <v>0</v>
      </c>
      <c r="P572" t="n">
        <v>0</v>
      </c>
      <c r="Q572" t="n">
        <v>0</v>
      </c>
      <c r="R572" s="2" t="inlineStr"/>
    </row>
    <row r="573" ht="15" customHeight="1">
      <c r="A573" t="inlineStr">
        <is>
          <t>A 46587-2023</t>
        </is>
      </c>
      <c r="B573" s="1" t="n">
        <v>45194</v>
      </c>
      <c r="C573" s="1" t="n">
        <v>45566</v>
      </c>
      <c r="D573" t="inlineStr">
        <is>
          <t>NORRBOTTENS LÄN</t>
        </is>
      </c>
      <c r="E573" t="inlineStr">
        <is>
          <t>LULEÅ</t>
        </is>
      </c>
      <c r="G573" t="n">
        <v>15.3</v>
      </c>
      <c r="H573" t="n">
        <v>0</v>
      </c>
      <c r="I573" t="n">
        <v>0</v>
      </c>
      <c r="J573" t="n">
        <v>0</v>
      </c>
      <c r="K573" t="n">
        <v>0</v>
      </c>
      <c r="L573" t="n">
        <v>0</v>
      </c>
      <c r="M573" t="n">
        <v>0</v>
      </c>
      <c r="N573" t="n">
        <v>0</v>
      </c>
      <c r="O573" t="n">
        <v>0</v>
      </c>
      <c r="P573" t="n">
        <v>0</v>
      </c>
      <c r="Q573" t="n">
        <v>0</v>
      </c>
      <c r="R573" s="2" t="inlineStr"/>
    </row>
    <row r="574" ht="15" customHeight="1">
      <c r="A574" t="inlineStr">
        <is>
          <t>A 46720-2023</t>
        </is>
      </c>
      <c r="B574" s="1" t="n">
        <v>45194</v>
      </c>
      <c r="C574" s="1" t="n">
        <v>45566</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46704-2023</t>
        </is>
      </c>
      <c r="B575" s="1" t="n">
        <v>45198</v>
      </c>
      <c r="C575" s="1" t="n">
        <v>45566</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46895-2023</t>
        </is>
      </c>
      <c r="B576" s="1" t="n">
        <v>45201</v>
      </c>
      <c r="C576" s="1" t="n">
        <v>45566</v>
      </c>
      <c r="D576" t="inlineStr">
        <is>
          <t>NORRBOTTENS LÄN</t>
        </is>
      </c>
      <c r="E576" t="inlineStr">
        <is>
          <t>LULEÅ</t>
        </is>
      </c>
      <c r="G576" t="n">
        <v>6.3</v>
      </c>
      <c r="H576" t="n">
        <v>0</v>
      </c>
      <c r="I576" t="n">
        <v>0</v>
      </c>
      <c r="J576" t="n">
        <v>0</v>
      </c>
      <c r="K576" t="n">
        <v>0</v>
      </c>
      <c r="L576" t="n">
        <v>0</v>
      </c>
      <c r="M576" t="n">
        <v>0</v>
      </c>
      <c r="N576" t="n">
        <v>0</v>
      </c>
      <c r="O576" t="n">
        <v>0</v>
      </c>
      <c r="P576" t="n">
        <v>0</v>
      </c>
      <c r="Q576" t="n">
        <v>0</v>
      </c>
      <c r="R576" s="2" t="inlineStr"/>
    </row>
    <row r="577" ht="15" customHeight="1">
      <c r="A577" t="inlineStr">
        <is>
          <t>A 48059-2023</t>
        </is>
      </c>
      <c r="B577" s="1" t="n">
        <v>45204</v>
      </c>
      <c r="C577" s="1" t="n">
        <v>45566</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48060-2023</t>
        </is>
      </c>
      <c r="B578" s="1" t="n">
        <v>45204</v>
      </c>
      <c r="C578" s="1" t="n">
        <v>45566</v>
      </c>
      <c r="D578" t="inlineStr">
        <is>
          <t>NORRBOTTENS LÄN</t>
        </is>
      </c>
      <c r="E578" t="inlineStr">
        <is>
          <t>LULEÅ</t>
        </is>
      </c>
      <c r="G578" t="n">
        <v>10.9</v>
      </c>
      <c r="H578" t="n">
        <v>0</v>
      </c>
      <c r="I578" t="n">
        <v>0</v>
      </c>
      <c r="J578" t="n">
        <v>0</v>
      </c>
      <c r="K578" t="n">
        <v>0</v>
      </c>
      <c r="L578" t="n">
        <v>0</v>
      </c>
      <c r="M578" t="n">
        <v>0</v>
      </c>
      <c r="N578" t="n">
        <v>0</v>
      </c>
      <c r="O578" t="n">
        <v>0</v>
      </c>
      <c r="P578" t="n">
        <v>0</v>
      </c>
      <c r="Q578" t="n">
        <v>0</v>
      </c>
      <c r="R578" s="2" t="inlineStr"/>
    </row>
    <row r="579" ht="15" customHeight="1">
      <c r="A579" t="inlineStr">
        <is>
          <t>A 49018-2023</t>
        </is>
      </c>
      <c r="B579" s="1" t="n">
        <v>45204</v>
      </c>
      <c r="C579" s="1" t="n">
        <v>45566</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48412-2023</t>
        </is>
      </c>
      <c r="B580" s="1" t="n">
        <v>45205</v>
      </c>
      <c r="C580" s="1" t="n">
        <v>45566</v>
      </c>
      <c r="D580" t="inlineStr">
        <is>
          <t>NORRBOTTENS LÄN</t>
        </is>
      </c>
      <c r="E580" t="inlineStr">
        <is>
          <t>LULEÅ</t>
        </is>
      </c>
      <c r="G580" t="n">
        <v>45.8</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45566</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48409-2023</t>
        </is>
      </c>
      <c r="B582" s="1" t="n">
        <v>45205</v>
      </c>
      <c r="C582" s="1" t="n">
        <v>45566</v>
      </c>
      <c r="D582" t="inlineStr">
        <is>
          <t>NORRBOTTENS LÄN</t>
        </is>
      </c>
      <c r="E582" t="inlineStr">
        <is>
          <t>LULEÅ</t>
        </is>
      </c>
      <c r="G582" t="n">
        <v>7.9</v>
      </c>
      <c r="H582" t="n">
        <v>0</v>
      </c>
      <c r="I582" t="n">
        <v>0</v>
      </c>
      <c r="J582" t="n">
        <v>0</v>
      </c>
      <c r="K582" t="n">
        <v>0</v>
      </c>
      <c r="L582" t="n">
        <v>0</v>
      </c>
      <c r="M582" t="n">
        <v>0</v>
      </c>
      <c r="N582" t="n">
        <v>0</v>
      </c>
      <c r="O582" t="n">
        <v>0</v>
      </c>
      <c r="P582" t="n">
        <v>0</v>
      </c>
      <c r="Q582" t="n">
        <v>0</v>
      </c>
      <c r="R582" s="2" t="inlineStr"/>
    </row>
    <row r="583" ht="15" customHeight="1">
      <c r="A583" t="inlineStr">
        <is>
          <t>A 48642-2023</t>
        </is>
      </c>
      <c r="B583" s="1" t="n">
        <v>45208</v>
      </c>
      <c r="C583" s="1" t="n">
        <v>45566</v>
      </c>
      <c r="D583" t="inlineStr">
        <is>
          <t>NORRBOTTENS LÄN</t>
        </is>
      </c>
      <c r="E583" t="inlineStr">
        <is>
          <t>LULEÅ</t>
        </is>
      </c>
      <c r="G583" t="n">
        <v>4.5</v>
      </c>
      <c r="H583" t="n">
        <v>0</v>
      </c>
      <c r="I583" t="n">
        <v>0</v>
      </c>
      <c r="J583" t="n">
        <v>0</v>
      </c>
      <c r="K583" t="n">
        <v>0</v>
      </c>
      <c r="L583" t="n">
        <v>0</v>
      </c>
      <c r="M583" t="n">
        <v>0</v>
      </c>
      <c r="N583" t="n">
        <v>0</v>
      </c>
      <c r="O583" t="n">
        <v>0</v>
      </c>
      <c r="P583" t="n">
        <v>0</v>
      </c>
      <c r="Q583" t="n">
        <v>0</v>
      </c>
      <c r="R583" s="2" t="inlineStr"/>
    </row>
    <row r="584" ht="15" customHeight="1">
      <c r="A584" t="inlineStr">
        <is>
          <t>A 49244-2023</t>
        </is>
      </c>
      <c r="B584" s="1" t="n">
        <v>45210</v>
      </c>
      <c r="C584" s="1" t="n">
        <v>45566</v>
      </c>
      <c r="D584" t="inlineStr">
        <is>
          <t>NORRBOTTENS LÄN</t>
        </is>
      </c>
      <c r="E584" t="inlineStr">
        <is>
          <t>LULEÅ</t>
        </is>
      </c>
      <c r="F584" t="inlineStr">
        <is>
          <t>Kyrkan</t>
        </is>
      </c>
      <c r="G584" t="n">
        <v>5.4</v>
      </c>
      <c r="H584" t="n">
        <v>0</v>
      </c>
      <c r="I584" t="n">
        <v>0</v>
      </c>
      <c r="J584" t="n">
        <v>0</v>
      </c>
      <c r="K584" t="n">
        <v>0</v>
      </c>
      <c r="L584" t="n">
        <v>0</v>
      </c>
      <c r="M584" t="n">
        <v>0</v>
      </c>
      <c r="N584" t="n">
        <v>0</v>
      </c>
      <c r="O584" t="n">
        <v>0</v>
      </c>
      <c r="P584" t="n">
        <v>0</v>
      </c>
      <c r="Q584" t="n">
        <v>0</v>
      </c>
      <c r="R584" s="2" t="inlineStr"/>
    </row>
    <row r="585" ht="15" customHeight="1">
      <c r="A585" t="inlineStr">
        <is>
          <t>A 49858-2023</t>
        </is>
      </c>
      <c r="B585" s="1" t="n">
        <v>45213</v>
      </c>
      <c r="C585" s="1" t="n">
        <v>45566</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49857-2023</t>
        </is>
      </c>
      <c r="B586" s="1" t="n">
        <v>45212</v>
      </c>
      <c r="C586" s="1" t="n">
        <v>45566</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45566</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52545-2023</t>
        </is>
      </c>
      <c r="B588" s="1" t="n">
        <v>45218</v>
      </c>
      <c r="C588" s="1" t="n">
        <v>45566</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52697-2023</t>
        </is>
      </c>
      <c r="B589" s="1" t="n">
        <v>45219</v>
      </c>
      <c r="C589" s="1" t="n">
        <v>45566</v>
      </c>
      <c r="D589" t="inlineStr">
        <is>
          <t>NORRBOTTENS LÄN</t>
        </is>
      </c>
      <c r="E589" t="inlineStr">
        <is>
          <t>LULEÅ</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52334-2023</t>
        </is>
      </c>
      <c r="B590" s="1" t="n">
        <v>45224</v>
      </c>
      <c r="C590" s="1" t="n">
        <v>45566</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52336-2023</t>
        </is>
      </c>
      <c r="B591" s="1" t="n">
        <v>45224</v>
      </c>
      <c r="C591" s="1" t="n">
        <v>45566</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52240-2023</t>
        </is>
      </c>
      <c r="B592" s="1" t="n">
        <v>45224</v>
      </c>
      <c r="C592" s="1" t="n">
        <v>45566</v>
      </c>
      <c r="D592" t="inlineStr">
        <is>
          <t>NORRBOTTENS LÄN</t>
        </is>
      </c>
      <c r="E592" t="inlineStr">
        <is>
          <t>LULEÅ</t>
        </is>
      </c>
      <c r="G592" t="n">
        <v>4.5</v>
      </c>
      <c r="H592" t="n">
        <v>0</v>
      </c>
      <c r="I592" t="n">
        <v>0</v>
      </c>
      <c r="J592" t="n">
        <v>0</v>
      </c>
      <c r="K592" t="n">
        <v>0</v>
      </c>
      <c r="L592" t="n">
        <v>0</v>
      </c>
      <c r="M592" t="n">
        <v>0</v>
      </c>
      <c r="N592" t="n">
        <v>0</v>
      </c>
      <c r="O592" t="n">
        <v>0</v>
      </c>
      <c r="P592" t="n">
        <v>0</v>
      </c>
      <c r="Q592" t="n">
        <v>0</v>
      </c>
      <c r="R592" s="2" t="inlineStr"/>
    </row>
    <row r="593" ht="15" customHeight="1">
      <c r="A593" t="inlineStr">
        <is>
          <t>A 52322-2023</t>
        </is>
      </c>
      <c r="B593" s="1" t="n">
        <v>45224</v>
      </c>
      <c r="C593" s="1" t="n">
        <v>45566</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52330-2023</t>
        </is>
      </c>
      <c r="B594" s="1" t="n">
        <v>45224</v>
      </c>
      <c r="C594" s="1" t="n">
        <v>45566</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45566</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52316-2023</t>
        </is>
      </c>
      <c r="B596" s="1" t="n">
        <v>45224</v>
      </c>
      <c r="C596" s="1" t="n">
        <v>45566</v>
      </c>
      <c r="D596" t="inlineStr">
        <is>
          <t>NORRBOTTENS LÄN</t>
        </is>
      </c>
      <c r="E596" t="inlineStr">
        <is>
          <t>LULEÅ</t>
        </is>
      </c>
      <c r="G596" t="n">
        <v>4.3</v>
      </c>
      <c r="H596" t="n">
        <v>0</v>
      </c>
      <c r="I596" t="n">
        <v>0</v>
      </c>
      <c r="J596" t="n">
        <v>0</v>
      </c>
      <c r="K596" t="n">
        <v>0</v>
      </c>
      <c r="L596" t="n">
        <v>0</v>
      </c>
      <c r="M596" t="n">
        <v>0</v>
      </c>
      <c r="N596" t="n">
        <v>0</v>
      </c>
      <c r="O596" t="n">
        <v>0</v>
      </c>
      <c r="P596" t="n">
        <v>0</v>
      </c>
      <c r="Q596" t="n">
        <v>0</v>
      </c>
      <c r="R596" s="2" t="inlineStr"/>
    </row>
    <row r="597" ht="15" customHeight="1">
      <c r="A597" t="inlineStr">
        <is>
          <t>A 52333-2023</t>
        </is>
      </c>
      <c r="B597" s="1" t="n">
        <v>45224</v>
      </c>
      <c r="C597" s="1" t="n">
        <v>45566</v>
      </c>
      <c r="D597" t="inlineStr">
        <is>
          <t>NORRBOTTENS LÄN</t>
        </is>
      </c>
      <c r="E597" t="inlineStr">
        <is>
          <t>LULEÅ</t>
        </is>
      </c>
      <c r="G597" t="n">
        <v>7.2</v>
      </c>
      <c r="H597" t="n">
        <v>0</v>
      </c>
      <c r="I597" t="n">
        <v>0</v>
      </c>
      <c r="J597" t="n">
        <v>0</v>
      </c>
      <c r="K597" t="n">
        <v>0</v>
      </c>
      <c r="L597" t="n">
        <v>0</v>
      </c>
      <c r="M597" t="n">
        <v>0</v>
      </c>
      <c r="N597" t="n">
        <v>0</v>
      </c>
      <c r="O597" t="n">
        <v>0</v>
      </c>
      <c r="P597" t="n">
        <v>0</v>
      </c>
      <c r="Q597" t="n">
        <v>0</v>
      </c>
      <c r="R597" s="2" t="inlineStr"/>
    </row>
    <row r="598" ht="15" customHeight="1">
      <c r="A598" t="inlineStr">
        <is>
          <t>A 53637-2023</t>
        </is>
      </c>
      <c r="B598" s="1" t="n">
        <v>45224</v>
      </c>
      <c r="C598" s="1" t="n">
        <v>45566</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53624-2023</t>
        </is>
      </c>
      <c r="B599" s="1" t="n">
        <v>45224</v>
      </c>
      <c r="C599" s="1" t="n">
        <v>45566</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53960-2023</t>
        </is>
      </c>
      <c r="B600" s="1" t="n">
        <v>45225</v>
      </c>
      <c r="C600" s="1" t="n">
        <v>45566</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53980-2023</t>
        </is>
      </c>
      <c r="B601" s="1" t="n">
        <v>45225</v>
      </c>
      <c r="C601" s="1" t="n">
        <v>45566</v>
      </c>
      <c r="D601" t="inlineStr">
        <is>
          <t>NORRBOTTENS LÄN</t>
        </is>
      </c>
      <c r="E601" t="inlineStr">
        <is>
          <t>LULEÅ</t>
        </is>
      </c>
      <c r="G601" t="n">
        <v>5.9</v>
      </c>
      <c r="H601" t="n">
        <v>0</v>
      </c>
      <c r="I601" t="n">
        <v>0</v>
      </c>
      <c r="J601" t="n">
        <v>0</v>
      </c>
      <c r="K601" t="n">
        <v>0</v>
      </c>
      <c r="L601" t="n">
        <v>0</v>
      </c>
      <c r="M601" t="n">
        <v>0</v>
      </c>
      <c r="N601" t="n">
        <v>0</v>
      </c>
      <c r="O601" t="n">
        <v>0</v>
      </c>
      <c r="P601" t="n">
        <v>0</v>
      </c>
      <c r="Q601" t="n">
        <v>0</v>
      </c>
      <c r="R601" s="2" t="inlineStr"/>
    </row>
    <row r="602" ht="15" customHeight="1">
      <c r="A602" t="inlineStr">
        <is>
          <t>A 53971-2023</t>
        </is>
      </c>
      <c r="B602" s="1" t="n">
        <v>45225</v>
      </c>
      <c r="C602" s="1" t="n">
        <v>45566</v>
      </c>
      <c r="D602" t="inlineStr">
        <is>
          <t>NORRBOTTENS LÄN</t>
        </is>
      </c>
      <c r="E602" t="inlineStr">
        <is>
          <t>LULEÅ</t>
        </is>
      </c>
      <c r="G602" t="n">
        <v>5.3</v>
      </c>
      <c r="H602" t="n">
        <v>0</v>
      </c>
      <c r="I602" t="n">
        <v>0</v>
      </c>
      <c r="J602" t="n">
        <v>0</v>
      </c>
      <c r="K602" t="n">
        <v>0</v>
      </c>
      <c r="L602" t="n">
        <v>0</v>
      </c>
      <c r="M602" t="n">
        <v>0</v>
      </c>
      <c r="N602" t="n">
        <v>0</v>
      </c>
      <c r="O602" t="n">
        <v>0</v>
      </c>
      <c r="P602" t="n">
        <v>0</v>
      </c>
      <c r="Q602" t="n">
        <v>0</v>
      </c>
      <c r="R602" s="2" t="inlineStr"/>
    </row>
    <row r="603" ht="15" customHeight="1">
      <c r="A603" t="inlineStr">
        <is>
          <t>A 53985-2023</t>
        </is>
      </c>
      <c r="B603" s="1" t="n">
        <v>45225</v>
      </c>
      <c r="C603" s="1" t="n">
        <v>45566</v>
      </c>
      <c r="D603" t="inlineStr">
        <is>
          <t>NORRBOTTENS LÄN</t>
        </is>
      </c>
      <c r="E603" t="inlineStr">
        <is>
          <t>LULEÅ</t>
        </is>
      </c>
      <c r="G603" t="n">
        <v>3.2</v>
      </c>
      <c r="H603" t="n">
        <v>0</v>
      </c>
      <c r="I603" t="n">
        <v>0</v>
      </c>
      <c r="J603" t="n">
        <v>0</v>
      </c>
      <c r="K603" t="n">
        <v>0</v>
      </c>
      <c r="L603" t="n">
        <v>0</v>
      </c>
      <c r="M603" t="n">
        <v>0</v>
      </c>
      <c r="N603" t="n">
        <v>0</v>
      </c>
      <c r="O603" t="n">
        <v>0</v>
      </c>
      <c r="P603" t="n">
        <v>0</v>
      </c>
      <c r="Q603" t="n">
        <v>0</v>
      </c>
      <c r="R603" s="2" t="inlineStr"/>
    </row>
    <row r="604" ht="15" customHeight="1">
      <c r="A604" t="inlineStr">
        <is>
          <t>A 53974-2023</t>
        </is>
      </c>
      <c r="B604" s="1" t="n">
        <v>45225</v>
      </c>
      <c r="C604" s="1" t="n">
        <v>45566</v>
      </c>
      <c r="D604" t="inlineStr">
        <is>
          <t>NORRBOTTENS LÄN</t>
        </is>
      </c>
      <c r="E604" t="inlineStr">
        <is>
          <t>LULEÅ</t>
        </is>
      </c>
      <c r="G604" t="n">
        <v>9.4</v>
      </c>
      <c r="H604" t="n">
        <v>0</v>
      </c>
      <c r="I604" t="n">
        <v>0</v>
      </c>
      <c r="J604" t="n">
        <v>0</v>
      </c>
      <c r="K604" t="n">
        <v>0</v>
      </c>
      <c r="L604" t="n">
        <v>0</v>
      </c>
      <c r="M604" t="n">
        <v>0</v>
      </c>
      <c r="N604" t="n">
        <v>0</v>
      </c>
      <c r="O604" t="n">
        <v>0</v>
      </c>
      <c r="P604" t="n">
        <v>0</v>
      </c>
      <c r="Q604" t="n">
        <v>0</v>
      </c>
      <c r="R604" s="2" t="inlineStr"/>
    </row>
    <row r="605" ht="15" customHeight="1">
      <c r="A605" t="inlineStr">
        <is>
          <t>A 53954-2023</t>
        </is>
      </c>
      <c r="B605" s="1" t="n">
        <v>45225</v>
      </c>
      <c r="C605" s="1" t="n">
        <v>45566</v>
      </c>
      <c r="D605" t="inlineStr">
        <is>
          <t>NORRBOTTENS LÄN</t>
        </is>
      </c>
      <c r="E605" t="inlineStr">
        <is>
          <t>LULEÅ</t>
        </is>
      </c>
      <c r="G605" t="n">
        <v>0.9</v>
      </c>
      <c r="H605" t="n">
        <v>0</v>
      </c>
      <c r="I605" t="n">
        <v>0</v>
      </c>
      <c r="J605" t="n">
        <v>0</v>
      </c>
      <c r="K605" t="n">
        <v>0</v>
      </c>
      <c r="L605" t="n">
        <v>0</v>
      </c>
      <c r="M605" t="n">
        <v>0</v>
      </c>
      <c r="N605" t="n">
        <v>0</v>
      </c>
      <c r="O605" t="n">
        <v>0</v>
      </c>
      <c r="P605" t="n">
        <v>0</v>
      </c>
      <c r="Q605" t="n">
        <v>0</v>
      </c>
      <c r="R605" s="2" t="inlineStr"/>
    </row>
    <row r="606" ht="15" customHeight="1">
      <c r="A606" t="inlineStr">
        <is>
          <t>A 52914-2023</t>
        </is>
      </c>
      <c r="B606" s="1" t="n">
        <v>45226</v>
      </c>
      <c r="C606" s="1" t="n">
        <v>45566</v>
      </c>
      <c r="D606" t="inlineStr">
        <is>
          <t>NORRBOTTENS LÄN</t>
        </is>
      </c>
      <c r="E606" t="inlineStr">
        <is>
          <t>LULEÅ</t>
        </is>
      </c>
      <c r="G606" t="n">
        <v>2.9</v>
      </c>
      <c r="H606" t="n">
        <v>0</v>
      </c>
      <c r="I606" t="n">
        <v>0</v>
      </c>
      <c r="J606" t="n">
        <v>0</v>
      </c>
      <c r="K606" t="n">
        <v>0</v>
      </c>
      <c r="L606" t="n">
        <v>0</v>
      </c>
      <c r="M606" t="n">
        <v>0</v>
      </c>
      <c r="N606" t="n">
        <v>0</v>
      </c>
      <c r="O606" t="n">
        <v>0</v>
      </c>
      <c r="P606" t="n">
        <v>0</v>
      </c>
      <c r="Q606" t="n">
        <v>0</v>
      </c>
      <c r="R606" s="2" t="inlineStr"/>
    </row>
    <row r="607" ht="15" customHeight="1">
      <c r="A607" t="inlineStr">
        <is>
          <t>A 53433-2023</t>
        </is>
      </c>
      <c r="B607" s="1" t="n">
        <v>45229</v>
      </c>
      <c r="C607" s="1" t="n">
        <v>45566</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53750-2023</t>
        </is>
      </c>
      <c r="B608" s="1" t="n">
        <v>45230</v>
      </c>
      <c r="C608" s="1" t="n">
        <v>45566</v>
      </c>
      <c r="D608" t="inlineStr">
        <is>
          <t>NORRBOTTENS LÄN</t>
        </is>
      </c>
      <c r="E608" t="inlineStr">
        <is>
          <t>LULEÅ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53748-2023</t>
        </is>
      </c>
      <c r="B609" s="1" t="n">
        <v>45230</v>
      </c>
      <c r="C609" s="1" t="n">
        <v>45566</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53754-2023</t>
        </is>
      </c>
      <c r="B610" s="1" t="n">
        <v>45230</v>
      </c>
      <c r="C610" s="1" t="n">
        <v>45566</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53749-2023</t>
        </is>
      </c>
      <c r="B611" s="1" t="n">
        <v>45230</v>
      </c>
      <c r="C611" s="1" t="n">
        <v>45566</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53541-2023</t>
        </is>
      </c>
      <c r="B612" s="1" t="n">
        <v>45230</v>
      </c>
      <c r="C612" s="1" t="n">
        <v>45566</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53712-2023</t>
        </is>
      </c>
      <c r="B613" s="1" t="n">
        <v>45230</v>
      </c>
      <c r="C613" s="1" t="n">
        <v>45566</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45566</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55747-2023</t>
        </is>
      </c>
      <c r="B615" s="1" t="n">
        <v>45232</v>
      </c>
      <c r="C615" s="1" t="n">
        <v>45566</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56031-2023</t>
        </is>
      </c>
      <c r="B616" s="1" t="n">
        <v>45233</v>
      </c>
      <c r="C616" s="1" t="n">
        <v>45566</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56052-2023</t>
        </is>
      </c>
      <c r="B617" s="1" t="n">
        <v>45233</v>
      </c>
      <c r="C617" s="1" t="n">
        <v>45566</v>
      </c>
      <c r="D617" t="inlineStr">
        <is>
          <t>NORRBOTTENS LÄN</t>
        </is>
      </c>
      <c r="E617" t="inlineStr">
        <is>
          <t>LULEÅ</t>
        </is>
      </c>
      <c r="G617" t="n">
        <v>2.3</v>
      </c>
      <c r="H617" t="n">
        <v>0</v>
      </c>
      <c r="I617" t="n">
        <v>0</v>
      </c>
      <c r="J617" t="n">
        <v>0</v>
      </c>
      <c r="K617" t="n">
        <v>0</v>
      </c>
      <c r="L617" t="n">
        <v>0</v>
      </c>
      <c r="M617" t="n">
        <v>0</v>
      </c>
      <c r="N617" t="n">
        <v>0</v>
      </c>
      <c r="O617" t="n">
        <v>0</v>
      </c>
      <c r="P617" t="n">
        <v>0</v>
      </c>
      <c r="Q617" t="n">
        <v>0</v>
      </c>
      <c r="R617" s="2" t="inlineStr"/>
    </row>
    <row r="618" ht="15" customHeight="1">
      <c r="A618" t="inlineStr">
        <is>
          <t>A 54970-2023</t>
        </is>
      </c>
      <c r="B618" s="1" t="n">
        <v>45236</v>
      </c>
      <c r="C618" s="1" t="n">
        <v>45566</v>
      </c>
      <c r="D618" t="inlineStr">
        <is>
          <t>NORRBOTTENS LÄN</t>
        </is>
      </c>
      <c r="E618" t="inlineStr">
        <is>
          <t>LULEÅ</t>
        </is>
      </c>
      <c r="G618" t="n">
        <v>6.6</v>
      </c>
      <c r="H618" t="n">
        <v>0</v>
      </c>
      <c r="I618" t="n">
        <v>0</v>
      </c>
      <c r="J618" t="n">
        <v>0</v>
      </c>
      <c r="K618" t="n">
        <v>0</v>
      </c>
      <c r="L618" t="n">
        <v>0</v>
      </c>
      <c r="M618" t="n">
        <v>0</v>
      </c>
      <c r="N618" t="n">
        <v>0</v>
      </c>
      <c r="O618" t="n">
        <v>0</v>
      </c>
      <c r="P618" t="n">
        <v>0</v>
      </c>
      <c r="Q618" t="n">
        <v>0</v>
      </c>
      <c r="R618" s="2" t="inlineStr"/>
    </row>
    <row r="619" ht="15" customHeight="1">
      <c r="A619" t="inlineStr">
        <is>
          <t>A 54969-2023</t>
        </is>
      </c>
      <c r="B619" s="1" t="n">
        <v>45236</v>
      </c>
      <c r="C619" s="1" t="n">
        <v>45566</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56432-2023</t>
        </is>
      </c>
      <c r="B620" s="1" t="n">
        <v>45237</v>
      </c>
      <c r="C620" s="1" t="n">
        <v>45566</v>
      </c>
      <c r="D620" t="inlineStr">
        <is>
          <t>NORRBOTTENS LÄN</t>
        </is>
      </c>
      <c r="E620" t="inlineStr">
        <is>
          <t>LULEÅ</t>
        </is>
      </c>
      <c r="G620" t="n">
        <v>3.5</v>
      </c>
      <c r="H620" t="n">
        <v>0</v>
      </c>
      <c r="I620" t="n">
        <v>0</v>
      </c>
      <c r="J620" t="n">
        <v>0</v>
      </c>
      <c r="K620" t="n">
        <v>0</v>
      </c>
      <c r="L620" t="n">
        <v>0</v>
      </c>
      <c r="M620" t="n">
        <v>0</v>
      </c>
      <c r="N620" t="n">
        <v>0</v>
      </c>
      <c r="O620" t="n">
        <v>0</v>
      </c>
      <c r="P620" t="n">
        <v>0</v>
      </c>
      <c r="Q620" t="n">
        <v>0</v>
      </c>
      <c r="R620" s="2" t="inlineStr"/>
    </row>
    <row r="621" ht="15" customHeight="1">
      <c r="A621" t="inlineStr">
        <is>
          <t>A 56564-2023</t>
        </is>
      </c>
      <c r="B621" s="1" t="n">
        <v>45237</v>
      </c>
      <c r="C621" s="1" t="n">
        <v>45566</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57274-2023</t>
        </is>
      </c>
      <c r="B622" s="1" t="n">
        <v>45239</v>
      </c>
      <c r="C622" s="1" t="n">
        <v>45566</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56140-2023</t>
        </is>
      </c>
      <c r="B623" s="1" t="n">
        <v>45240</v>
      </c>
      <c r="C623" s="1" t="n">
        <v>45566</v>
      </c>
      <c r="D623" t="inlineStr">
        <is>
          <t>NORRBOTTENS LÄN</t>
        </is>
      </c>
      <c r="E623" t="inlineStr">
        <is>
          <t>LULEÅ</t>
        </is>
      </c>
      <c r="G623" t="n">
        <v>2</v>
      </c>
      <c r="H623" t="n">
        <v>0</v>
      </c>
      <c r="I623" t="n">
        <v>0</v>
      </c>
      <c r="J623" t="n">
        <v>0</v>
      </c>
      <c r="K623" t="n">
        <v>0</v>
      </c>
      <c r="L623" t="n">
        <v>0</v>
      </c>
      <c r="M623" t="n">
        <v>0</v>
      </c>
      <c r="N623" t="n">
        <v>0</v>
      </c>
      <c r="O623" t="n">
        <v>0</v>
      </c>
      <c r="P623" t="n">
        <v>0</v>
      </c>
      <c r="Q623" t="n">
        <v>0</v>
      </c>
      <c r="R623" s="2" t="inlineStr"/>
    </row>
    <row r="624" ht="15" customHeight="1">
      <c r="A624" t="inlineStr">
        <is>
          <t>A 56136-2023</t>
        </is>
      </c>
      <c r="B624" s="1" t="n">
        <v>45240</v>
      </c>
      <c r="C624" s="1" t="n">
        <v>45566</v>
      </c>
      <c r="D624" t="inlineStr">
        <is>
          <t>NORRBOTTENS LÄN</t>
        </is>
      </c>
      <c r="E624" t="inlineStr">
        <is>
          <t>LULEÅ</t>
        </is>
      </c>
      <c r="G624" t="n">
        <v>4.7</v>
      </c>
      <c r="H624" t="n">
        <v>0</v>
      </c>
      <c r="I624" t="n">
        <v>0</v>
      </c>
      <c r="J624" t="n">
        <v>0</v>
      </c>
      <c r="K624" t="n">
        <v>0</v>
      </c>
      <c r="L624" t="n">
        <v>0</v>
      </c>
      <c r="M624" t="n">
        <v>0</v>
      </c>
      <c r="N624" t="n">
        <v>0</v>
      </c>
      <c r="O624" t="n">
        <v>0</v>
      </c>
      <c r="P624" t="n">
        <v>0</v>
      </c>
      <c r="Q624" t="n">
        <v>0</v>
      </c>
      <c r="R624" s="2" t="inlineStr"/>
    </row>
    <row r="625" ht="15" customHeight="1">
      <c r="A625" t="inlineStr">
        <is>
          <t>A 56173-2023</t>
        </is>
      </c>
      <c r="B625" s="1" t="n">
        <v>45240</v>
      </c>
      <c r="C625" s="1" t="n">
        <v>45566</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56155-2023</t>
        </is>
      </c>
      <c r="B626" s="1" t="n">
        <v>45240</v>
      </c>
      <c r="C626" s="1" t="n">
        <v>45566</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56674-2023</t>
        </is>
      </c>
      <c r="B627" s="1" t="n">
        <v>45243</v>
      </c>
      <c r="C627" s="1" t="n">
        <v>45566</v>
      </c>
      <c r="D627" t="inlineStr">
        <is>
          <t>NORRBOTTENS LÄN</t>
        </is>
      </c>
      <c r="E627" t="inlineStr">
        <is>
          <t>LULEÅ</t>
        </is>
      </c>
      <c r="G627" t="n">
        <v>4.5</v>
      </c>
      <c r="H627" t="n">
        <v>0</v>
      </c>
      <c r="I627" t="n">
        <v>0</v>
      </c>
      <c r="J627" t="n">
        <v>0</v>
      </c>
      <c r="K627" t="n">
        <v>0</v>
      </c>
      <c r="L627" t="n">
        <v>0</v>
      </c>
      <c r="M627" t="n">
        <v>0</v>
      </c>
      <c r="N627" t="n">
        <v>0</v>
      </c>
      <c r="O627" t="n">
        <v>0</v>
      </c>
      <c r="P627" t="n">
        <v>0</v>
      </c>
      <c r="Q627" t="n">
        <v>0</v>
      </c>
      <c r="R627" s="2" t="inlineStr"/>
    </row>
    <row r="628" ht="15" customHeight="1">
      <c r="A628" t="inlineStr">
        <is>
          <t>A 56379-2023</t>
        </is>
      </c>
      <c r="B628" s="1" t="n">
        <v>45243</v>
      </c>
      <c r="C628" s="1" t="n">
        <v>45566</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57932-2023</t>
        </is>
      </c>
      <c r="B629" s="1" t="n">
        <v>45244</v>
      </c>
      <c r="C629" s="1" t="n">
        <v>45566</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57902-2023</t>
        </is>
      </c>
      <c r="B630" s="1" t="n">
        <v>45247</v>
      </c>
      <c r="C630" s="1" t="n">
        <v>45566</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57908-2023</t>
        </is>
      </c>
      <c r="B631" s="1" t="n">
        <v>45247</v>
      </c>
      <c r="C631" s="1" t="n">
        <v>45566</v>
      </c>
      <c r="D631" t="inlineStr">
        <is>
          <t>NORRBOTTENS LÄN</t>
        </is>
      </c>
      <c r="E631" t="inlineStr">
        <is>
          <t>LULEÅ</t>
        </is>
      </c>
      <c r="G631" t="n">
        <v>3.1</v>
      </c>
      <c r="H631" t="n">
        <v>0</v>
      </c>
      <c r="I631" t="n">
        <v>0</v>
      </c>
      <c r="J631" t="n">
        <v>0</v>
      </c>
      <c r="K631" t="n">
        <v>0</v>
      </c>
      <c r="L631" t="n">
        <v>0</v>
      </c>
      <c r="M631" t="n">
        <v>0</v>
      </c>
      <c r="N631" t="n">
        <v>0</v>
      </c>
      <c r="O631" t="n">
        <v>0</v>
      </c>
      <c r="P631" t="n">
        <v>0</v>
      </c>
      <c r="Q631" t="n">
        <v>0</v>
      </c>
      <c r="R631" s="2" t="inlineStr"/>
    </row>
    <row r="632" ht="15" customHeight="1">
      <c r="A632" t="inlineStr">
        <is>
          <t>A 57913-2023</t>
        </is>
      </c>
      <c r="B632" s="1" t="n">
        <v>45247</v>
      </c>
      <c r="C632" s="1" t="n">
        <v>45566</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58066-2023</t>
        </is>
      </c>
      <c r="B633" s="1" t="n">
        <v>45247</v>
      </c>
      <c r="C633" s="1" t="n">
        <v>45566</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58065-2023</t>
        </is>
      </c>
      <c r="B634" s="1" t="n">
        <v>45247</v>
      </c>
      <c r="C634" s="1" t="n">
        <v>45566</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58067-2023</t>
        </is>
      </c>
      <c r="B635" s="1" t="n">
        <v>45247</v>
      </c>
      <c r="C635" s="1" t="n">
        <v>45566</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57911-2023</t>
        </is>
      </c>
      <c r="B636" s="1" t="n">
        <v>45247</v>
      </c>
      <c r="C636" s="1" t="n">
        <v>45566</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58760-2023</t>
        </is>
      </c>
      <c r="B637" s="1" t="n">
        <v>45251</v>
      </c>
      <c r="C637" s="1" t="n">
        <v>45566</v>
      </c>
      <c r="D637" t="inlineStr">
        <is>
          <t>NORRBOTTENS LÄN</t>
        </is>
      </c>
      <c r="E637" t="inlineStr">
        <is>
          <t>LULEÅ</t>
        </is>
      </c>
      <c r="G637" t="n">
        <v>5.4</v>
      </c>
      <c r="H637" t="n">
        <v>0</v>
      </c>
      <c r="I637" t="n">
        <v>0</v>
      </c>
      <c r="J637" t="n">
        <v>0</v>
      </c>
      <c r="K637" t="n">
        <v>0</v>
      </c>
      <c r="L637" t="n">
        <v>0</v>
      </c>
      <c r="M637" t="n">
        <v>0</v>
      </c>
      <c r="N637" t="n">
        <v>0</v>
      </c>
      <c r="O637" t="n">
        <v>0</v>
      </c>
      <c r="P637" t="n">
        <v>0</v>
      </c>
      <c r="Q637" t="n">
        <v>0</v>
      </c>
      <c r="R637" s="2" t="inlineStr"/>
    </row>
    <row r="638" ht="15" customHeight="1">
      <c r="A638" t="inlineStr">
        <is>
          <t>A 58759-2023</t>
        </is>
      </c>
      <c r="B638" s="1" t="n">
        <v>45251</v>
      </c>
      <c r="C638" s="1" t="n">
        <v>45566</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58771-2023</t>
        </is>
      </c>
      <c r="B639" s="1" t="n">
        <v>45252</v>
      </c>
      <c r="C639" s="1" t="n">
        <v>45566</v>
      </c>
      <c r="D639" t="inlineStr">
        <is>
          <t>NORRBOTTENS LÄN</t>
        </is>
      </c>
      <c r="E639" t="inlineStr">
        <is>
          <t>LULEÅ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59371-2023</t>
        </is>
      </c>
      <c r="B640" s="1" t="n">
        <v>45253</v>
      </c>
      <c r="C640" s="1" t="n">
        <v>45566</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59374-2023</t>
        </is>
      </c>
      <c r="B641" s="1" t="n">
        <v>45253</v>
      </c>
      <c r="C641" s="1" t="n">
        <v>45566</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59369-2023</t>
        </is>
      </c>
      <c r="B642" s="1" t="n">
        <v>45253</v>
      </c>
      <c r="C642" s="1" t="n">
        <v>45566</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59555-2023</t>
        </is>
      </c>
      <c r="B643" s="1" t="n">
        <v>45253</v>
      </c>
      <c r="C643" s="1" t="n">
        <v>45566</v>
      </c>
      <c r="D643" t="inlineStr">
        <is>
          <t>NORRBOTTENS LÄN</t>
        </is>
      </c>
      <c r="E643" t="inlineStr">
        <is>
          <t>LULEÅ</t>
        </is>
      </c>
      <c r="G643" t="n">
        <v>5</v>
      </c>
      <c r="H643" t="n">
        <v>0</v>
      </c>
      <c r="I643" t="n">
        <v>0</v>
      </c>
      <c r="J643" t="n">
        <v>0</v>
      </c>
      <c r="K643" t="n">
        <v>0</v>
      </c>
      <c r="L643" t="n">
        <v>0</v>
      </c>
      <c r="M643" t="n">
        <v>0</v>
      </c>
      <c r="N643" t="n">
        <v>0</v>
      </c>
      <c r="O643" t="n">
        <v>0</v>
      </c>
      <c r="P643" t="n">
        <v>0</v>
      </c>
      <c r="Q643" t="n">
        <v>0</v>
      </c>
      <c r="R643" s="2" t="inlineStr"/>
    </row>
    <row r="644" ht="15" customHeight="1">
      <c r="A644" t="inlineStr">
        <is>
          <t>A 59681-2023</t>
        </is>
      </c>
      <c r="B644" s="1" t="n">
        <v>45255</v>
      </c>
      <c r="C644" s="1" t="n">
        <v>45566</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45566</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59683-2023</t>
        </is>
      </c>
      <c r="B646" s="1" t="n">
        <v>45255</v>
      </c>
      <c r="C646" s="1" t="n">
        <v>45566</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60565-2023</t>
        </is>
      </c>
      <c r="B647" s="1" t="n">
        <v>45259</v>
      </c>
      <c r="C647" s="1" t="n">
        <v>45566</v>
      </c>
      <c r="D647" t="inlineStr">
        <is>
          <t>NORRBOTTENS LÄN</t>
        </is>
      </c>
      <c r="E647" t="inlineStr">
        <is>
          <t>LULEÅ</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60570-2023</t>
        </is>
      </c>
      <c r="B648" s="1" t="n">
        <v>45259</v>
      </c>
      <c r="C648" s="1" t="n">
        <v>45566</v>
      </c>
      <c r="D648" t="inlineStr">
        <is>
          <t>NORRBOTTENS LÄN</t>
        </is>
      </c>
      <c r="E648" t="inlineStr">
        <is>
          <t>LULEÅ</t>
        </is>
      </c>
      <c r="G648" t="n">
        <v>7.3</v>
      </c>
      <c r="H648" t="n">
        <v>0</v>
      </c>
      <c r="I648" t="n">
        <v>0</v>
      </c>
      <c r="J648" t="n">
        <v>0</v>
      </c>
      <c r="K648" t="n">
        <v>0</v>
      </c>
      <c r="L648" t="n">
        <v>0</v>
      </c>
      <c r="M648" t="n">
        <v>0</v>
      </c>
      <c r="N648" t="n">
        <v>0</v>
      </c>
      <c r="O648" t="n">
        <v>0</v>
      </c>
      <c r="P648" t="n">
        <v>0</v>
      </c>
      <c r="Q648" t="n">
        <v>0</v>
      </c>
      <c r="R648" s="2" t="inlineStr"/>
    </row>
    <row r="649" ht="15" customHeight="1">
      <c r="A649" t="inlineStr">
        <is>
          <t>A 60651-2023</t>
        </is>
      </c>
      <c r="B649" s="1" t="n">
        <v>45260</v>
      </c>
      <c r="C649" s="1" t="n">
        <v>45566</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60682-2023</t>
        </is>
      </c>
      <c r="B650" s="1" t="n">
        <v>45260</v>
      </c>
      <c r="C650" s="1" t="n">
        <v>45566</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60657-2023</t>
        </is>
      </c>
      <c r="B651" s="1" t="n">
        <v>45260</v>
      </c>
      <c r="C651" s="1" t="n">
        <v>45566</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60683-2023</t>
        </is>
      </c>
      <c r="B652" s="1" t="n">
        <v>45260</v>
      </c>
      <c r="C652" s="1" t="n">
        <v>45566</v>
      </c>
      <c r="D652" t="inlineStr">
        <is>
          <t>NORRBOTTENS LÄN</t>
        </is>
      </c>
      <c r="E652" t="inlineStr">
        <is>
          <t>LULEÅ</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61127-2023</t>
        </is>
      </c>
      <c r="B653" s="1" t="n">
        <v>45260</v>
      </c>
      <c r="C653" s="1" t="n">
        <v>45566</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61072-2023</t>
        </is>
      </c>
      <c r="B654" s="1" t="n">
        <v>45261</v>
      </c>
      <c r="C654" s="1" t="n">
        <v>45566</v>
      </c>
      <c r="D654" t="inlineStr">
        <is>
          <t>NORRBOTTENS LÄN</t>
        </is>
      </c>
      <c r="E654" t="inlineStr">
        <is>
          <t>LULEÅ</t>
        </is>
      </c>
      <c r="G654" t="n">
        <v>20.5</v>
      </c>
      <c r="H654" t="n">
        <v>0</v>
      </c>
      <c r="I654" t="n">
        <v>0</v>
      </c>
      <c r="J654" t="n">
        <v>0</v>
      </c>
      <c r="K654" t="n">
        <v>0</v>
      </c>
      <c r="L654" t="n">
        <v>0</v>
      </c>
      <c r="M654" t="n">
        <v>0</v>
      </c>
      <c r="N654" t="n">
        <v>0</v>
      </c>
      <c r="O654" t="n">
        <v>0</v>
      </c>
      <c r="P654" t="n">
        <v>0</v>
      </c>
      <c r="Q654" t="n">
        <v>0</v>
      </c>
      <c r="R654" s="2" t="inlineStr"/>
    </row>
    <row r="655" ht="15" customHeight="1">
      <c r="A655" t="inlineStr">
        <is>
          <t>A 61866-2023</t>
        </is>
      </c>
      <c r="B655" s="1" t="n">
        <v>45264</v>
      </c>
      <c r="C655" s="1" t="n">
        <v>45566</v>
      </c>
      <c r="D655" t="inlineStr">
        <is>
          <t>NORRBOTTENS LÄN</t>
        </is>
      </c>
      <c r="E655" t="inlineStr">
        <is>
          <t>LULEÅ</t>
        </is>
      </c>
      <c r="G655" t="n">
        <v>0.8</v>
      </c>
      <c r="H655" t="n">
        <v>0</v>
      </c>
      <c r="I655" t="n">
        <v>0</v>
      </c>
      <c r="J655" t="n">
        <v>0</v>
      </c>
      <c r="K655" t="n">
        <v>0</v>
      </c>
      <c r="L655" t="n">
        <v>0</v>
      </c>
      <c r="M655" t="n">
        <v>0</v>
      </c>
      <c r="N655" t="n">
        <v>0</v>
      </c>
      <c r="O655" t="n">
        <v>0</v>
      </c>
      <c r="P655" t="n">
        <v>0</v>
      </c>
      <c r="Q655" t="n">
        <v>0</v>
      </c>
      <c r="R655" s="2" t="inlineStr"/>
    </row>
    <row r="656" ht="15" customHeight="1">
      <c r="A656" t="inlineStr">
        <is>
          <t>A 61900-2023</t>
        </is>
      </c>
      <c r="B656" s="1" t="n">
        <v>45264</v>
      </c>
      <c r="C656" s="1" t="n">
        <v>45566</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61891-2023</t>
        </is>
      </c>
      <c r="B657" s="1" t="n">
        <v>45264</v>
      </c>
      <c r="C657" s="1" t="n">
        <v>45566</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62011-2023</t>
        </is>
      </c>
      <c r="B658" s="1" t="n">
        <v>45266</v>
      </c>
      <c r="C658" s="1" t="n">
        <v>45566</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62048-2023</t>
        </is>
      </c>
      <c r="B659" s="1" t="n">
        <v>45266</v>
      </c>
      <c r="C659" s="1" t="n">
        <v>45566</v>
      </c>
      <c r="D659" t="inlineStr">
        <is>
          <t>NORRBOTTENS LÄN</t>
        </is>
      </c>
      <c r="E659" t="inlineStr">
        <is>
          <t>LULEÅ</t>
        </is>
      </c>
      <c r="G659" t="n">
        <v>5.1</v>
      </c>
      <c r="H659" t="n">
        <v>0</v>
      </c>
      <c r="I659" t="n">
        <v>0</v>
      </c>
      <c r="J659" t="n">
        <v>0</v>
      </c>
      <c r="K659" t="n">
        <v>0</v>
      </c>
      <c r="L659" t="n">
        <v>0</v>
      </c>
      <c r="M659" t="n">
        <v>0</v>
      </c>
      <c r="N659" t="n">
        <v>0</v>
      </c>
      <c r="O659" t="n">
        <v>0</v>
      </c>
      <c r="P659" t="n">
        <v>0</v>
      </c>
      <c r="Q659" t="n">
        <v>0</v>
      </c>
      <c r="R659" s="2" t="inlineStr"/>
    </row>
    <row r="660" ht="15" customHeight="1">
      <c r="A660" t="inlineStr">
        <is>
          <t>A 62053-2023</t>
        </is>
      </c>
      <c r="B660" s="1" t="n">
        <v>45266</v>
      </c>
      <c r="C660" s="1" t="n">
        <v>45566</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63260-2023</t>
        </is>
      </c>
      <c r="B661" s="1" t="n">
        <v>45273</v>
      </c>
      <c r="C661" s="1" t="n">
        <v>45566</v>
      </c>
      <c r="D661" t="inlineStr">
        <is>
          <t>NORRBOTTENS LÄN</t>
        </is>
      </c>
      <c r="E661" t="inlineStr">
        <is>
          <t>LULEÅ</t>
        </is>
      </c>
      <c r="G661" t="n">
        <v>7.1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v>
      </c>
      <c r="C662" s="1" t="n">
        <v>45566</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63909-2023</t>
        </is>
      </c>
      <c r="B663" s="1" t="n">
        <v>45278</v>
      </c>
      <c r="C663" s="1" t="n">
        <v>45566</v>
      </c>
      <c r="D663" t="inlineStr">
        <is>
          <t>NORRBOTTENS LÄN</t>
        </is>
      </c>
      <c r="E663" t="inlineStr">
        <is>
          <t>LULEÅ</t>
        </is>
      </c>
      <c r="G663" t="n">
        <v>7.9</v>
      </c>
      <c r="H663" t="n">
        <v>0</v>
      </c>
      <c r="I663" t="n">
        <v>0</v>
      </c>
      <c r="J663" t="n">
        <v>0</v>
      </c>
      <c r="K663" t="n">
        <v>0</v>
      </c>
      <c r="L663" t="n">
        <v>0</v>
      </c>
      <c r="M663" t="n">
        <v>0</v>
      </c>
      <c r="N663" t="n">
        <v>0</v>
      </c>
      <c r="O663" t="n">
        <v>0</v>
      </c>
      <c r="P663" t="n">
        <v>0</v>
      </c>
      <c r="Q663" t="n">
        <v>0</v>
      </c>
      <c r="R663" s="2" t="inlineStr"/>
    </row>
    <row r="664" ht="15" customHeight="1">
      <c r="A664" t="inlineStr">
        <is>
          <t>A 63864-2023</t>
        </is>
      </c>
      <c r="B664" s="1" t="n">
        <v>45278</v>
      </c>
      <c r="C664" s="1" t="n">
        <v>45566</v>
      </c>
      <c r="D664" t="inlineStr">
        <is>
          <t>NORRBOTTENS LÄN</t>
        </is>
      </c>
      <c r="E664" t="inlineStr">
        <is>
          <t>LULEÅ</t>
        </is>
      </c>
      <c r="G664" t="n">
        <v>1.6</v>
      </c>
      <c r="H664" t="n">
        <v>0</v>
      </c>
      <c r="I664" t="n">
        <v>0</v>
      </c>
      <c r="J664" t="n">
        <v>0</v>
      </c>
      <c r="K664" t="n">
        <v>0</v>
      </c>
      <c r="L664" t="n">
        <v>0</v>
      </c>
      <c r="M664" t="n">
        <v>0</v>
      </c>
      <c r="N664" t="n">
        <v>0</v>
      </c>
      <c r="O664" t="n">
        <v>0</v>
      </c>
      <c r="P664" t="n">
        <v>0</v>
      </c>
      <c r="Q664" t="n">
        <v>0</v>
      </c>
      <c r="R664" s="2" t="inlineStr"/>
    </row>
    <row r="665" ht="15" customHeight="1">
      <c r="A665" t="inlineStr">
        <is>
          <t>A 64242-2023</t>
        </is>
      </c>
      <c r="B665" s="1" t="n">
        <v>45279</v>
      </c>
      <c r="C665" s="1" t="n">
        <v>45566</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64240-2023</t>
        </is>
      </c>
      <c r="B666" s="1" t="n">
        <v>45279</v>
      </c>
      <c r="C666" s="1" t="n">
        <v>45566</v>
      </c>
      <c r="D666" t="inlineStr">
        <is>
          <t>NORRBOTTENS LÄN</t>
        </is>
      </c>
      <c r="E666" t="inlineStr">
        <is>
          <t>LULEÅ</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64398-2023</t>
        </is>
      </c>
      <c r="B667" s="1" t="n">
        <v>45280</v>
      </c>
      <c r="C667" s="1" t="n">
        <v>45566</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64402-2023</t>
        </is>
      </c>
      <c r="B668" s="1" t="n">
        <v>45280</v>
      </c>
      <c r="C668" s="1" t="n">
        <v>45566</v>
      </c>
      <c r="D668" t="inlineStr">
        <is>
          <t>NORRBOTTENS LÄN</t>
        </is>
      </c>
      <c r="E668" t="inlineStr">
        <is>
          <t>LULEÅ</t>
        </is>
      </c>
      <c r="G668" t="n">
        <v>3.2</v>
      </c>
      <c r="H668" t="n">
        <v>0</v>
      </c>
      <c r="I668" t="n">
        <v>0</v>
      </c>
      <c r="J668" t="n">
        <v>0</v>
      </c>
      <c r="K668" t="n">
        <v>0</v>
      </c>
      <c r="L668" t="n">
        <v>0</v>
      </c>
      <c r="M668" t="n">
        <v>0</v>
      </c>
      <c r="N668" t="n">
        <v>0</v>
      </c>
      <c r="O668" t="n">
        <v>0</v>
      </c>
      <c r="P668" t="n">
        <v>0</v>
      </c>
      <c r="Q668" t="n">
        <v>0</v>
      </c>
      <c r="R668" s="2" t="inlineStr"/>
    </row>
    <row r="669" ht="15" customHeight="1">
      <c r="A669" t="inlineStr">
        <is>
          <t>A 105-2024</t>
        </is>
      </c>
      <c r="B669" s="1" t="n">
        <v>45293</v>
      </c>
      <c r="C669" s="1" t="n">
        <v>45566</v>
      </c>
      <c r="D669" t="inlineStr">
        <is>
          <t>NORRBOTTENS LÄN</t>
        </is>
      </c>
      <c r="E669" t="inlineStr">
        <is>
          <t>LULEÅ</t>
        </is>
      </c>
      <c r="G669" t="n">
        <v>3.7</v>
      </c>
      <c r="H669" t="n">
        <v>0</v>
      </c>
      <c r="I669" t="n">
        <v>0</v>
      </c>
      <c r="J669" t="n">
        <v>0</v>
      </c>
      <c r="K669" t="n">
        <v>0</v>
      </c>
      <c r="L669" t="n">
        <v>0</v>
      </c>
      <c r="M669" t="n">
        <v>0</v>
      </c>
      <c r="N669" t="n">
        <v>0</v>
      </c>
      <c r="O669" t="n">
        <v>0</v>
      </c>
      <c r="P669" t="n">
        <v>0</v>
      </c>
      <c r="Q669" t="n">
        <v>0</v>
      </c>
      <c r="R669" s="2" t="inlineStr"/>
    </row>
    <row r="670" ht="15" customHeight="1">
      <c r="A670" t="inlineStr">
        <is>
          <t>A 104-2024</t>
        </is>
      </c>
      <c r="B670" s="1" t="n">
        <v>45293</v>
      </c>
      <c r="C670" s="1" t="n">
        <v>45566</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294-2024</t>
        </is>
      </c>
      <c r="B671" s="1" t="n">
        <v>45294</v>
      </c>
      <c r="C671" s="1" t="n">
        <v>45566</v>
      </c>
      <c r="D671" t="inlineStr">
        <is>
          <t>NORRBOTTENS LÄN</t>
        </is>
      </c>
      <c r="E671" t="inlineStr">
        <is>
          <t>LULEÅ</t>
        </is>
      </c>
      <c r="G671" t="n">
        <v>4.3</v>
      </c>
      <c r="H671" t="n">
        <v>0</v>
      </c>
      <c r="I671" t="n">
        <v>0</v>
      </c>
      <c r="J671" t="n">
        <v>0</v>
      </c>
      <c r="K671" t="n">
        <v>0</v>
      </c>
      <c r="L671" t="n">
        <v>0</v>
      </c>
      <c r="M671" t="n">
        <v>0</v>
      </c>
      <c r="N671" t="n">
        <v>0</v>
      </c>
      <c r="O671" t="n">
        <v>0</v>
      </c>
      <c r="P671" t="n">
        <v>0</v>
      </c>
      <c r="Q671" t="n">
        <v>0</v>
      </c>
      <c r="R671" s="2" t="inlineStr"/>
    </row>
    <row r="672" ht="15" customHeight="1">
      <c r="A672" t="inlineStr">
        <is>
          <t>A 454-2024</t>
        </is>
      </c>
      <c r="B672" s="1" t="n">
        <v>45296</v>
      </c>
      <c r="C672" s="1" t="n">
        <v>45566</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1138-2024</t>
        </is>
      </c>
      <c r="B673" s="1" t="n">
        <v>45302</v>
      </c>
      <c r="C673" s="1" t="n">
        <v>45566</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1312-2024</t>
        </is>
      </c>
      <c r="B674" s="1" t="n">
        <v>45303</v>
      </c>
      <c r="C674" s="1" t="n">
        <v>45566</v>
      </c>
      <c r="D674" t="inlineStr">
        <is>
          <t>NORRBOTTENS LÄN</t>
        </is>
      </c>
      <c r="E674" t="inlineStr">
        <is>
          <t>LULEÅ</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1518-2024</t>
        </is>
      </c>
      <c r="B675" s="1" t="n">
        <v>45306</v>
      </c>
      <c r="C675" s="1" t="n">
        <v>45566</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1517-2024</t>
        </is>
      </c>
      <c r="B676" s="1" t="n">
        <v>45306</v>
      </c>
      <c r="C676" s="1" t="n">
        <v>45566</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2215-2024</t>
        </is>
      </c>
      <c r="B677" s="1" t="n">
        <v>45309</v>
      </c>
      <c r="C677" s="1" t="n">
        <v>45566</v>
      </c>
      <c r="D677" t="inlineStr">
        <is>
          <t>NORRBOTTENS LÄN</t>
        </is>
      </c>
      <c r="E677" t="inlineStr">
        <is>
          <t>LULEÅ</t>
        </is>
      </c>
      <c r="G677" t="n">
        <v>7.8</v>
      </c>
      <c r="H677" t="n">
        <v>0</v>
      </c>
      <c r="I677" t="n">
        <v>0</v>
      </c>
      <c r="J677" t="n">
        <v>0</v>
      </c>
      <c r="K677" t="n">
        <v>0</v>
      </c>
      <c r="L677" t="n">
        <v>0</v>
      </c>
      <c r="M677" t="n">
        <v>0</v>
      </c>
      <c r="N677" t="n">
        <v>0</v>
      </c>
      <c r="O677" t="n">
        <v>0</v>
      </c>
      <c r="P677" t="n">
        <v>0</v>
      </c>
      <c r="Q677" t="n">
        <v>0</v>
      </c>
      <c r="R677" s="2" t="inlineStr"/>
    </row>
    <row r="678" ht="15" customHeight="1">
      <c r="A678" t="inlineStr">
        <is>
          <t>A 2209-2024</t>
        </is>
      </c>
      <c r="B678" s="1" t="n">
        <v>45309</v>
      </c>
      <c r="C678" s="1" t="n">
        <v>45566</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2208-2024</t>
        </is>
      </c>
      <c r="B679" s="1" t="n">
        <v>45309</v>
      </c>
      <c r="C679" s="1" t="n">
        <v>45566</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2093-2024</t>
        </is>
      </c>
      <c r="B680" s="1" t="n">
        <v>45309</v>
      </c>
      <c r="C680" s="1" t="n">
        <v>45566</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2216-2024</t>
        </is>
      </c>
      <c r="B681" s="1" t="n">
        <v>45309</v>
      </c>
      <c r="C681" s="1" t="n">
        <v>45566</v>
      </c>
      <c r="D681" t="inlineStr">
        <is>
          <t>NORRBOTTENS LÄN</t>
        </is>
      </c>
      <c r="E681" t="inlineStr">
        <is>
          <t>LULEÅ</t>
        </is>
      </c>
      <c r="G681" t="n">
        <v>4.7</v>
      </c>
      <c r="H681" t="n">
        <v>0</v>
      </c>
      <c r="I681" t="n">
        <v>0</v>
      </c>
      <c r="J681" t="n">
        <v>0</v>
      </c>
      <c r="K681" t="n">
        <v>0</v>
      </c>
      <c r="L681" t="n">
        <v>0</v>
      </c>
      <c r="M681" t="n">
        <v>0</v>
      </c>
      <c r="N681" t="n">
        <v>0</v>
      </c>
      <c r="O681" t="n">
        <v>0</v>
      </c>
      <c r="P681" t="n">
        <v>0</v>
      </c>
      <c r="Q681" t="n">
        <v>0</v>
      </c>
      <c r="R681" s="2" t="inlineStr"/>
    </row>
    <row r="682" ht="15" customHeight="1">
      <c r="A682" t="inlineStr">
        <is>
          <t>A 2217-2024</t>
        </is>
      </c>
      <c r="B682" s="1" t="n">
        <v>45309</v>
      </c>
      <c r="C682" s="1" t="n">
        <v>45566</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3209-2024</t>
        </is>
      </c>
      <c r="B683" s="1" t="n">
        <v>45316</v>
      </c>
      <c r="C683" s="1" t="n">
        <v>45566</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3286-2024</t>
        </is>
      </c>
      <c r="B684" s="1" t="n">
        <v>45317</v>
      </c>
      <c r="C684" s="1" t="n">
        <v>45566</v>
      </c>
      <c r="D684" t="inlineStr">
        <is>
          <t>NORRBOTTENS LÄN</t>
        </is>
      </c>
      <c r="E684" t="inlineStr">
        <is>
          <t>LULEÅ</t>
        </is>
      </c>
      <c r="G684" t="n">
        <v>1.4</v>
      </c>
      <c r="H684" t="n">
        <v>0</v>
      </c>
      <c r="I684" t="n">
        <v>0</v>
      </c>
      <c r="J684" t="n">
        <v>0</v>
      </c>
      <c r="K684" t="n">
        <v>0</v>
      </c>
      <c r="L684" t="n">
        <v>0</v>
      </c>
      <c r="M684" t="n">
        <v>0</v>
      </c>
      <c r="N684" t="n">
        <v>0</v>
      </c>
      <c r="O684" t="n">
        <v>0</v>
      </c>
      <c r="P684" t="n">
        <v>0</v>
      </c>
      <c r="Q684" t="n">
        <v>0</v>
      </c>
      <c r="R684" s="2" t="inlineStr"/>
    </row>
    <row r="685" ht="15" customHeight="1">
      <c r="A685" t="inlineStr">
        <is>
          <t>A 3558-2024</t>
        </is>
      </c>
      <c r="B685" s="1" t="n">
        <v>45320</v>
      </c>
      <c r="C685" s="1" t="n">
        <v>45566</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3985-2024</t>
        </is>
      </c>
      <c r="B686" s="1" t="n">
        <v>45322</v>
      </c>
      <c r="C686" s="1" t="n">
        <v>45566</v>
      </c>
      <c r="D686" t="inlineStr">
        <is>
          <t>NORRBOTTENS LÄN</t>
        </is>
      </c>
      <c r="E686" t="inlineStr">
        <is>
          <t>LULEÅ</t>
        </is>
      </c>
      <c r="G686" t="n">
        <v>6.3</v>
      </c>
      <c r="H686" t="n">
        <v>0</v>
      </c>
      <c r="I686" t="n">
        <v>0</v>
      </c>
      <c r="J686" t="n">
        <v>0</v>
      </c>
      <c r="K686" t="n">
        <v>0</v>
      </c>
      <c r="L686" t="n">
        <v>0</v>
      </c>
      <c r="M686" t="n">
        <v>0</v>
      </c>
      <c r="N686" t="n">
        <v>0</v>
      </c>
      <c r="O686" t="n">
        <v>0</v>
      </c>
      <c r="P686" t="n">
        <v>0</v>
      </c>
      <c r="Q686" t="n">
        <v>0</v>
      </c>
      <c r="R686" s="2" t="inlineStr"/>
    </row>
    <row r="687" ht="15" customHeight="1">
      <c r="A687" t="inlineStr">
        <is>
          <t>A 4115-2024</t>
        </is>
      </c>
      <c r="B687" s="1" t="n">
        <v>45323</v>
      </c>
      <c r="C687" s="1" t="n">
        <v>45566</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4123-2024</t>
        </is>
      </c>
      <c r="B688" s="1" t="n">
        <v>45323</v>
      </c>
      <c r="C688" s="1" t="n">
        <v>45566</v>
      </c>
      <c r="D688" t="inlineStr">
        <is>
          <t>NORRBOTTENS LÄN</t>
        </is>
      </c>
      <c r="E688" t="inlineStr">
        <is>
          <t>LULEÅ</t>
        </is>
      </c>
      <c r="G688" t="n">
        <v>5.3</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45566</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4553-2024</t>
        </is>
      </c>
      <c r="B690" s="1" t="n">
        <v>45327</v>
      </c>
      <c r="C690" s="1" t="n">
        <v>45566</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4554-2024</t>
        </is>
      </c>
      <c r="B691" s="1" t="n">
        <v>45327</v>
      </c>
      <c r="C691" s="1" t="n">
        <v>45566</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4558-2024</t>
        </is>
      </c>
      <c r="B692" s="1" t="n">
        <v>45327</v>
      </c>
      <c r="C692" s="1" t="n">
        <v>45566</v>
      </c>
      <c r="D692" t="inlineStr">
        <is>
          <t>NORRBOTTENS LÄN</t>
        </is>
      </c>
      <c r="E692" t="inlineStr">
        <is>
          <t>LULEÅ</t>
        </is>
      </c>
      <c r="G692" t="n">
        <v>2.4</v>
      </c>
      <c r="H692" t="n">
        <v>0</v>
      </c>
      <c r="I692" t="n">
        <v>0</v>
      </c>
      <c r="J692" t="n">
        <v>0</v>
      </c>
      <c r="K692" t="n">
        <v>0</v>
      </c>
      <c r="L692" t="n">
        <v>0</v>
      </c>
      <c r="M692" t="n">
        <v>0</v>
      </c>
      <c r="N692" t="n">
        <v>0</v>
      </c>
      <c r="O692" t="n">
        <v>0</v>
      </c>
      <c r="P692" t="n">
        <v>0</v>
      </c>
      <c r="Q692" t="n">
        <v>0</v>
      </c>
      <c r="R692" s="2" t="inlineStr"/>
    </row>
    <row r="693" ht="15" customHeight="1">
      <c r="A693" t="inlineStr">
        <is>
          <t>A 4559-2024</t>
        </is>
      </c>
      <c r="B693" s="1" t="n">
        <v>45327</v>
      </c>
      <c r="C693" s="1" t="n">
        <v>45566</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4636-2024</t>
        </is>
      </c>
      <c r="B694" s="1" t="n">
        <v>45328</v>
      </c>
      <c r="C694" s="1" t="n">
        <v>45566</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4627-2024</t>
        </is>
      </c>
      <c r="B695" s="1" t="n">
        <v>45328</v>
      </c>
      <c r="C695" s="1" t="n">
        <v>45566</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4643-2024</t>
        </is>
      </c>
      <c r="B696" s="1" t="n">
        <v>45328</v>
      </c>
      <c r="C696" s="1" t="n">
        <v>45566</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45566</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4771-2024</t>
        </is>
      </c>
      <c r="B698" s="1" t="n">
        <v>45328</v>
      </c>
      <c r="C698" s="1" t="n">
        <v>45566</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4765-2024</t>
        </is>
      </c>
      <c r="B699" s="1" t="n">
        <v>45328</v>
      </c>
      <c r="C699" s="1" t="n">
        <v>45566</v>
      </c>
      <c r="D699" t="inlineStr">
        <is>
          <t>NORRBOTTENS LÄN</t>
        </is>
      </c>
      <c r="E699" t="inlineStr">
        <is>
          <t>LULEÅ</t>
        </is>
      </c>
      <c r="G699" t="n">
        <v>5.8</v>
      </c>
      <c r="H699" t="n">
        <v>0</v>
      </c>
      <c r="I699" t="n">
        <v>0</v>
      </c>
      <c r="J699" t="n">
        <v>0</v>
      </c>
      <c r="K699" t="n">
        <v>0</v>
      </c>
      <c r="L699" t="n">
        <v>0</v>
      </c>
      <c r="M699" t="n">
        <v>0</v>
      </c>
      <c r="N699" t="n">
        <v>0</v>
      </c>
      <c r="O699" t="n">
        <v>0</v>
      </c>
      <c r="P699" t="n">
        <v>0</v>
      </c>
      <c r="Q699" t="n">
        <v>0</v>
      </c>
      <c r="R699" s="2" t="inlineStr"/>
    </row>
    <row r="700" ht="15" customHeight="1">
      <c r="A700" t="inlineStr">
        <is>
          <t>A 4769-2024</t>
        </is>
      </c>
      <c r="B700" s="1" t="n">
        <v>45328</v>
      </c>
      <c r="C700" s="1" t="n">
        <v>45566</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5048-2024</t>
        </is>
      </c>
      <c r="B701" s="1" t="n">
        <v>45329</v>
      </c>
      <c r="C701" s="1" t="n">
        <v>45566</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5047-2024</t>
        </is>
      </c>
      <c r="B702" s="1" t="n">
        <v>45329</v>
      </c>
      <c r="C702" s="1" t="n">
        <v>45566</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5137-2024</t>
        </is>
      </c>
      <c r="B703" s="1" t="n">
        <v>45330</v>
      </c>
      <c r="C703" s="1" t="n">
        <v>45566</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5150-2024</t>
        </is>
      </c>
      <c r="B704" s="1" t="n">
        <v>45330</v>
      </c>
      <c r="C704" s="1" t="n">
        <v>45566</v>
      </c>
      <c r="D704" t="inlineStr">
        <is>
          <t>NORRBOTTENS LÄN</t>
        </is>
      </c>
      <c r="E704" t="inlineStr">
        <is>
          <t>LULEÅ</t>
        </is>
      </c>
      <c r="G704" t="n">
        <v>5.1</v>
      </c>
      <c r="H704" t="n">
        <v>0</v>
      </c>
      <c r="I704" t="n">
        <v>0</v>
      </c>
      <c r="J704" t="n">
        <v>0</v>
      </c>
      <c r="K704" t="n">
        <v>0</v>
      </c>
      <c r="L704" t="n">
        <v>0</v>
      </c>
      <c r="M704" t="n">
        <v>0</v>
      </c>
      <c r="N704" t="n">
        <v>0</v>
      </c>
      <c r="O704" t="n">
        <v>0</v>
      </c>
      <c r="P704" t="n">
        <v>0</v>
      </c>
      <c r="Q704" t="n">
        <v>0</v>
      </c>
      <c r="R704" s="2" t="inlineStr"/>
    </row>
    <row r="705" ht="15" customHeight="1">
      <c r="A705" t="inlineStr">
        <is>
          <t>A 5615-2024</t>
        </is>
      </c>
      <c r="B705" s="1" t="n">
        <v>45334</v>
      </c>
      <c r="C705" s="1" t="n">
        <v>45566</v>
      </c>
      <c r="D705" t="inlineStr">
        <is>
          <t>NORRBOTTENS LÄN</t>
        </is>
      </c>
      <c r="E705" t="inlineStr">
        <is>
          <t>LULEÅ</t>
        </is>
      </c>
      <c r="G705" t="n">
        <v>5.6</v>
      </c>
      <c r="H705" t="n">
        <v>0</v>
      </c>
      <c r="I705" t="n">
        <v>0</v>
      </c>
      <c r="J705" t="n">
        <v>0</v>
      </c>
      <c r="K705" t="n">
        <v>0</v>
      </c>
      <c r="L705" t="n">
        <v>0</v>
      </c>
      <c r="M705" t="n">
        <v>0</v>
      </c>
      <c r="N705" t="n">
        <v>0</v>
      </c>
      <c r="O705" t="n">
        <v>0</v>
      </c>
      <c r="P705" t="n">
        <v>0</v>
      </c>
      <c r="Q705" t="n">
        <v>0</v>
      </c>
      <c r="R705" s="2" t="inlineStr"/>
    </row>
    <row r="706" ht="15" customHeight="1">
      <c r="A706" t="inlineStr">
        <is>
          <t>A 6552-2024</t>
        </is>
      </c>
      <c r="B706" s="1" t="n">
        <v>45341</v>
      </c>
      <c r="C706" s="1" t="n">
        <v>45566</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6595-2024</t>
        </is>
      </c>
      <c r="B707" s="1" t="n">
        <v>45341</v>
      </c>
      <c r="C707" s="1" t="n">
        <v>45566</v>
      </c>
      <c r="D707" t="inlineStr">
        <is>
          <t>NORRBOTTENS LÄN</t>
        </is>
      </c>
      <c r="E707" t="inlineStr">
        <is>
          <t>LULEÅ</t>
        </is>
      </c>
      <c r="G707" t="n">
        <v>10.7</v>
      </c>
      <c r="H707" t="n">
        <v>0</v>
      </c>
      <c r="I707" t="n">
        <v>0</v>
      </c>
      <c r="J707" t="n">
        <v>0</v>
      </c>
      <c r="K707" t="n">
        <v>0</v>
      </c>
      <c r="L707" t="n">
        <v>0</v>
      </c>
      <c r="M707" t="n">
        <v>0</v>
      </c>
      <c r="N707" t="n">
        <v>0</v>
      </c>
      <c r="O707" t="n">
        <v>0</v>
      </c>
      <c r="P707" t="n">
        <v>0</v>
      </c>
      <c r="Q707" t="n">
        <v>0</v>
      </c>
      <c r="R707" s="2" t="inlineStr"/>
    </row>
    <row r="708" ht="15" customHeight="1">
      <c r="A708" t="inlineStr">
        <is>
          <t>A 6570-2024</t>
        </is>
      </c>
      <c r="B708" s="1" t="n">
        <v>45341</v>
      </c>
      <c r="C708" s="1" t="n">
        <v>45566</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6596-2024</t>
        </is>
      </c>
      <c r="B709" s="1" t="n">
        <v>45341</v>
      </c>
      <c r="C709" s="1" t="n">
        <v>45566</v>
      </c>
      <c r="D709" t="inlineStr">
        <is>
          <t>NORRBOTTENS LÄN</t>
        </is>
      </c>
      <c r="E709" t="inlineStr">
        <is>
          <t>LULEÅ</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45566</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6718-2024</t>
        </is>
      </c>
      <c r="B711" s="1" t="n">
        <v>45342</v>
      </c>
      <c r="C711" s="1" t="n">
        <v>45566</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6841-2024</t>
        </is>
      </c>
      <c r="B712" s="1" t="n">
        <v>45342</v>
      </c>
      <c r="C712" s="1" t="n">
        <v>45566</v>
      </c>
      <c r="D712" t="inlineStr">
        <is>
          <t>NORRBOTTENS LÄN</t>
        </is>
      </c>
      <c r="E712" t="inlineStr">
        <is>
          <t>LULEÅ</t>
        </is>
      </c>
      <c r="G712" t="n">
        <v>2.8</v>
      </c>
      <c r="H712" t="n">
        <v>0</v>
      </c>
      <c r="I712" t="n">
        <v>0</v>
      </c>
      <c r="J712" t="n">
        <v>0</v>
      </c>
      <c r="K712" t="n">
        <v>0</v>
      </c>
      <c r="L712" t="n">
        <v>0</v>
      </c>
      <c r="M712" t="n">
        <v>0</v>
      </c>
      <c r="N712" t="n">
        <v>0</v>
      </c>
      <c r="O712" t="n">
        <v>0</v>
      </c>
      <c r="P712" t="n">
        <v>0</v>
      </c>
      <c r="Q712" t="n">
        <v>0</v>
      </c>
      <c r="R712" s="2" t="inlineStr"/>
    </row>
    <row r="713" ht="15" customHeight="1">
      <c r="A713" t="inlineStr">
        <is>
          <t>A 7306-2024</t>
        </is>
      </c>
      <c r="B713" s="1" t="n">
        <v>45344</v>
      </c>
      <c r="C713" s="1" t="n">
        <v>45566</v>
      </c>
      <c r="D713" t="inlineStr">
        <is>
          <t>NORRBOTTENS LÄN</t>
        </is>
      </c>
      <c r="E713" t="inlineStr">
        <is>
          <t>LULEÅ</t>
        </is>
      </c>
      <c r="G713" t="n">
        <v>29.2</v>
      </c>
      <c r="H713" t="n">
        <v>0</v>
      </c>
      <c r="I713" t="n">
        <v>0</v>
      </c>
      <c r="J713" t="n">
        <v>0</v>
      </c>
      <c r="K713" t="n">
        <v>0</v>
      </c>
      <c r="L713" t="n">
        <v>0</v>
      </c>
      <c r="M713" t="n">
        <v>0</v>
      </c>
      <c r="N713" t="n">
        <v>0</v>
      </c>
      <c r="O713" t="n">
        <v>0</v>
      </c>
      <c r="P713" t="n">
        <v>0</v>
      </c>
      <c r="Q713" t="n">
        <v>0</v>
      </c>
      <c r="R713" s="2" t="inlineStr"/>
    </row>
    <row r="714" ht="15" customHeight="1">
      <c r="A714" t="inlineStr">
        <is>
          <t>A 7382-2024</t>
        </is>
      </c>
      <c r="B714" s="1" t="n">
        <v>45345</v>
      </c>
      <c r="C714" s="1" t="n">
        <v>45566</v>
      </c>
      <c r="D714" t="inlineStr">
        <is>
          <t>NORRBOTTENS LÄN</t>
        </is>
      </c>
      <c r="E714" t="inlineStr">
        <is>
          <t>LULEÅ</t>
        </is>
      </c>
      <c r="G714" t="n">
        <v>1.7</v>
      </c>
      <c r="H714" t="n">
        <v>0</v>
      </c>
      <c r="I714" t="n">
        <v>0</v>
      </c>
      <c r="J714" t="n">
        <v>0</v>
      </c>
      <c r="K714" t="n">
        <v>0</v>
      </c>
      <c r="L714" t="n">
        <v>0</v>
      </c>
      <c r="M714" t="n">
        <v>0</v>
      </c>
      <c r="N714" t="n">
        <v>0</v>
      </c>
      <c r="O714" t="n">
        <v>0</v>
      </c>
      <c r="P714" t="n">
        <v>0</v>
      </c>
      <c r="Q714" t="n">
        <v>0</v>
      </c>
      <c r="R714" s="2" t="inlineStr"/>
    </row>
    <row r="715" ht="15" customHeight="1">
      <c r="A715" t="inlineStr">
        <is>
          <t>A 8022-2024</t>
        </is>
      </c>
      <c r="B715" s="1" t="n">
        <v>45350</v>
      </c>
      <c r="C715" s="1" t="n">
        <v>45566</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8228-2024</t>
        </is>
      </c>
      <c r="B716" s="1" t="n">
        <v>45351</v>
      </c>
      <c r="C716" s="1" t="n">
        <v>45566</v>
      </c>
      <c r="D716" t="inlineStr">
        <is>
          <t>NORRBOTTENS LÄN</t>
        </is>
      </c>
      <c r="E716" t="inlineStr">
        <is>
          <t>LULEÅ</t>
        </is>
      </c>
      <c r="G716" t="n">
        <v>10.1</v>
      </c>
      <c r="H716" t="n">
        <v>0</v>
      </c>
      <c r="I716" t="n">
        <v>0</v>
      </c>
      <c r="J716" t="n">
        <v>0</v>
      </c>
      <c r="K716" t="n">
        <v>0</v>
      </c>
      <c r="L716" t="n">
        <v>0</v>
      </c>
      <c r="M716" t="n">
        <v>0</v>
      </c>
      <c r="N716" t="n">
        <v>0</v>
      </c>
      <c r="O716" t="n">
        <v>0</v>
      </c>
      <c r="P716" t="n">
        <v>0</v>
      </c>
      <c r="Q716" t="n">
        <v>0</v>
      </c>
      <c r="R716" s="2" t="inlineStr"/>
    </row>
    <row r="717" ht="15" customHeight="1">
      <c r="A717" t="inlineStr">
        <is>
          <t>A 8229-2024</t>
        </is>
      </c>
      <c r="B717" s="1" t="n">
        <v>45351</v>
      </c>
      <c r="C717" s="1" t="n">
        <v>45566</v>
      </c>
      <c r="D717" t="inlineStr">
        <is>
          <t>NORRBOTTENS LÄN</t>
        </is>
      </c>
      <c r="E717" t="inlineStr">
        <is>
          <t>LULEÅ</t>
        </is>
      </c>
      <c r="G717" t="n">
        <v>14.8</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45357</v>
      </c>
      <c r="C718" s="1" t="n">
        <v>45566</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9104-2024</t>
        </is>
      </c>
      <c r="B719" s="1" t="n">
        <v>45357</v>
      </c>
      <c r="C719" s="1" t="n">
        <v>45566</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9166-2024</t>
        </is>
      </c>
      <c r="B720" s="1" t="n">
        <v>45358</v>
      </c>
      <c r="C720" s="1" t="n">
        <v>45566</v>
      </c>
      <c r="D720" t="inlineStr">
        <is>
          <t>NORRBOTTENS LÄN</t>
        </is>
      </c>
      <c r="E720" t="inlineStr">
        <is>
          <t>LULEÅ</t>
        </is>
      </c>
      <c r="G720" t="n">
        <v>4.1</v>
      </c>
      <c r="H720" t="n">
        <v>0</v>
      </c>
      <c r="I720" t="n">
        <v>0</v>
      </c>
      <c r="J720" t="n">
        <v>0</v>
      </c>
      <c r="K720" t="n">
        <v>0</v>
      </c>
      <c r="L720" t="n">
        <v>0</v>
      </c>
      <c r="M720" t="n">
        <v>0</v>
      </c>
      <c r="N720" t="n">
        <v>0</v>
      </c>
      <c r="O720" t="n">
        <v>0</v>
      </c>
      <c r="P720" t="n">
        <v>0</v>
      </c>
      <c r="Q720" t="n">
        <v>0</v>
      </c>
      <c r="R720" s="2" t="inlineStr"/>
    </row>
    <row r="721" ht="15" customHeight="1">
      <c r="A721" t="inlineStr">
        <is>
          <t>A 9776-2024</t>
        </is>
      </c>
      <c r="B721" s="1" t="n">
        <v>45362</v>
      </c>
      <c r="C721" s="1" t="n">
        <v>45566</v>
      </c>
      <c r="D721" t="inlineStr">
        <is>
          <t>NORRBOTTENS LÄN</t>
        </is>
      </c>
      <c r="E721" t="inlineStr">
        <is>
          <t>LULEÅ</t>
        </is>
      </c>
      <c r="G721" t="n">
        <v>0.8</v>
      </c>
      <c r="H721" t="n">
        <v>0</v>
      </c>
      <c r="I721" t="n">
        <v>0</v>
      </c>
      <c r="J721" t="n">
        <v>0</v>
      </c>
      <c r="K721" t="n">
        <v>0</v>
      </c>
      <c r="L721" t="n">
        <v>0</v>
      </c>
      <c r="M721" t="n">
        <v>0</v>
      </c>
      <c r="N721" t="n">
        <v>0</v>
      </c>
      <c r="O721" t="n">
        <v>0</v>
      </c>
      <c r="P721" t="n">
        <v>0</v>
      </c>
      <c r="Q721" t="n">
        <v>0</v>
      </c>
      <c r="R721" s="2" t="inlineStr"/>
    </row>
    <row r="722" ht="15" customHeight="1">
      <c r="A722" t="inlineStr">
        <is>
          <t>A 10418-2024</t>
        </is>
      </c>
      <c r="B722" s="1" t="n">
        <v>45365</v>
      </c>
      <c r="C722" s="1" t="n">
        <v>45566</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10421-2024</t>
        </is>
      </c>
      <c r="B723" s="1" t="n">
        <v>45365</v>
      </c>
      <c r="C723" s="1" t="n">
        <v>45566</v>
      </c>
      <c r="D723" t="inlineStr">
        <is>
          <t>NORRBOTTENS LÄN</t>
        </is>
      </c>
      <c r="E723" t="inlineStr">
        <is>
          <t>LULEÅ</t>
        </is>
      </c>
      <c r="G723" t="n">
        <v>5.2</v>
      </c>
      <c r="H723" t="n">
        <v>0</v>
      </c>
      <c r="I723" t="n">
        <v>0</v>
      </c>
      <c r="J723" t="n">
        <v>0</v>
      </c>
      <c r="K723" t="n">
        <v>0</v>
      </c>
      <c r="L723" t="n">
        <v>0</v>
      </c>
      <c r="M723" t="n">
        <v>0</v>
      </c>
      <c r="N723" t="n">
        <v>0</v>
      </c>
      <c r="O723" t="n">
        <v>0</v>
      </c>
      <c r="P723" t="n">
        <v>0</v>
      </c>
      <c r="Q723" t="n">
        <v>0</v>
      </c>
      <c r="R723" s="2" t="inlineStr"/>
    </row>
    <row r="724" ht="15" customHeight="1">
      <c r="A724" t="inlineStr">
        <is>
          <t>A 10793-2024</t>
        </is>
      </c>
      <c r="B724" s="1" t="n">
        <v>45369</v>
      </c>
      <c r="C724" s="1" t="n">
        <v>45566</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10815-2024</t>
        </is>
      </c>
      <c r="B725" s="1" t="n">
        <v>45369</v>
      </c>
      <c r="C725" s="1" t="n">
        <v>45566</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11294-2024</t>
        </is>
      </c>
      <c r="B726" s="1" t="n">
        <v>45371</v>
      </c>
      <c r="C726" s="1" t="n">
        <v>45566</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11745-2024</t>
        </is>
      </c>
      <c r="B727" s="1" t="n">
        <v>45373</v>
      </c>
      <c r="C727" s="1" t="n">
        <v>45566</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12205-2024</t>
        </is>
      </c>
      <c r="B728" s="1" t="n">
        <v>45377</v>
      </c>
      <c r="C728" s="1" t="n">
        <v>45566</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12332-2024</t>
        </is>
      </c>
      <c r="B729" s="1" t="n">
        <v>45378</v>
      </c>
      <c r="C729" s="1" t="n">
        <v>45566</v>
      </c>
      <c r="D729" t="inlineStr">
        <is>
          <t>NORRBOTTENS LÄN</t>
        </is>
      </c>
      <c r="E729" t="inlineStr">
        <is>
          <t>LULEÅ</t>
        </is>
      </c>
      <c r="G729" t="n">
        <v>0.8</v>
      </c>
      <c r="H729" t="n">
        <v>0</v>
      </c>
      <c r="I729" t="n">
        <v>0</v>
      </c>
      <c r="J729" t="n">
        <v>0</v>
      </c>
      <c r="K729" t="n">
        <v>0</v>
      </c>
      <c r="L729" t="n">
        <v>0</v>
      </c>
      <c r="M729" t="n">
        <v>0</v>
      </c>
      <c r="N729" t="n">
        <v>0</v>
      </c>
      <c r="O729" t="n">
        <v>0</v>
      </c>
      <c r="P729" t="n">
        <v>0</v>
      </c>
      <c r="Q729" t="n">
        <v>0</v>
      </c>
      <c r="R729" s="2" t="inlineStr"/>
    </row>
    <row r="730" ht="15" customHeight="1">
      <c r="A730" t="inlineStr">
        <is>
          <t>A 12282-2024</t>
        </is>
      </c>
      <c r="B730" s="1" t="n">
        <v>45378</v>
      </c>
      <c r="C730" s="1" t="n">
        <v>45566</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12442-2024</t>
        </is>
      </c>
      <c r="B731" s="1" t="n">
        <v>45378</v>
      </c>
      <c r="C731" s="1" t="n">
        <v>45566</v>
      </c>
      <c r="D731" t="inlineStr">
        <is>
          <t>NORRBOTTENS LÄN</t>
        </is>
      </c>
      <c r="E731" t="inlineStr">
        <is>
          <t>LULEÅ</t>
        </is>
      </c>
      <c r="G731" t="n">
        <v>5.6</v>
      </c>
      <c r="H731" t="n">
        <v>0</v>
      </c>
      <c r="I731" t="n">
        <v>0</v>
      </c>
      <c r="J731" t="n">
        <v>0</v>
      </c>
      <c r="K731" t="n">
        <v>0</v>
      </c>
      <c r="L731" t="n">
        <v>0</v>
      </c>
      <c r="M731" t="n">
        <v>0</v>
      </c>
      <c r="N731" t="n">
        <v>0</v>
      </c>
      <c r="O731" t="n">
        <v>0</v>
      </c>
      <c r="P731" t="n">
        <v>0</v>
      </c>
      <c r="Q731" t="n">
        <v>0</v>
      </c>
      <c r="R731" s="2" t="inlineStr"/>
    </row>
    <row r="732" ht="15" customHeight="1">
      <c r="A732" t="inlineStr">
        <is>
          <t>A 12549-2024</t>
        </is>
      </c>
      <c r="B732" s="1" t="n">
        <v>45379</v>
      </c>
      <c r="C732" s="1" t="n">
        <v>45566</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12539-2024</t>
        </is>
      </c>
      <c r="B733" s="1" t="n">
        <v>45379</v>
      </c>
      <c r="C733" s="1" t="n">
        <v>45566</v>
      </c>
      <c r="D733" t="inlineStr">
        <is>
          <t>NORRBOTTENS LÄN</t>
        </is>
      </c>
      <c r="E733" t="inlineStr">
        <is>
          <t>LULEÅ</t>
        </is>
      </c>
      <c r="G733" t="n">
        <v>0.6</v>
      </c>
      <c r="H733" t="n">
        <v>0</v>
      </c>
      <c r="I733" t="n">
        <v>0</v>
      </c>
      <c r="J733" t="n">
        <v>0</v>
      </c>
      <c r="K733" t="n">
        <v>0</v>
      </c>
      <c r="L733" t="n">
        <v>0</v>
      </c>
      <c r="M733" t="n">
        <v>0</v>
      </c>
      <c r="N733" t="n">
        <v>0</v>
      </c>
      <c r="O733" t="n">
        <v>0</v>
      </c>
      <c r="P733" t="n">
        <v>0</v>
      </c>
      <c r="Q733" t="n">
        <v>0</v>
      </c>
      <c r="R733" s="2" t="inlineStr"/>
    </row>
    <row r="734" ht="15" customHeight="1">
      <c r="A734" t="inlineStr">
        <is>
          <t>A 12551-2024</t>
        </is>
      </c>
      <c r="B734" s="1" t="n">
        <v>45379</v>
      </c>
      <c r="C734" s="1" t="n">
        <v>45566</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45566</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12602-2024</t>
        </is>
      </c>
      <c r="B736" s="1" t="n">
        <v>45381</v>
      </c>
      <c r="C736" s="1" t="n">
        <v>45566</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12603-2024</t>
        </is>
      </c>
      <c r="B737" s="1" t="n">
        <v>45381</v>
      </c>
      <c r="C737" s="1" t="n">
        <v>45566</v>
      </c>
      <c r="D737" t="inlineStr">
        <is>
          <t>NORRBOTTENS LÄN</t>
        </is>
      </c>
      <c r="E737" t="inlineStr">
        <is>
          <t>LULEÅ</t>
        </is>
      </c>
      <c r="G737" t="n">
        <v>13.9</v>
      </c>
      <c r="H737" t="n">
        <v>0</v>
      </c>
      <c r="I737" t="n">
        <v>0</v>
      </c>
      <c r="J737" t="n">
        <v>0</v>
      </c>
      <c r="K737" t="n">
        <v>0</v>
      </c>
      <c r="L737" t="n">
        <v>0</v>
      </c>
      <c r="M737" t="n">
        <v>0</v>
      </c>
      <c r="N737" t="n">
        <v>0</v>
      </c>
      <c r="O737" t="n">
        <v>0</v>
      </c>
      <c r="P737" t="n">
        <v>0</v>
      </c>
      <c r="Q737" t="n">
        <v>0</v>
      </c>
      <c r="R737" s="2" t="inlineStr"/>
    </row>
    <row r="738" ht="15" customHeight="1">
      <c r="A738" t="inlineStr">
        <is>
          <t>A 13068-2024</t>
        </is>
      </c>
      <c r="B738" s="1" t="n">
        <v>45385</v>
      </c>
      <c r="C738" s="1" t="n">
        <v>45566</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13063-2024</t>
        </is>
      </c>
      <c r="B739" s="1" t="n">
        <v>45385</v>
      </c>
      <c r="C739" s="1" t="n">
        <v>45566</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13065-2024</t>
        </is>
      </c>
      <c r="B740" s="1" t="n">
        <v>45385</v>
      </c>
      <c r="C740" s="1" t="n">
        <v>45566</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13120-2024</t>
        </is>
      </c>
      <c r="B741" s="1" t="n">
        <v>45385</v>
      </c>
      <c r="C741" s="1" t="n">
        <v>45566</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13846-2024</t>
        </is>
      </c>
      <c r="B742" s="1" t="n">
        <v>45390</v>
      </c>
      <c r="C742" s="1" t="n">
        <v>45566</v>
      </c>
      <c r="D742" t="inlineStr">
        <is>
          <t>NORRBOTTENS LÄN</t>
        </is>
      </c>
      <c r="E742" t="inlineStr">
        <is>
          <t>LULEÅ</t>
        </is>
      </c>
      <c r="G742" t="n">
        <v>16.4</v>
      </c>
      <c r="H742" t="n">
        <v>0</v>
      </c>
      <c r="I742" t="n">
        <v>0</v>
      </c>
      <c r="J742" t="n">
        <v>0</v>
      </c>
      <c r="K742" t="n">
        <v>0</v>
      </c>
      <c r="L742" t="n">
        <v>0</v>
      </c>
      <c r="M742" t="n">
        <v>0</v>
      </c>
      <c r="N742" t="n">
        <v>0</v>
      </c>
      <c r="O742" t="n">
        <v>0</v>
      </c>
      <c r="P742" t="n">
        <v>0</v>
      </c>
      <c r="Q742" t="n">
        <v>0</v>
      </c>
      <c r="R742" s="2" t="inlineStr"/>
    </row>
    <row r="743" ht="15" customHeight="1">
      <c r="A743" t="inlineStr">
        <is>
          <t>A 14056-2024</t>
        </is>
      </c>
      <c r="B743" s="1" t="n">
        <v>45392</v>
      </c>
      <c r="C743" s="1" t="n">
        <v>45566</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14160-2024</t>
        </is>
      </c>
      <c r="B744" s="1" t="n">
        <v>45393</v>
      </c>
      <c r="C744" s="1" t="n">
        <v>45566</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14159-2024</t>
        </is>
      </c>
      <c r="B745" s="1" t="n">
        <v>45393</v>
      </c>
      <c r="C745" s="1" t="n">
        <v>45566</v>
      </c>
      <c r="D745" t="inlineStr">
        <is>
          <t>NORRBOTTENS LÄN</t>
        </is>
      </c>
      <c r="E745" t="inlineStr">
        <is>
          <t>LULEÅ</t>
        </is>
      </c>
      <c r="G745" t="n">
        <v>33.9</v>
      </c>
      <c r="H745" t="n">
        <v>0</v>
      </c>
      <c r="I745" t="n">
        <v>0</v>
      </c>
      <c r="J745" t="n">
        <v>0</v>
      </c>
      <c r="K745" t="n">
        <v>0</v>
      </c>
      <c r="L745" t="n">
        <v>0</v>
      </c>
      <c r="M745" t="n">
        <v>0</v>
      </c>
      <c r="N745" t="n">
        <v>0</v>
      </c>
      <c r="O745" t="n">
        <v>0</v>
      </c>
      <c r="P745" t="n">
        <v>0</v>
      </c>
      <c r="Q745" t="n">
        <v>0</v>
      </c>
      <c r="R745" s="2" t="inlineStr"/>
    </row>
    <row r="746" ht="15" customHeight="1">
      <c r="A746" t="inlineStr">
        <is>
          <t>A 14333-2024</t>
        </is>
      </c>
      <c r="B746" s="1" t="n">
        <v>45393</v>
      </c>
      <c r="C746" s="1" t="n">
        <v>45566</v>
      </c>
      <c r="D746" t="inlineStr">
        <is>
          <t>NORRBOTTENS LÄN</t>
        </is>
      </c>
      <c r="E746" t="inlineStr">
        <is>
          <t>LULEÅ</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14337-2024</t>
        </is>
      </c>
      <c r="B747" s="1" t="n">
        <v>45393</v>
      </c>
      <c r="C747" s="1" t="n">
        <v>45566</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14990-2024</t>
        </is>
      </c>
      <c r="B748" s="1" t="n">
        <v>45399</v>
      </c>
      <c r="C748" s="1" t="n">
        <v>45566</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15928-2024</t>
        </is>
      </c>
      <c r="B749" s="1" t="n">
        <v>45405</v>
      </c>
      <c r="C749" s="1" t="n">
        <v>45566</v>
      </c>
      <c r="D749" t="inlineStr">
        <is>
          <t>NORRBOTTENS LÄN</t>
        </is>
      </c>
      <c r="E749" t="inlineStr">
        <is>
          <t>LULEÅ</t>
        </is>
      </c>
      <c r="G749" t="n">
        <v>4.8</v>
      </c>
      <c r="H749" t="n">
        <v>0</v>
      </c>
      <c r="I749" t="n">
        <v>0</v>
      </c>
      <c r="J749" t="n">
        <v>0</v>
      </c>
      <c r="K749" t="n">
        <v>0</v>
      </c>
      <c r="L749" t="n">
        <v>0</v>
      </c>
      <c r="M749" t="n">
        <v>0</v>
      </c>
      <c r="N749" t="n">
        <v>0</v>
      </c>
      <c r="O749" t="n">
        <v>0</v>
      </c>
      <c r="P749" t="n">
        <v>0</v>
      </c>
      <c r="Q749" t="n">
        <v>0</v>
      </c>
      <c r="R749" s="2" t="inlineStr"/>
    </row>
    <row r="750" ht="15" customHeight="1">
      <c r="A750" t="inlineStr">
        <is>
          <t>A 15920-2024</t>
        </is>
      </c>
      <c r="B750" s="1" t="n">
        <v>45405</v>
      </c>
      <c r="C750" s="1" t="n">
        <v>45566</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16451-2024</t>
        </is>
      </c>
      <c r="B751" s="1" t="n">
        <v>45408</v>
      </c>
      <c r="C751" s="1" t="n">
        <v>45566</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17031-2024</t>
        </is>
      </c>
      <c r="B752" s="1" t="n">
        <v>45411</v>
      </c>
      <c r="C752" s="1" t="n">
        <v>45566</v>
      </c>
      <c r="D752" t="inlineStr">
        <is>
          <t>NORRBOTTENS LÄN</t>
        </is>
      </c>
      <c r="E752" t="inlineStr">
        <is>
          <t>LULEÅ</t>
        </is>
      </c>
      <c r="G752" t="n">
        <v>4.6</v>
      </c>
      <c r="H752" t="n">
        <v>0</v>
      </c>
      <c r="I752" t="n">
        <v>0</v>
      </c>
      <c r="J752" t="n">
        <v>0</v>
      </c>
      <c r="K752" t="n">
        <v>0</v>
      </c>
      <c r="L752" t="n">
        <v>0</v>
      </c>
      <c r="M752" t="n">
        <v>0</v>
      </c>
      <c r="N752" t="n">
        <v>0</v>
      </c>
      <c r="O752" t="n">
        <v>0</v>
      </c>
      <c r="P752" t="n">
        <v>0</v>
      </c>
      <c r="Q752" t="n">
        <v>0</v>
      </c>
      <c r="R752" s="2" t="inlineStr"/>
    </row>
    <row r="753" ht="15" customHeight="1">
      <c r="A753" t="inlineStr">
        <is>
          <t>A 17020-2024</t>
        </is>
      </c>
      <c r="B753" s="1" t="n">
        <v>45411</v>
      </c>
      <c r="C753" s="1" t="n">
        <v>45566</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17175-2024</t>
        </is>
      </c>
      <c r="B754" s="1" t="n">
        <v>45412</v>
      </c>
      <c r="C754" s="1" t="n">
        <v>45566</v>
      </c>
      <c r="D754" t="inlineStr">
        <is>
          <t>NORRBOTTENS LÄN</t>
        </is>
      </c>
      <c r="E754" t="inlineStr">
        <is>
          <t>LULEÅ</t>
        </is>
      </c>
      <c r="F754" t="inlineStr">
        <is>
          <t>SCA</t>
        </is>
      </c>
      <c r="G754" t="n">
        <v>18.5</v>
      </c>
      <c r="H754" t="n">
        <v>0</v>
      </c>
      <c r="I754" t="n">
        <v>0</v>
      </c>
      <c r="J754" t="n">
        <v>0</v>
      </c>
      <c r="K754" t="n">
        <v>0</v>
      </c>
      <c r="L754" t="n">
        <v>0</v>
      </c>
      <c r="M754" t="n">
        <v>0</v>
      </c>
      <c r="N754" t="n">
        <v>0</v>
      </c>
      <c r="O754" t="n">
        <v>0</v>
      </c>
      <c r="P754" t="n">
        <v>0</v>
      </c>
      <c r="Q754" t="n">
        <v>0</v>
      </c>
      <c r="R754" s="2" t="inlineStr"/>
    </row>
    <row r="755" ht="15" customHeight="1">
      <c r="A755" t="inlineStr">
        <is>
          <t>A 17061-2024</t>
        </is>
      </c>
      <c r="B755" s="1" t="n">
        <v>45412</v>
      </c>
      <c r="C755" s="1" t="n">
        <v>45566</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17176-2024</t>
        </is>
      </c>
      <c r="B756" s="1" t="n">
        <v>45412</v>
      </c>
      <c r="C756" s="1" t="n">
        <v>45566</v>
      </c>
      <c r="D756" t="inlineStr">
        <is>
          <t>NORRBOTTENS LÄN</t>
        </is>
      </c>
      <c r="E756" t="inlineStr">
        <is>
          <t>LULEÅ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17125-2024</t>
        </is>
      </c>
      <c r="B757" s="1" t="n">
        <v>45412</v>
      </c>
      <c r="C757" s="1" t="n">
        <v>45566</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18053-2024</t>
        </is>
      </c>
      <c r="B758" s="1" t="n">
        <v>45420</v>
      </c>
      <c r="C758" s="1" t="n">
        <v>45566</v>
      </c>
      <c r="D758" t="inlineStr">
        <is>
          <t>NORRBOTTENS LÄN</t>
        </is>
      </c>
      <c r="E758" t="inlineStr">
        <is>
          <t>LULEÅ</t>
        </is>
      </c>
      <c r="G758" t="n">
        <v>3.7</v>
      </c>
      <c r="H758" t="n">
        <v>0</v>
      </c>
      <c r="I758" t="n">
        <v>0</v>
      </c>
      <c r="J758" t="n">
        <v>0</v>
      </c>
      <c r="K758" t="n">
        <v>0</v>
      </c>
      <c r="L758" t="n">
        <v>0</v>
      </c>
      <c r="M758" t="n">
        <v>0</v>
      </c>
      <c r="N758" t="n">
        <v>0</v>
      </c>
      <c r="O758" t="n">
        <v>0</v>
      </c>
      <c r="P758" t="n">
        <v>0</v>
      </c>
      <c r="Q758" t="n">
        <v>0</v>
      </c>
      <c r="R758" s="2" t="inlineStr"/>
    </row>
    <row r="759" ht="15" customHeight="1">
      <c r="A759" t="inlineStr">
        <is>
          <t>A 18584-2024</t>
        </is>
      </c>
      <c r="B759" s="1" t="n">
        <v>45425</v>
      </c>
      <c r="C759" s="1" t="n">
        <v>45566</v>
      </c>
      <c r="D759" t="inlineStr">
        <is>
          <t>NORRBOTTENS LÄN</t>
        </is>
      </c>
      <c r="E759" t="inlineStr">
        <is>
          <t>LULEÅ</t>
        </is>
      </c>
      <c r="G759" t="n">
        <v>10.1</v>
      </c>
      <c r="H759" t="n">
        <v>0</v>
      </c>
      <c r="I759" t="n">
        <v>0</v>
      </c>
      <c r="J759" t="n">
        <v>0</v>
      </c>
      <c r="K759" t="n">
        <v>0</v>
      </c>
      <c r="L759" t="n">
        <v>0</v>
      </c>
      <c r="M759" t="n">
        <v>0</v>
      </c>
      <c r="N759" t="n">
        <v>0</v>
      </c>
      <c r="O759" t="n">
        <v>0</v>
      </c>
      <c r="P759" t="n">
        <v>0</v>
      </c>
      <c r="Q759" t="n">
        <v>0</v>
      </c>
      <c r="R759" s="2" t="inlineStr"/>
    </row>
    <row r="760" ht="15" customHeight="1">
      <c r="A760" t="inlineStr">
        <is>
          <t>A 18655-2024</t>
        </is>
      </c>
      <c r="B760" s="1" t="n">
        <v>45425</v>
      </c>
      <c r="C760" s="1" t="n">
        <v>45566</v>
      </c>
      <c r="D760" t="inlineStr">
        <is>
          <t>NORRBOTTENS LÄN</t>
        </is>
      </c>
      <c r="E760" t="inlineStr">
        <is>
          <t>LULEÅ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18863-2024</t>
        </is>
      </c>
      <c r="B761" s="1" t="n">
        <v>45426</v>
      </c>
      <c r="C761" s="1" t="n">
        <v>45566</v>
      </c>
      <c r="D761" t="inlineStr">
        <is>
          <t>NORRBOTTENS LÄN</t>
        </is>
      </c>
      <c r="E761" t="inlineStr">
        <is>
          <t>LULEÅ</t>
        </is>
      </c>
      <c r="G761" t="n">
        <v>1.7</v>
      </c>
      <c r="H761" t="n">
        <v>0</v>
      </c>
      <c r="I761" t="n">
        <v>0</v>
      </c>
      <c r="J761" t="n">
        <v>0</v>
      </c>
      <c r="K761" t="n">
        <v>0</v>
      </c>
      <c r="L761" t="n">
        <v>0</v>
      </c>
      <c r="M761" t="n">
        <v>0</v>
      </c>
      <c r="N761" t="n">
        <v>0</v>
      </c>
      <c r="O761" t="n">
        <v>0</v>
      </c>
      <c r="P761" t="n">
        <v>0</v>
      </c>
      <c r="Q761" t="n">
        <v>0</v>
      </c>
      <c r="R761" s="2" t="inlineStr"/>
    </row>
    <row r="762" ht="15" customHeight="1">
      <c r="A762" t="inlineStr">
        <is>
          <t>A 19131-2024</t>
        </is>
      </c>
      <c r="B762" s="1" t="n">
        <v>45427</v>
      </c>
      <c r="C762" s="1" t="n">
        <v>45566</v>
      </c>
      <c r="D762" t="inlineStr">
        <is>
          <t>NORRBOTTENS LÄN</t>
        </is>
      </c>
      <c r="E762" t="inlineStr">
        <is>
          <t>LULEÅ</t>
        </is>
      </c>
      <c r="G762" t="n">
        <v>3.1</v>
      </c>
      <c r="H762" t="n">
        <v>0</v>
      </c>
      <c r="I762" t="n">
        <v>0</v>
      </c>
      <c r="J762" t="n">
        <v>0</v>
      </c>
      <c r="K762" t="n">
        <v>0</v>
      </c>
      <c r="L762" t="n">
        <v>0</v>
      </c>
      <c r="M762" t="n">
        <v>0</v>
      </c>
      <c r="N762" t="n">
        <v>0</v>
      </c>
      <c r="O762" t="n">
        <v>0</v>
      </c>
      <c r="P762" t="n">
        <v>0</v>
      </c>
      <c r="Q762" t="n">
        <v>0</v>
      </c>
      <c r="R762" s="2" t="inlineStr"/>
    </row>
    <row r="763" ht="15" customHeight="1">
      <c r="A763" t="inlineStr">
        <is>
          <t>A 18884-2024</t>
        </is>
      </c>
      <c r="B763" s="1" t="n">
        <v>45427</v>
      </c>
      <c r="C763" s="1" t="n">
        <v>45566</v>
      </c>
      <c r="D763" t="inlineStr">
        <is>
          <t>NORRBOTTENS LÄN</t>
        </is>
      </c>
      <c r="E763" t="inlineStr">
        <is>
          <t>LULEÅ</t>
        </is>
      </c>
      <c r="G763" t="n">
        <v>9.4</v>
      </c>
      <c r="H763" t="n">
        <v>0</v>
      </c>
      <c r="I763" t="n">
        <v>0</v>
      </c>
      <c r="J763" t="n">
        <v>0</v>
      </c>
      <c r="K763" t="n">
        <v>0</v>
      </c>
      <c r="L763" t="n">
        <v>0</v>
      </c>
      <c r="M763" t="n">
        <v>0</v>
      </c>
      <c r="N763" t="n">
        <v>0</v>
      </c>
      <c r="O763" t="n">
        <v>0</v>
      </c>
      <c r="P763" t="n">
        <v>0</v>
      </c>
      <c r="Q763" t="n">
        <v>0</v>
      </c>
      <c r="R763" s="2" t="inlineStr"/>
    </row>
    <row r="764" ht="15" customHeight="1">
      <c r="A764" t="inlineStr">
        <is>
          <t>A 19325-2024</t>
        </is>
      </c>
      <c r="B764" s="1" t="n">
        <v>45429</v>
      </c>
      <c r="C764" s="1" t="n">
        <v>45566</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19546-2024</t>
        </is>
      </c>
      <c r="B765" s="1" t="n">
        <v>45429</v>
      </c>
      <c r="C765" s="1" t="n">
        <v>45566</v>
      </c>
      <c r="D765" t="inlineStr">
        <is>
          <t>NORRBOTTENS LÄN</t>
        </is>
      </c>
      <c r="E765" t="inlineStr">
        <is>
          <t>LULEÅ</t>
        </is>
      </c>
      <c r="G765" t="n">
        <v>1.2</v>
      </c>
      <c r="H765" t="n">
        <v>0</v>
      </c>
      <c r="I765" t="n">
        <v>0</v>
      </c>
      <c r="J765" t="n">
        <v>0</v>
      </c>
      <c r="K765" t="n">
        <v>0</v>
      </c>
      <c r="L765" t="n">
        <v>0</v>
      </c>
      <c r="M765" t="n">
        <v>0</v>
      </c>
      <c r="N765" t="n">
        <v>0</v>
      </c>
      <c r="O765" t="n">
        <v>0</v>
      </c>
      <c r="P765" t="n">
        <v>0</v>
      </c>
      <c r="Q765" t="n">
        <v>0</v>
      </c>
      <c r="R765" s="2" t="inlineStr"/>
    </row>
    <row r="766" ht="15" customHeight="1">
      <c r="A766" t="inlineStr">
        <is>
          <t>A 19551-2024</t>
        </is>
      </c>
      <c r="B766" s="1" t="n">
        <v>45429</v>
      </c>
      <c r="C766" s="1" t="n">
        <v>45566</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19872-2024</t>
        </is>
      </c>
      <c r="B767" s="1" t="n">
        <v>45433</v>
      </c>
      <c r="C767" s="1" t="n">
        <v>45566</v>
      </c>
      <c r="D767" t="inlineStr">
        <is>
          <t>NORRBOTTENS LÄN</t>
        </is>
      </c>
      <c r="E767" t="inlineStr">
        <is>
          <t>LULEÅ</t>
        </is>
      </c>
      <c r="G767" t="n">
        <v>3.3</v>
      </c>
      <c r="H767" t="n">
        <v>0</v>
      </c>
      <c r="I767" t="n">
        <v>0</v>
      </c>
      <c r="J767" t="n">
        <v>0</v>
      </c>
      <c r="K767" t="n">
        <v>0</v>
      </c>
      <c r="L767" t="n">
        <v>0</v>
      </c>
      <c r="M767" t="n">
        <v>0</v>
      </c>
      <c r="N767" t="n">
        <v>0</v>
      </c>
      <c r="O767" t="n">
        <v>0</v>
      </c>
      <c r="P767" t="n">
        <v>0</v>
      </c>
      <c r="Q767" t="n">
        <v>0</v>
      </c>
      <c r="R767" s="2" t="inlineStr"/>
    </row>
    <row r="768" ht="15" customHeight="1">
      <c r="A768" t="inlineStr">
        <is>
          <t>A 20018-2024</t>
        </is>
      </c>
      <c r="B768" s="1" t="n">
        <v>45433</v>
      </c>
      <c r="C768" s="1" t="n">
        <v>45566</v>
      </c>
      <c r="D768" t="inlineStr">
        <is>
          <t>NORRBOTTENS LÄN</t>
        </is>
      </c>
      <c r="E768" t="inlineStr">
        <is>
          <t>LULEÅ</t>
        </is>
      </c>
      <c r="G768" t="n">
        <v>4.9</v>
      </c>
      <c r="H768" t="n">
        <v>0</v>
      </c>
      <c r="I768" t="n">
        <v>0</v>
      </c>
      <c r="J768" t="n">
        <v>0</v>
      </c>
      <c r="K768" t="n">
        <v>0</v>
      </c>
      <c r="L768" t="n">
        <v>0</v>
      </c>
      <c r="M768" t="n">
        <v>0</v>
      </c>
      <c r="N768" t="n">
        <v>0</v>
      </c>
      <c r="O768" t="n">
        <v>0</v>
      </c>
      <c r="P768" t="n">
        <v>0</v>
      </c>
      <c r="Q768" t="n">
        <v>0</v>
      </c>
      <c r="R768" s="2" t="inlineStr"/>
    </row>
    <row r="769" ht="15" customHeight="1">
      <c r="A769" t="inlineStr">
        <is>
          <t>A 20690-2024</t>
        </is>
      </c>
      <c r="B769" s="1" t="n">
        <v>45436</v>
      </c>
      <c r="C769" s="1" t="n">
        <v>45566</v>
      </c>
      <c r="D769" t="inlineStr">
        <is>
          <t>NORRBOTTENS LÄN</t>
        </is>
      </c>
      <c r="E769" t="inlineStr">
        <is>
          <t>LULEÅ</t>
        </is>
      </c>
      <c r="G769" t="n">
        <v>2.6</v>
      </c>
      <c r="H769" t="n">
        <v>0</v>
      </c>
      <c r="I769" t="n">
        <v>0</v>
      </c>
      <c r="J769" t="n">
        <v>0</v>
      </c>
      <c r="K769" t="n">
        <v>0</v>
      </c>
      <c r="L769" t="n">
        <v>0</v>
      </c>
      <c r="M769" t="n">
        <v>0</v>
      </c>
      <c r="N769" t="n">
        <v>0</v>
      </c>
      <c r="O769" t="n">
        <v>0</v>
      </c>
      <c r="P769" t="n">
        <v>0</v>
      </c>
      <c r="Q769" t="n">
        <v>0</v>
      </c>
      <c r="R769" s="2" t="inlineStr"/>
    </row>
    <row r="770" ht="15" customHeight="1">
      <c r="A770" t="inlineStr">
        <is>
          <t>A 21145-2024</t>
        </is>
      </c>
      <c r="B770" s="1" t="n">
        <v>45440</v>
      </c>
      <c r="C770" s="1" t="n">
        <v>45566</v>
      </c>
      <c r="D770" t="inlineStr">
        <is>
          <t>NORRBOTTENS LÄN</t>
        </is>
      </c>
      <c r="E770" t="inlineStr">
        <is>
          <t>LULEÅ</t>
        </is>
      </c>
      <c r="G770" t="n">
        <v>5</v>
      </c>
      <c r="H770" t="n">
        <v>0</v>
      </c>
      <c r="I770" t="n">
        <v>0</v>
      </c>
      <c r="J770" t="n">
        <v>0</v>
      </c>
      <c r="K770" t="n">
        <v>0</v>
      </c>
      <c r="L770" t="n">
        <v>0</v>
      </c>
      <c r="M770" t="n">
        <v>0</v>
      </c>
      <c r="N770" t="n">
        <v>0</v>
      </c>
      <c r="O770" t="n">
        <v>0</v>
      </c>
      <c r="P770" t="n">
        <v>0</v>
      </c>
      <c r="Q770" t="n">
        <v>0</v>
      </c>
      <c r="R770" s="2" t="inlineStr"/>
    </row>
    <row r="771" ht="15" customHeight="1">
      <c r="A771" t="inlineStr">
        <is>
          <t>A 21583-2024</t>
        </is>
      </c>
      <c r="B771" s="1" t="n">
        <v>45441</v>
      </c>
      <c r="C771" s="1" t="n">
        <v>45566</v>
      </c>
      <c r="D771" t="inlineStr">
        <is>
          <t>NORRBOTTENS LÄN</t>
        </is>
      </c>
      <c r="E771" t="inlineStr">
        <is>
          <t>LULEÅ</t>
        </is>
      </c>
      <c r="G771" t="n">
        <v>4.3</v>
      </c>
      <c r="H771" t="n">
        <v>0</v>
      </c>
      <c r="I771" t="n">
        <v>0</v>
      </c>
      <c r="J771" t="n">
        <v>0</v>
      </c>
      <c r="K771" t="n">
        <v>0</v>
      </c>
      <c r="L771" t="n">
        <v>0</v>
      </c>
      <c r="M771" t="n">
        <v>0</v>
      </c>
      <c r="N771" t="n">
        <v>0</v>
      </c>
      <c r="O771" t="n">
        <v>0</v>
      </c>
      <c r="P771" t="n">
        <v>0</v>
      </c>
      <c r="Q771" t="n">
        <v>0</v>
      </c>
      <c r="R771" s="2" t="inlineStr"/>
    </row>
    <row r="772" ht="15" customHeight="1">
      <c r="A772" t="inlineStr">
        <is>
          <t>A 21584-2024</t>
        </is>
      </c>
      <c r="B772" s="1" t="n">
        <v>45441</v>
      </c>
      <c r="C772" s="1" t="n">
        <v>45566</v>
      </c>
      <c r="D772" t="inlineStr">
        <is>
          <t>NORRBOTTENS LÄN</t>
        </is>
      </c>
      <c r="E772" t="inlineStr">
        <is>
          <t>LULEÅ</t>
        </is>
      </c>
      <c r="G772" t="n">
        <v>0.5</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45442</v>
      </c>
      <c r="C773" s="1" t="n">
        <v>45566</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21454-2024</t>
        </is>
      </c>
      <c r="B774" s="1" t="n">
        <v>45441</v>
      </c>
      <c r="C774" s="1" t="n">
        <v>45566</v>
      </c>
      <c r="D774" t="inlineStr">
        <is>
          <t>NORRBOTTENS LÄN</t>
        </is>
      </c>
      <c r="E774" t="inlineStr">
        <is>
          <t>LULEÅ</t>
        </is>
      </c>
      <c r="G774" t="n">
        <v>17.6</v>
      </c>
      <c r="H774" t="n">
        <v>0</v>
      </c>
      <c r="I774" t="n">
        <v>0</v>
      </c>
      <c r="J774" t="n">
        <v>0</v>
      </c>
      <c r="K774" t="n">
        <v>0</v>
      </c>
      <c r="L774" t="n">
        <v>0</v>
      </c>
      <c r="M774" t="n">
        <v>0</v>
      </c>
      <c r="N774" t="n">
        <v>0</v>
      </c>
      <c r="O774" t="n">
        <v>0</v>
      </c>
      <c r="P774" t="n">
        <v>0</v>
      </c>
      <c r="Q774" t="n">
        <v>0</v>
      </c>
      <c r="R774" s="2" t="inlineStr"/>
    </row>
    <row r="775" ht="15" customHeight="1">
      <c r="A775" t="inlineStr">
        <is>
          <t>A 22007-2024</t>
        </is>
      </c>
      <c r="B775" s="1" t="n">
        <v>45443</v>
      </c>
      <c r="C775" s="1" t="n">
        <v>45566</v>
      </c>
      <c r="D775" t="inlineStr">
        <is>
          <t>NORRBOTTENS LÄN</t>
        </is>
      </c>
      <c r="E775" t="inlineStr">
        <is>
          <t>LULEÅ</t>
        </is>
      </c>
      <c r="G775" t="n">
        <v>1.4</v>
      </c>
      <c r="H775" t="n">
        <v>0</v>
      </c>
      <c r="I775" t="n">
        <v>0</v>
      </c>
      <c r="J775" t="n">
        <v>0</v>
      </c>
      <c r="K775" t="n">
        <v>0</v>
      </c>
      <c r="L775" t="n">
        <v>0</v>
      </c>
      <c r="M775" t="n">
        <v>0</v>
      </c>
      <c r="N775" t="n">
        <v>0</v>
      </c>
      <c r="O775" t="n">
        <v>0</v>
      </c>
      <c r="P775" t="n">
        <v>0</v>
      </c>
      <c r="Q775" t="n">
        <v>0</v>
      </c>
      <c r="R775" s="2" t="inlineStr"/>
    </row>
    <row r="776" ht="15" customHeight="1">
      <c r="A776" t="inlineStr">
        <is>
          <t>A 22017-2024</t>
        </is>
      </c>
      <c r="B776" s="1" t="n">
        <v>45443</v>
      </c>
      <c r="C776" s="1" t="n">
        <v>45566</v>
      </c>
      <c r="D776" t="inlineStr">
        <is>
          <t>NORRBOTTENS LÄN</t>
        </is>
      </c>
      <c r="E776" t="inlineStr">
        <is>
          <t>LULEÅ</t>
        </is>
      </c>
      <c r="G776" t="n">
        <v>0.2</v>
      </c>
      <c r="H776" t="n">
        <v>0</v>
      </c>
      <c r="I776" t="n">
        <v>0</v>
      </c>
      <c r="J776" t="n">
        <v>0</v>
      </c>
      <c r="K776" t="n">
        <v>0</v>
      </c>
      <c r="L776" t="n">
        <v>0</v>
      </c>
      <c r="M776" t="n">
        <v>0</v>
      </c>
      <c r="N776" t="n">
        <v>0</v>
      </c>
      <c r="O776" t="n">
        <v>0</v>
      </c>
      <c r="P776" t="n">
        <v>0</v>
      </c>
      <c r="Q776" t="n">
        <v>0</v>
      </c>
      <c r="R776" s="2" t="inlineStr"/>
    </row>
    <row r="777" ht="15" customHeight="1">
      <c r="A777" t="inlineStr">
        <is>
          <t>A 23897-2024</t>
        </is>
      </c>
      <c r="B777" s="1" t="n">
        <v>45455</v>
      </c>
      <c r="C777" s="1" t="n">
        <v>45566</v>
      </c>
      <c r="D777" t="inlineStr">
        <is>
          <t>NORRBOTTENS LÄN</t>
        </is>
      </c>
      <c r="E777" t="inlineStr">
        <is>
          <t>LULEÅ</t>
        </is>
      </c>
      <c r="G777" t="n">
        <v>5.8</v>
      </c>
      <c r="H777" t="n">
        <v>0</v>
      </c>
      <c r="I777" t="n">
        <v>0</v>
      </c>
      <c r="J777" t="n">
        <v>0</v>
      </c>
      <c r="K777" t="n">
        <v>0</v>
      </c>
      <c r="L777" t="n">
        <v>0</v>
      </c>
      <c r="M777" t="n">
        <v>0</v>
      </c>
      <c r="N777" t="n">
        <v>0</v>
      </c>
      <c r="O777" t="n">
        <v>0</v>
      </c>
      <c r="P777" t="n">
        <v>0</v>
      </c>
      <c r="Q777" t="n">
        <v>0</v>
      </c>
      <c r="R777" s="2" t="inlineStr"/>
    </row>
    <row r="778" ht="15" customHeight="1">
      <c r="A778" t="inlineStr">
        <is>
          <t>A 23888-2024</t>
        </is>
      </c>
      <c r="B778" s="1" t="n">
        <v>45455</v>
      </c>
      <c r="C778" s="1" t="n">
        <v>45566</v>
      </c>
      <c r="D778" t="inlineStr">
        <is>
          <t>NORRBOTTENS LÄN</t>
        </is>
      </c>
      <c r="E778" t="inlineStr">
        <is>
          <t>LULEÅ</t>
        </is>
      </c>
      <c r="G778" t="n">
        <v>3.2</v>
      </c>
      <c r="H778" t="n">
        <v>0</v>
      </c>
      <c r="I778" t="n">
        <v>0</v>
      </c>
      <c r="J778" t="n">
        <v>0</v>
      </c>
      <c r="K778" t="n">
        <v>0</v>
      </c>
      <c r="L778" t="n">
        <v>0</v>
      </c>
      <c r="M778" t="n">
        <v>0</v>
      </c>
      <c r="N778" t="n">
        <v>0</v>
      </c>
      <c r="O778" t="n">
        <v>0</v>
      </c>
      <c r="P778" t="n">
        <v>0</v>
      </c>
      <c r="Q778" t="n">
        <v>0</v>
      </c>
      <c r="R778" s="2" t="inlineStr"/>
    </row>
    <row r="779" ht="15" customHeight="1">
      <c r="A779" t="inlineStr">
        <is>
          <t>A 24979-2024</t>
        </is>
      </c>
      <c r="B779" s="1" t="n">
        <v>45461</v>
      </c>
      <c r="C779" s="1" t="n">
        <v>45566</v>
      </c>
      <c r="D779" t="inlineStr">
        <is>
          <t>NORRBOTTENS LÄN</t>
        </is>
      </c>
      <c r="E779" t="inlineStr">
        <is>
          <t>LULEÅ</t>
        </is>
      </c>
      <c r="G779" t="n">
        <v>16.3</v>
      </c>
      <c r="H779" t="n">
        <v>0</v>
      </c>
      <c r="I779" t="n">
        <v>0</v>
      </c>
      <c r="J779" t="n">
        <v>0</v>
      </c>
      <c r="K779" t="n">
        <v>0</v>
      </c>
      <c r="L779" t="n">
        <v>0</v>
      </c>
      <c r="M779" t="n">
        <v>0</v>
      </c>
      <c r="N779" t="n">
        <v>0</v>
      </c>
      <c r="O779" t="n">
        <v>0</v>
      </c>
      <c r="P779" t="n">
        <v>0</v>
      </c>
      <c r="Q779" t="n">
        <v>0</v>
      </c>
      <c r="R779" s="2" t="inlineStr"/>
    </row>
    <row r="780" ht="15" customHeight="1">
      <c r="A780" t="inlineStr">
        <is>
          <t>A 25339-2024</t>
        </is>
      </c>
      <c r="B780" s="1" t="n">
        <v>45462</v>
      </c>
      <c r="C780" s="1" t="n">
        <v>45566</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25340-2024</t>
        </is>
      </c>
      <c r="B781" s="1" t="n">
        <v>45462</v>
      </c>
      <c r="C781" s="1" t="n">
        <v>45566</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25676-2024</t>
        </is>
      </c>
      <c r="B782" s="1" t="n">
        <v>45463</v>
      </c>
      <c r="C782" s="1" t="n">
        <v>45566</v>
      </c>
      <c r="D782" t="inlineStr">
        <is>
          <t>NORRBOTTENS LÄN</t>
        </is>
      </c>
      <c r="E782" t="inlineStr">
        <is>
          <t>LULEÅ</t>
        </is>
      </c>
      <c r="G782" t="n">
        <v>0.5</v>
      </c>
      <c r="H782" t="n">
        <v>0</v>
      </c>
      <c r="I782" t="n">
        <v>0</v>
      </c>
      <c r="J782" t="n">
        <v>0</v>
      </c>
      <c r="K782" t="n">
        <v>0</v>
      </c>
      <c r="L782" t="n">
        <v>0</v>
      </c>
      <c r="M782" t="n">
        <v>0</v>
      </c>
      <c r="N782" t="n">
        <v>0</v>
      </c>
      <c r="O782" t="n">
        <v>0</v>
      </c>
      <c r="P782" t="n">
        <v>0</v>
      </c>
      <c r="Q782" t="n">
        <v>0</v>
      </c>
      <c r="R782" s="2" t="inlineStr"/>
    </row>
    <row r="783" ht="15" customHeight="1">
      <c r="A783" t="inlineStr">
        <is>
          <t>A 25578-2024</t>
        </is>
      </c>
      <c r="B783" s="1" t="n">
        <v>45463</v>
      </c>
      <c r="C783" s="1" t="n">
        <v>45566</v>
      </c>
      <c r="D783" t="inlineStr">
        <is>
          <t>NORRBOTTENS LÄN</t>
        </is>
      </c>
      <c r="E783" t="inlineStr">
        <is>
          <t>LULEÅ</t>
        </is>
      </c>
      <c r="G783" t="n">
        <v>7.9</v>
      </c>
      <c r="H783" t="n">
        <v>0</v>
      </c>
      <c r="I783" t="n">
        <v>0</v>
      </c>
      <c r="J783" t="n">
        <v>0</v>
      </c>
      <c r="K783" t="n">
        <v>0</v>
      </c>
      <c r="L783" t="n">
        <v>0</v>
      </c>
      <c r="M783" t="n">
        <v>0</v>
      </c>
      <c r="N783" t="n">
        <v>0</v>
      </c>
      <c r="O783" t="n">
        <v>0</v>
      </c>
      <c r="P783" t="n">
        <v>0</v>
      </c>
      <c r="Q783" t="n">
        <v>0</v>
      </c>
      <c r="R783" s="2" t="inlineStr"/>
    </row>
    <row r="784" ht="15" customHeight="1">
      <c r="A784" t="inlineStr">
        <is>
          <t>A 25791-2024</t>
        </is>
      </c>
      <c r="B784" s="1" t="n">
        <v>45463</v>
      </c>
      <c r="C784" s="1" t="n">
        <v>45566</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25567-2024</t>
        </is>
      </c>
      <c r="B785" s="1" t="n">
        <v>45463</v>
      </c>
      <c r="C785" s="1" t="n">
        <v>45566</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25798-2024</t>
        </is>
      </c>
      <c r="B786" s="1" t="n">
        <v>45463</v>
      </c>
      <c r="C786" s="1" t="n">
        <v>45566</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26432-2024</t>
        </is>
      </c>
      <c r="B787" s="1" t="n">
        <v>45469</v>
      </c>
      <c r="C787" s="1" t="n">
        <v>45566</v>
      </c>
      <c r="D787" t="inlineStr">
        <is>
          <t>NORRBOTTENS LÄN</t>
        </is>
      </c>
      <c r="E787" t="inlineStr">
        <is>
          <t>LULEÅ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26582-2024</t>
        </is>
      </c>
      <c r="B788" s="1" t="n">
        <v>45469</v>
      </c>
      <c r="C788" s="1" t="n">
        <v>45566</v>
      </c>
      <c r="D788" t="inlineStr">
        <is>
          <t>NORRBOTTENS LÄN</t>
        </is>
      </c>
      <c r="E788" t="inlineStr">
        <is>
          <t>LULEÅ</t>
        </is>
      </c>
      <c r="G788" t="n">
        <v>4.8</v>
      </c>
      <c r="H788" t="n">
        <v>0</v>
      </c>
      <c r="I788" t="n">
        <v>0</v>
      </c>
      <c r="J788" t="n">
        <v>0</v>
      </c>
      <c r="K788" t="n">
        <v>0</v>
      </c>
      <c r="L788" t="n">
        <v>0</v>
      </c>
      <c r="M788" t="n">
        <v>0</v>
      </c>
      <c r="N788" t="n">
        <v>0</v>
      </c>
      <c r="O788" t="n">
        <v>0</v>
      </c>
      <c r="P788" t="n">
        <v>0</v>
      </c>
      <c r="Q788" t="n">
        <v>0</v>
      </c>
      <c r="R788" s="2" t="inlineStr"/>
    </row>
    <row r="789" ht="15" customHeight="1">
      <c r="A789" t="inlineStr">
        <is>
          <t>A 26586-2024</t>
        </is>
      </c>
      <c r="B789" s="1" t="n">
        <v>45469</v>
      </c>
      <c r="C789" s="1" t="n">
        <v>45566</v>
      </c>
      <c r="D789" t="inlineStr">
        <is>
          <t>NORRBOTTENS LÄN</t>
        </is>
      </c>
      <c r="E789" t="inlineStr">
        <is>
          <t>LULEÅ</t>
        </is>
      </c>
      <c r="G789" t="n">
        <v>3.2</v>
      </c>
      <c r="H789" t="n">
        <v>0</v>
      </c>
      <c r="I789" t="n">
        <v>0</v>
      </c>
      <c r="J789" t="n">
        <v>0</v>
      </c>
      <c r="K789" t="n">
        <v>0</v>
      </c>
      <c r="L789" t="n">
        <v>0</v>
      </c>
      <c r="M789" t="n">
        <v>0</v>
      </c>
      <c r="N789" t="n">
        <v>0</v>
      </c>
      <c r="O789" t="n">
        <v>0</v>
      </c>
      <c r="P789" t="n">
        <v>0</v>
      </c>
      <c r="Q789" t="n">
        <v>0</v>
      </c>
      <c r="R789" s="2" t="inlineStr"/>
    </row>
    <row r="790" ht="15" customHeight="1">
      <c r="A790" t="inlineStr">
        <is>
          <t>A 26594-2024</t>
        </is>
      </c>
      <c r="B790" s="1" t="n">
        <v>45469</v>
      </c>
      <c r="C790" s="1" t="n">
        <v>45566</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26587-2024</t>
        </is>
      </c>
      <c r="B791" s="1" t="n">
        <v>45469</v>
      </c>
      <c r="C791" s="1" t="n">
        <v>45566</v>
      </c>
      <c r="D791" t="inlineStr">
        <is>
          <t>NORRBOTTENS LÄN</t>
        </is>
      </c>
      <c r="E791" t="inlineStr">
        <is>
          <t>LULEÅ</t>
        </is>
      </c>
      <c r="G791" t="n">
        <v>3.9</v>
      </c>
      <c r="H791" t="n">
        <v>0</v>
      </c>
      <c r="I791" t="n">
        <v>0</v>
      </c>
      <c r="J791" t="n">
        <v>0</v>
      </c>
      <c r="K791" t="n">
        <v>0</v>
      </c>
      <c r="L791" t="n">
        <v>0</v>
      </c>
      <c r="M791" t="n">
        <v>0</v>
      </c>
      <c r="N791" t="n">
        <v>0</v>
      </c>
      <c r="O791" t="n">
        <v>0</v>
      </c>
      <c r="P791" t="n">
        <v>0</v>
      </c>
      <c r="Q791" t="n">
        <v>0</v>
      </c>
      <c r="R791" s="2" t="inlineStr"/>
    </row>
    <row r="792" ht="15" customHeight="1">
      <c r="A792" t="inlineStr">
        <is>
          <t>A 26580-2024</t>
        </is>
      </c>
      <c r="B792" s="1" t="n">
        <v>45469</v>
      </c>
      <c r="C792" s="1" t="n">
        <v>45566</v>
      </c>
      <c r="D792" t="inlineStr">
        <is>
          <t>NORRBOTTENS LÄN</t>
        </is>
      </c>
      <c r="E792" t="inlineStr">
        <is>
          <t>LULEÅ</t>
        </is>
      </c>
      <c r="G792" t="n">
        <v>7.6</v>
      </c>
      <c r="H792" t="n">
        <v>0</v>
      </c>
      <c r="I792" t="n">
        <v>0</v>
      </c>
      <c r="J792" t="n">
        <v>0</v>
      </c>
      <c r="K792" t="n">
        <v>0</v>
      </c>
      <c r="L792" t="n">
        <v>0</v>
      </c>
      <c r="M792" t="n">
        <v>0</v>
      </c>
      <c r="N792" t="n">
        <v>0</v>
      </c>
      <c r="O792" t="n">
        <v>0</v>
      </c>
      <c r="P792" t="n">
        <v>0</v>
      </c>
      <c r="Q792" t="n">
        <v>0</v>
      </c>
      <c r="R792" s="2" t="inlineStr"/>
    </row>
    <row r="793" ht="15" customHeight="1">
      <c r="A793" t="inlineStr">
        <is>
          <t>A 26588-2024</t>
        </is>
      </c>
      <c r="B793" s="1" t="n">
        <v>45469</v>
      </c>
      <c r="C793" s="1" t="n">
        <v>45566</v>
      </c>
      <c r="D793" t="inlineStr">
        <is>
          <t>NORRBOTTENS LÄN</t>
        </is>
      </c>
      <c r="E793" t="inlineStr">
        <is>
          <t>LULEÅ</t>
        </is>
      </c>
      <c r="G793" t="n">
        <v>3.1</v>
      </c>
      <c r="H793" t="n">
        <v>0</v>
      </c>
      <c r="I793" t="n">
        <v>0</v>
      </c>
      <c r="J793" t="n">
        <v>0</v>
      </c>
      <c r="K793" t="n">
        <v>0</v>
      </c>
      <c r="L793" t="n">
        <v>0</v>
      </c>
      <c r="M793" t="n">
        <v>0</v>
      </c>
      <c r="N793" t="n">
        <v>0</v>
      </c>
      <c r="O793" t="n">
        <v>0</v>
      </c>
      <c r="P793" t="n">
        <v>0</v>
      </c>
      <c r="Q793" t="n">
        <v>0</v>
      </c>
      <c r="R793" s="2" t="inlineStr"/>
    </row>
    <row r="794" ht="15" customHeight="1">
      <c r="A794" t="inlineStr">
        <is>
          <t>A 26743-2024</t>
        </is>
      </c>
      <c r="B794" s="1" t="n">
        <v>45470</v>
      </c>
      <c r="C794" s="1" t="n">
        <v>45566</v>
      </c>
      <c r="D794" t="inlineStr">
        <is>
          <t>NORRBOTTENS LÄN</t>
        </is>
      </c>
      <c r="E794" t="inlineStr">
        <is>
          <t>LULEÅ</t>
        </is>
      </c>
      <c r="G794" t="n">
        <v>10.8</v>
      </c>
      <c r="H794" t="n">
        <v>0</v>
      </c>
      <c r="I794" t="n">
        <v>0</v>
      </c>
      <c r="J794" t="n">
        <v>0</v>
      </c>
      <c r="K794" t="n">
        <v>0</v>
      </c>
      <c r="L794" t="n">
        <v>0</v>
      </c>
      <c r="M794" t="n">
        <v>0</v>
      </c>
      <c r="N794" t="n">
        <v>0</v>
      </c>
      <c r="O794" t="n">
        <v>0</v>
      </c>
      <c r="P794" t="n">
        <v>0</v>
      </c>
      <c r="Q794" t="n">
        <v>0</v>
      </c>
      <c r="R794" s="2" t="inlineStr"/>
    </row>
    <row r="795" ht="15" customHeight="1">
      <c r="A795" t="inlineStr">
        <is>
          <t>A 26925-2024</t>
        </is>
      </c>
      <c r="B795" s="1" t="n">
        <v>45471</v>
      </c>
      <c r="C795" s="1" t="n">
        <v>45566</v>
      </c>
      <c r="D795" t="inlineStr">
        <is>
          <t>NORRBOTTENS LÄN</t>
        </is>
      </c>
      <c r="E795" t="inlineStr">
        <is>
          <t>LULEÅ</t>
        </is>
      </c>
      <c r="G795" t="n">
        <v>1.6</v>
      </c>
      <c r="H795" t="n">
        <v>0</v>
      </c>
      <c r="I795" t="n">
        <v>0</v>
      </c>
      <c r="J795" t="n">
        <v>0</v>
      </c>
      <c r="K795" t="n">
        <v>0</v>
      </c>
      <c r="L795" t="n">
        <v>0</v>
      </c>
      <c r="M795" t="n">
        <v>0</v>
      </c>
      <c r="N795" t="n">
        <v>0</v>
      </c>
      <c r="O795" t="n">
        <v>0</v>
      </c>
      <c r="P795" t="n">
        <v>0</v>
      </c>
      <c r="Q795" t="n">
        <v>0</v>
      </c>
      <c r="R795" s="2" t="inlineStr"/>
    </row>
    <row r="796" ht="15" customHeight="1">
      <c r="A796" t="inlineStr">
        <is>
          <t>A 27712-2024</t>
        </is>
      </c>
      <c r="B796" s="1" t="n">
        <v>45475</v>
      </c>
      <c r="C796" s="1" t="n">
        <v>45566</v>
      </c>
      <c r="D796" t="inlineStr">
        <is>
          <t>NORRBOTTENS LÄN</t>
        </is>
      </c>
      <c r="E796" t="inlineStr">
        <is>
          <t>LULEÅ</t>
        </is>
      </c>
      <c r="G796" t="n">
        <v>14.2</v>
      </c>
      <c r="H796" t="n">
        <v>0</v>
      </c>
      <c r="I796" t="n">
        <v>0</v>
      </c>
      <c r="J796" t="n">
        <v>0</v>
      </c>
      <c r="K796" t="n">
        <v>0</v>
      </c>
      <c r="L796" t="n">
        <v>0</v>
      </c>
      <c r="M796" t="n">
        <v>0</v>
      </c>
      <c r="N796" t="n">
        <v>0</v>
      </c>
      <c r="O796" t="n">
        <v>0</v>
      </c>
      <c r="P796" t="n">
        <v>0</v>
      </c>
      <c r="Q796" t="n">
        <v>0</v>
      </c>
      <c r="R796" s="2" t="inlineStr"/>
    </row>
    <row r="797" ht="15" customHeight="1">
      <c r="A797" t="inlineStr">
        <is>
          <t>A 28150-2024</t>
        </is>
      </c>
      <c r="B797" s="1" t="n">
        <v>45476</v>
      </c>
      <c r="C797" s="1" t="n">
        <v>45566</v>
      </c>
      <c r="D797" t="inlineStr">
        <is>
          <t>NORRBOTTENS LÄN</t>
        </is>
      </c>
      <c r="E797" t="inlineStr">
        <is>
          <t>LULEÅ</t>
        </is>
      </c>
      <c r="G797" t="n">
        <v>4</v>
      </c>
      <c r="H797" t="n">
        <v>0</v>
      </c>
      <c r="I797" t="n">
        <v>0</v>
      </c>
      <c r="J797" t="n">
        <v>0</v>
      </c>
      <c r="K797" t="n">
        <v>0</v>
      </c>
      <c r="L797" t="n">
        <v>0</v>
      </c>
      <c r="M797" t="n">
        <v>0</v>
      </c>
      <c r="N797" t="n">
        <v>0</v>
      </c>
      <c r="O797" t="n">
        <v>0</v>
      </c>
      <c r="P797" t="n">
        <v>0</v>
      </c>
      <c r="Q797" t="n">
        <v>0</v>
      </c>
      <c r="R797" s="2" t="inlineStr"/>
    </row>
    <row r="798" ht="15" customHeight="1">
      <c r="A798" t="inlineStr">
        <is>
          <t>A 28141-2024</t>
        </is>
      </c>
      <c r="B798" s="1" t="n">
        <v>45476</v>
      </c>
      <c r="C798" s="1" t="n">
        <v>45566</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28498-2024</t>
        </is>
      </c>
      <c r="B799" s="1" t="n">
        <v>45478</v>
      </c>
      <c r="C799" s="1" t="n">
        <v>45566</v>
      </c>
      <c r="D799" t="inlineStr">
        <is>
          <t>NORRBOTTENS LÄN</t>
        </is>
      </c>
      <c r="E799" t="inlineStr">
        <is>
          <t>LULEÅ</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29237-2024</t>
        </is>
      </c>
      <c r="B800" s="1" t="n">
        <v>45483</v>
      </c>
      <c r="C800" s="1" t="n">
        <v>45566</v>
      </c>
      <c r="D800" t="inlineStr">
        <is>
          <t>NORRBOTTENS LÄN</t>
        </is>
      </c>
      <c r="E800" t="inlineStr">
        <is>
          <t>LULEÅ</t>
        </is>
      </c>
      <c r="G800" t="n">
        <v>10.3</v>
      </c>
      <c r="H800" t="n">
        <v>0</v>
      </c>
      <c r="I800" t="n">
        <v>0</v>
      </c>
      <c r="J800" t="n">
        <v>0</v>
      </c>
      <c r="K800" t="n">
        <v>0</v>
      </c>
      <c r="L800" t="n">
        <v>0</v>
      </c>
      <c r="M800" t="n">
        <v>0</v>
      </c>
      <c r="N800" t="n">
        <v>0</v>
      </c>
      <c r="O800" t="n">
        <v>0</v>
      </c>
      <c r="P800" t="n">
        <v>0</v>
      </c>
      <c r="Q800" t="n">
        <v>0</v>
      </c>
      <c r="R800" s="2" t="inlineStr"/>
    </row>
    <row r="801" ht="15" customHeight="1">
      <c r="A801" t="inlineStr">
        <is>
          <t>A 29648-2024</t>
        </is>
      </c>
      <c r="B801" s="1" t="n">
        <v>45484</v>
      </c>
      <c r="C801" s="1" t="n">
        <v>45566</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29555-2024</t>
        </is>
      </c>
      <c r="B802" s="1" t="n">
        <v>45484</v>
      </c>
      <c r="C802" s="1" t="n">
        <v>45566</v>
      </c>
      <c r="D802" t="inlineStr">
        <is>
          <t>NORRBOTTENS LÄN</t>
        </is>
      </c>
      <c r="E802" t="inlineStr">
        <is>
          <t>LULEÅ</t>
        </is>
      </c>
      <c r="G802" t="n">
        <v>1.1</v>
      </c>
      <c r="H802" t="n">
        <v>0</v>
      </c>
      <c r="I802" t="n">
        <v>0</v>
      </c>
      <c r="J802" t="n">
        <v>0</v>
      </c>
      <c r="K802" t="n">
        <v>0</v>
      </c>
      <c r="L802" t="n">
        <v>0</v>
      </c>
      <c r="M802" t="n">
        <v>0</v>
      </c>
      <c r="N802" t="n">
        <v>0</v>
      </c>
      <c r="O802" t="n">
        <v>0</v>
      </c>
      <c r="P802" t="n">
        <v>0</v>
      </c>
      <c r="Q802" t="n">
        <v>0</v>
      </c>
      <c r="R802" s="2" t="inlineStr"/>
    </row>
    <row r="803" ht="15" customHeight="1">
      <c r="A803" t="inlineStr">
        <is>
          <t>A 29650-2024</t>
        </is>
      </c>
      <c r="B803" s="1" t="n">
        <v>45484</v>
      </c>
      <c r="C803" s="1" t="n">
        <v>45566</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29550-2024</t>
        </is>
      </c>
      <c r="B804" s="1" t="n">
        <v>45484</v>
      </c>
      <c r="C804" s="1" t="n">
        <v>45566</v>
      </c>
      <c r="D804" t="inlineStr">
        <is>
          <t>NORRBOTTENS LÄN</t>
        </is>
      </c>
      <c r="E804" t="inlineStr">
        <is>
          <t>LULEÅ</t>
        </is>
      </c>
      <c r="G804" t="n">
        <v>0.8</v>
      </c>
      <c r="H804" t="n">
        <v>0</v>
      </c>
      <c r="I804" t="n">
        <v>0</v>
      </c>
      <c r="J804" t="n">
        <v>0</v>
      </c>
      <c r="K804" t="n">
        <v>0</v>
      </c>
      <c r="L804" t="n">
        <v>0</v>
      </c>
      <c r="M804" t="n">
        <v>0</v>
      </c>
      <c r="N804" t="n">
        <v>0</v>
      </c>
      <c r="O804" t="n">
        <v>0</v>
      </c>
      <c r="P804" t="n">
        <v>0</v>
      </c>
      <c r="Q804" t="n">
        <v>0</v>
      </c>
      <c r="R804" s="2" t="inlineStr"/>
    </row>
    <row r="805" ht="15" customHeight="1">
      <c r="A805" t="inlineStr">
        <is>
          <t>A 30564-2024</t>
        </is>
      </c>
      <c r="B805" s="1" t="n">
        <v>45493</v>
      </c>
      <c r="C805" s="1" t="n">
        <v>45566</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30788-2024</t>
        </is>
      </c>
      <c r="B806" s="1" t="n">
        <v>45496</v>
      </c>
      <c r="C806" s="1" t="n">
        <v>45566</v>
      </c>
      <c r="D806" t="inlineStr">
        <is>
          <t>NORRBOTTENS LÄN</t>
        </is>
      </c>
      <c r="E806" t="inlineStr">
        <is>
          <t>LULEÅ</t>
        </is>
      </c>
      <c r="F806" t="inlineStr">
        <is>
          <t>Naturvårdsverket</t>
        </is>
      </c>
      <c r="G806" t="n">
        <v>6.7</v>
      </c>
      <c r="H806" t="n">
        <v>0</v>
      </c>
      <c r="I806" t="n">
        <v>0</v>
      </c>
      <c r="J806" t="n">
        <v>0</v>
      </c>
      <c r="K806" t="n">
        <v>0</v>
      </c>
      <c r="L806" t="n">
        <v>0</v>
      </c>
      <c r="M806" t="n">
        <v>0</v>
      </c>
      <c r="N806" t="n">
        <v>0</v>
      </c>
      <c r="O806" t="n">
        <v>0</v>
      </c>
      <c r="P806" t="n">
        <v>0</v>
      </c>
      <c r="Q806" t="n">
        <v>0</v>
      </c>
      <c r="R806" s="2" t="inlineStr"/>
    </row>
    <row r="807" ht="15" customHeight="1">
      <c r="A807" t="inlineStr">
        <is>
          <t>A 30784-2024</t>
        </is>
      </c>
      <c r="B807" s="1" t="n">
        <v>45496</v>
      </c>
      <c r="C807" s="1" t="n">
        <v>45566</v>
      </c>
      <c r="D807" t="inlineStr">
        <is>
          <t>NORRBOTTENS LÄN</t>
        </is>
      </c>
      <c r="E807" t="inlineStr">
        <is>
          <t>LULEÅ</t>
        </is>
      </c>
      <c r="F807" t="inlineStr">
        <is>
          <t>Naturvårdsverket</t>
        </is>
      </c>
      <c r="G807" t="n">
        <v>13.2</v>
      </c>
      <c r="H807" t="n">
        <v>0</v>
      </c>
      <c r="I807" t="n">
        <v>0</v>
      </c>
      <c r="J807" t="n">
        <v>0</v>
      </c>
      <c r="K807" t="n">
        <v>0</v>
      </c>
      <c r="L807" t="n">
        <v>0</v>
      </c>
      <c r="M807" t="n">
        <v>0</v>
      </c>
      <c r="N807" t="n">
        <v>0</v>
      </c>
      <c r="O807" t="n">
        <v>0</v>
      </c>
      <c r="P807" t="n">
        <v>0</v>
      </c>
      <c r="Q807" t="n">
        <v>0</v>
      </c>
      <c r="R807" s="2" t="inlineStr"/>
    </row>
    <row r="808" ht="15" customHeight="1">
      <c r="A808" t="inlineStr">
        <is>
          <t>A 30786-2024</t>
        </is>
      </c>
      <c r="B808" s="1" t="n">
        <v>45496</v>
      </c>
      <c r="C808" s="1" t="n">
        <v>45566</v>
      </c>
      <c r="D808" t="inlineStr">
        <is>
          <t>NORRBOTTENS LÄN</t>
        </is>
      </c>
      <c r="E808" t="inlineStr">
        <is>
          <t>LULEÅ</t>
        </is>
      </c>
      <c r="F808" t="inlineStr">
        <is>
          <t>Naturvårdsverket</t>
        </is>
      </c>
      <c r="G808" t="n">
        <v>7</v>
      </c>
      <c r="H808" t="n">
        <v>0</v>
      </c>
      <c r="I808" t="n">
        <v>0</v>
      </c>
      <c r="J808" t="n">
        <v>0</v>
      </c>
      <c r="K808" t="n">
        <v>0</v>
      </c>
      <c r="L808" t="n">
        <v>0</v>
      </c>
      <c r="M808" t="n">
        <v>0</v>
      </c>
      <c r="N808" t="n">
        <v>0</v>
      </c>
      <c r="O808" t="n">
        <v>0</v>
      </c>
      <c r="P808" t="n">
        <v>0</v>
      </c>
      <c r="Q808" t="n">
        <v>0</v>
      </c>
      <c r="R808" s="2" t="inlineStr"/>
    </row>
    <row r="809" ht="15" customHeight="1">
      <c r="A809" t="inlineStr">
        <is>
          <t>A 30785-2024</t>
        </is>
      </c>
      <c r="B809" s="1" t="n">
        <v>45496</v>
      </c>
      <c r="C809" s="1" t="n">
        <v>45566</v>
      </c>
      <c r="D809" t="inlineStr">
        <is>
          <t>NORRBOTTENS LÄN</t>
        </is>
      </c>
      <c r="E809" t="inlineStr">
        <is>
          <t>LULEÅ</t>
        </is>
      </c>
      <c r="F809" t="inlineStr">
        <is>
          <t>Naturvårdsverket</t>
        </is>
      </c>
      <c r="G809" t="n">
        <v>11.7</v>
      </c>
      <c r="H809" t="n">
        <v>0</v>
      </c>
      <c r="I809" t="n">
        <v>0</v>
      </c>
      <c r="J809" t="n">
        <v>0</v>
      </c>
      <c r="K809" t="n">
        <v>0</v>
      </c>
      <c r="L809" t="n">
        <v>0</v>
      </c>
      <c r="M809" t="n">
        <v>0</v>
      </c>
      <c r="N809" t="n">
        <v>0</v>
      </c>
      <c r="O809" t="n">
        <v>0</v>
      </c>
      <c r="P809" t="n">
        <v>0</v>
      </c>
      <c r="Q809" t="n">
        <v>0</v>
      </c>
      <c r="R809" s="2" t="inlineStr"/>
    </row>
    <row r="810" ht="15" customHeight="1">
      <c r="A810" t="inlineStr">
        <is>
          <t>A 30787-2024</t>
        </is>
      </c>
      <c r="B810" s="1" t="n">
        <v>45497</v>
      </c>
      <c r="C810" s="1" t="n">
        <v>45566</v>
      </c>
      <c r="D810" t="inlineStr">
        <is>
          <t>NORRBOTTENS LÄN</t>
        </is>
      </c>
      <c r="E810" t="inlineStr">
        <is>
          <t>LULEÅ</t>
        </is>
      </c>
      <c r="F810" t="inlineStr">
        <is>
          <t>Naturvårdsverket</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30950-2024</t>
        </is>
      </c>
      <c r="B811" s="1" t="n">
        <v>45499</v>
      </c>
      <c r="C811" s="1" t="n">
        <v>45566</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31039-2024</t>
        </is>
      </c>
      <c r="B812" s="1" t="n">
        <v>45502</v>
      </c>
      <c r="C812" s="1" t="n">
        <v>45566</v>
      </c>
      <c r="D812" t="inlineStr">
        <is>
          <t>NORRBOTTENS LÄN</t>
        </is>
      </c>
      <c r="E812" t="inlineStr">
        <is>
          <t>LULEÅ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31465-2024</t>
        </is>
      </c>
      <c r="B813" s="1" t="n">
        <v>45505</v>
      </c>
      <c r="C813" s="1" t="n">
        <v>45566</v>
      </c>
      <c r="D813" t="inlineStr">
        <is>
          <t>NORRBOTTENS LÄN</t>
        </is>
      </c>
      <c r="E813" t="inlineStr">
        <is>
          <t>LULEÅ</t>
        </is>
      </c>
      <c r="F813" t="inlineStr">
        <is>
          <t>Naturvårdsverket</t>
        </is>
      </c>
      <c r="G813" t="n">
        <v>7.1</v>
      </c>
      <c r="H813" t="n">
        <v>0</v>
      </c>
      <c r="I813" t="n">
        <v>0</v>
      </c>
      <c r="J813" t="n">
        <v>0</v>
      </c>
      <c r="K813" t="n">
        <v>0</v>
      </c>
      <c r="L813" t="n">
        <v>0</v>
      </c>
      <c r="M813" t="n">
        <v>0</v>
      </c>
      <c r="N813" t="n">
        <v>0</v>
      </c>
      <c r="O813" t="n">
        <v>0</v>
      </c>
      <c r="P813" t="n">
        <v>0</v>
      </c>
      <c r="Q813" t="n">
        <v>0</v>
      </c>
      <c r="R813" s="2" t="inlineStr"/>
    </row>
    <row r="814" ht="15" customHeight="1">
      <c r="A814" t="inlineStr">
        <is>
          <t>A 32250-2024</t>
        </is>
      </c>
      <c r="B814" s="1" t="n">
        <v>45512</v>
      </c>
      <c r="C814" s="1" t="n">
        <v>45566</v>
      </c>
      <c r="D814" t="inlineStr">
        <is>
          <t>NORRBOTTENS LÄN</t>
        </is>
      </c>
      <c r="E814" t="inlineStr">
        <is>
          <t>LULEÅ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34797-2024</t>
        </is>
      </c>
      <c r="B815" s="1" t="n">
        <v>45526</v>
      </c>
      <c r="C815" s="1" t="n">
        <v>45566</v>
      </c>
      <c r="D815" t="inlineStr">
        <is>
          <t>NORRBOTTENS LÄN</t>
        </is>
      </c>
      <c r="E815" t="inlineStr">
        <is>
          <t>LULEÅ</t>
        </is>
      </c>
      <c r="G815" t="n">
        <v>27.6</v>
      </c>
      <c r="H815" t="n">
        <v>0</v>
      </c>
      <c r="I815" t="n">
        <v>0</v>
      </c>
      <c r="J815" t="n">
        <v>0</v>
      </c>
      <c r="K815" t="n">
        <v>0</v>
      </c>
      <c r="L815" t="n">
        <v>0</v>
      </c>
      <c r="M815" t="n">
        <v>0</v>
      </c>
      <c r="N815" t="n">
        <v>0</v>
      </c>
      <c r="O815" t="n">
        <v>0</v>
      </c>
      <c r="P815" t="n">
        <v>0</v>
      </c>
      <c r="Q815" t="n">
        <v>0</v>
      </c>
      <c r="R815" s="2" t="inlineStr"/>
    </row>
    <row r="816" ht="15" customHeight="1">
      <c r="A816" t="inlineStr">
        <is>
          <t>A 34992-2024</t>
        </is>
      </c>
      <c r="B816" s="1" t="n">
        <v>45527</v>
      </c>
      <c r="C816" s="1" t="n">
        <v>45566</v>
      </c>
      <c r="D816" t="inlineStr">
        <is>
          <t>NORRBOTTENS LÄN</t>
        </is>
      </c>
      <c r="E816" t="inlineStr">
        <is>
          <t>LULEÅ</t>
        </is>
      </c>
      <c r="G816" t="n">
        <v>2.6</v>
      </c>
      <c r="H816" t="n">
        <v>0</v>
      </c>
      <c r="I816" t="n">
        <v>0</v>
      </c>
      <c r="J816" t="n">
        <v>0</v>
      </c>
      <c r="K816" t="n">
        <v>0</v>
      </c>
      <c r="L816" t="n">
        <v>0</v>
      </c>
      <c r="M816" t="n">
        <v>0</v>
      </c>
      <c r="N816" t="n">
        <v>0</v>
      </c>
      <c r="O816" t="n">
        <v>0</v>
      </c>
      <c r="P816" t="n">
        <v>0</v>
      </c>
      <c r="Q816" t="n">
        <v>0</v>
      </c>
      <c r="R816" s="2" t="inlineStr"/>
    </row>
    <row r="817" ht="15" customHeight="1">
      <c r="A817" t="inlineStr">
        <is>
          <t>A 35158-2024</t>
        </is>
      </c>
      <c r="B817" s="1" t="n">
        <v>45530</v>
      </c>
      <c r="C817" s="1" t="n">
        <v>45566</v>
      </c>
      <c r="D817" t="inlineStr">
        <is>
          <t>NORRBOTTENS LÄN</t>
        </is>
      </c>
      <c r="E817" t="inlineStr">
        <is>
          <t>LULEÅ</t>
        </is>
      </c>
      <c r="G817" t="n">
        <v>2.1</v>
      </c>
      <c r="H817" t="n">
        <v>0</v>
      </c>
      <c r="I817" t="n">
        <v>0</v>
      </c>
      <c r="J817" t="n">
        <v>0</v>
      </c>
      <c r="K817" t="n">
        <v>0</v>
      </c>
      <c r="L817" t="n">
        <v>0</v>
      </c>
      <c r="M817" t="n">
        <v>0</v>
      </c>
      <c r="N817" t="n">
        <v>0</v>
      </c>
      <c r="O817" t="n">
        <v>0</v>
      </c>
      <c r="P817" t="n">
        <v>0</v>
      </c>
      <c r="Q817" t="n">
        <v>0</v>
      </c>
      <c r="R817" s="2" t="inlineStr"/>
    </row>
    <row r="818" ht="15" customHeight="1">
      <c r="A818" t="inlineStr">
        <is>
          <t>A 35552-2024</t>
        </is>
      </c>
      <c r="B818" s="1" t="n">
        <v>45531</v>
      </c>
      <c r="C818" s="1" t="n">
        <v>45566</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35560-2024</t>
        </is>
      </c>
      <c r="B819" s="1" t="n">
        <v>45531</v>
      </c>
      <c r="C819" s="1" t="n">
        <v>45566</v>
      </c>
      <c r="D819" t="inlineStr">
        <is>
          <t>NORRBOTTENS LÄN</t>
        </is>
      </c>
      <c r="E819" t="inlineStr">
        <is>
          <t>LULEÅ</t>
        </is>
      </c>
      <c r="G819" t="n">
        <v>12.5</v>
      </c>
      <c r="H819" t="n">
        <v>0</v>
      </c>
      <c r="I819" t="n">
        <v>0</v>
      </c>
      <c r="J819" t="n">
        <v>0</v>
      </c>
      <c r="K819" t="n">
        <v>0</v>
      </c>
      <c r="L819" t="n">
        <v>0</v>
      </c>
      <c r="M819" t="n">
        <v>0</v>
      </c>
      <c r="N819" t="n">
        <v>0</v>
      </c>
      <c r="O819" t="n">
        <v>0</v>
      </c>
      <c r="P819" t="n">
        <v>0</v>
      </c>
      <c r="Q819" t="n">
        <v>0</v>
      </c>
      <c r="R819" s="2" t="inlineStr"/>
    </row>
    <row r="820" ht="15" customHeight="1">
      <c r="A820" t="inlineStr">
        <is>
          <t>A 35563-2024</t>
        </is>
      </c>
      <c r="B820" s="1" t="n">
        <v>45531</v>
      </c>
      <c r="C820" s="1" t="n">
        <v>45566</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35918-2024</t>
        </is>
      </c>
      <c r="B821" s="1" t="n">
        <v>45533</v>
      </c>
      <c r="C821" s="1" t="n">
        <v>45566</v>
      </c>
      <c r="D821" t="inlineStr">
        <is>
          <t>NORRBOTTENS LÄN</t>
        </is>
      </c>
      <c r="E821" t="inlineStr">
        <is>
          <t>LULEÅ</t>
        </is>
      </c>
      <c r="G821" t="n">
        <v>1.5</v>
      </c>
      <c r="H821" t="n">
        <v>0</v>
      </c>
      <c r="I821" t="n">
        <v>0</v>
      </c>
      <c r="J821" t="n">
        <v>0</v>
      </c>
      <c r="K821" t="n">
        <v>0</v>
      </c>
      <c r="L821" t="n">
        <v>0</v>
      </c>
      <c r="M821" t="n">
        <v>0</v>
      </c>
      <c r="N821" t="n">
        <v>0</v>
      </c>
      <c r="O821" t="n">
        <v>0</v>
      </c>
      <c r="P821" t="n">
        <v>0</v>
      </c>
      <c r="Q821" t="n">
        <v>0</v>
      </c>
      <c r="R821" s="2" t="inlineStr"/>
    </row>
    <row r="822" ht="15" customHeight="1">
      <c r="A822" t="inlineStr">
        <is>
          <t>A 37304-2024</t>
        </is>
      </c>
      <c r="B822" s="1" t="n">
        <v>45540</v>
      </c>
      <c r="C822" s="1" t="n">
        <v>45566</v>
      </c>
      <c r="D822" t="inlineStr">
        <is>
          <t>NORRBOTTENS LÄN</t>
        </is>
      </c>
      <c r="E822" t="inlineStr">
        <is>
          <t>LULEÅ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37935-2024</t>
        </is>
      </c>
      <c r="B823" s="1" t="n">
        <v>45544</v>
      </c>
      <c r="C823" s="1" t="n">
        <v>45566</v>
      </c>
      <c r="D823" t="inlineStr">
        <is>
          <t>NORRBOTTENS LÄN</t>
        </is>
      </c>
      <c r="E823" t="inlineStr">
        <is>
          <t>LULEÅ</t>
        </is>
      </c>
      <c r="G823" t="n">
        <v>3.3</v>
      </c>
      <c r="H823" t="n">
        <v>0</v>
      </c>
      <c r="I823" t="n">
        <v>0</v>
      </c>
      <c r="J823" t="n">
        <v>0</v>
      </c>
      <c r="K823" t="n">
        <v>0</v>
      </c>
      <c r="L823" t="n">
        <v>0</v>
      </c>
      <c r="M823" t="n">
        <v>0</v>
      </c>
      <c r="N823" t="n">
        <v>0</v>
      </c>
      <c r="O823" t="n">
        <v>0</v>
      </c>
      <c r="P823" t="n">
        <v>0</v>
      </c>
      <c r="Q823" t="n">
        <v>0</v>
      </c>
      <c r="R823" s="2" t="inlineStr"/>
    </row>
    <row r="824" ht="15" customHeight="1">
      <c r="A824" t="inlineStr">
        <is>
          <t>A 37949-2024</t>
        </is>
      </c>
      <c r="B824" s="1" t="n">
        <v>45544</v>
      </c>
      <c r="C824" s="1" t="n">
        <v>45566</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38072-2024</t>
        </is>
      </c>
      <c r="B825" s="1" t="n">
        <v>45544</v>
      </c>
      <c r="C825" s="1" t="n">
        <v>45566</v>
      </c>
      <c r="D825" t="inlineStr">
        <is>
          <t>NORRBOTTENS LÄN</t>
        </is>
      </c>
      <c r="E825" t="inlineStr">
        <is>
          <t>LULEÅ</t>
        </is>
      </c>
      <c r="G825" t="n">
        <v>8.6</v>
      </c>
      <c r="H825" t="n">
        <v>0</v>
      </c>
      <c r="I825" t="n">
        <v>0</v>
      </c>
      <c r="J825" t="n">
        <v>0</v>
      </c>
      <c r="K825" t="n">
        <v>0</v>
      </c>
      <c r="L825" t="n">
        <v>0</v>
      </c>
      <c r="M825" t="n">
        <v>0</v>
      </c>
      <c r="N825" t="n">
        <v>0</v>
      </c>
      <c r="O825" t="n">
        <v>0</v>
      </c>
      <c r="P825" t="n">
        <v>0</v>
      </c>
      <c r="Q825" t="n">
        <v>0</v>
      </c>
      <c r="R825" s="2" t="inlineStr"/>
    </row>
    <row r="826" ht="15" customHeight="1">
      <c r="A826" t="inlineStr">
        <is>
          <t>A 38333-2024</t>
        </is>
      </c>
      <c r="B826" s="1" t="n">
        <v>45545</v>
      </c>
      <c r="C826" s="1" t="n">
        <v>45566</v>
      </c>
      <c r="D826" t="inlineStr">
        <is>
          <t>NORRBOTTENS LÄN</t>
        </is>
      </c>
      <c r="E826" t="inlineStr">
        <is>
          <t>LULEÅ</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39727-2024</t>
        </is>
      </c>
      <c r="B827" s="1" t="n">
        <v>45552</v>
      </c>
      <c r="C827" s="1" t="n">
        <v>45566</v>
      </c>
      <c r="D827" t="inlineStr">
        <is>
          <t>NORRBOTTENS LÄN</t>
        </is>
      </c>
      <c r="E827" t="inlineStr">
        <is>
          <t>LULEÅ</t>
        </is>
      </c>
      <c r="G827" t="n">
        <v>4.9</v>
      </c>
      <c r="H827" t="n">
        <v>0</v>
      </c>
      <c r="I827" t="n">
        <v>0</v>
      </c>
      <c r="J827" t="n">
        <v>0</v>
      </c>
      <c r="K827" t="n">
        <v>0</v>
      </c>
      <c r="L827" t="n">
        <v>0</v>
      </c>
      <c r="M827" t="n">
        <v>0</v>
      </c>
      <c r="N827" t="n">
        <v>0</v>
      </c>
      <c r="O827" t="n">
        <v>0</v>
      </c>
      <c r="P827" t="n">
        <v>0</v>
      </c>
      <c r="Q827" t="n">
        <v>0</v>
      </c>
      <c r="R827" s="2" t="inlineStr"/>
    </row>
    <row r="828" ht="15" customHeight="1">
      <c r="A828" t="inlineStr">
        <is>
          <t>A 39814-2024</t>
        </is>
      </c>
      <c r="B828" s="1" t="n">
        <v>45553</v>
      </c>
      <c r="C828" s="1" t="n">
        <v>45566</v>
      </c>
      <c r="D828" t="inlineStr">
        <is>
          <t>NORRBOTTENS LÄN</t>
        </is>
      </c>
      <c r="E828" t="inlineStr">
        <is>
          <t>LULEÅ</t>
        </is>
      </c>
      <c r="F828" t="inlineStr">
        <is>
          <t>Naturvårdsverket</t>
        </is>
      </c>
      <c r="G828" t="n">
        <v>3.7</v>
      </c>
      <c r="H828" t="n">
        <v>0</v>
      </c>
      <c r="I828" t="n">
        <v>0</v>
      </c>
      <c r="J828" t="n">
        <v>0</v>
      </c>
      <c r="K828" t="n">
        <v>0</v>
      </c>
      <c r="L828" t="n">
        <v>0</v>
      </c>
      <c r="M828" t="n">
        <v>0</v>
      </c>
      <c r="N828" t="n">
        <v>0</v>
      </c>
      <c r="O828" t="n">
        <v>0</v>
      </c>
      <c r="P828" t="n">
        <v>0</v>
      </c>
      <c r="Q828" t="n">
        <v>0</v>
      </c>
      <c r="R828" s="2" t="inlineStr"/>
    </row>
    <row r="829" ht="15" customHeight="1">
      <c r="A829" t="inlineStr">
        <is>
          <t>A 39815-2024</t>
        </is>
      </c>
      <c r="B829" s="1" t="n">
        <v>45553</v>
      </c>
      <c r="C829" s="1" t="n">
        <v>45566</v>
      </c>
      <c r="D829" t="inlineStr">
        <is>
          <t>NORRBOTTENS LÄN</t>
        </is>
      </c>
      <c r="E829" t="inlineStr">
        <is>
          <t>LULEÅ</t>
        </is>
      </c>
      <c r="F829" t="inlineStr">
        <is>
          <t>Naturvårdsverket</t>
        </is>
      </c>
      <c r="G829" t="n">
        <v>1.8</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45566</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39881-2024</t>
        </is>
      </c>
      <c r="B831" s="1" t="n">
        <v>45553</v>
      </c>
      <c r="C831" s="1" t="n">
        <v>45566</v>
      </c>
      <c r="D831" t="inlineStr">
        <is>
          <t>NORRBOTTENS LÄN</t>
        </is>
      </c>
      <c r="E831" t="inlineStr">
        <is>
          <t>LULEÅ</t>
        </is>
      </c>
      <c r="F831" t="inlineStr">
        <is>
          <t>Kommuner</t>
        </is>
      </c>
      <c r="G831" t="n">
        <v>27.3</v>
      </c>
      <c r="H831" t="n">
        <v>0</v>
      </c>
      <c r="I831" t="n">
        <v>0</v>
      </c>
      <c r="J831" t="n">
        <v>0</v>
      </c>
      <c r="K831" t="n">
        <v>0</v>
      </c>
      <c r="L831" t="n">
        <v>0</v>
      </c>
      <c r="M831" t="n">
        <v>0</v>
      </c>
      <c r="N831" t="n">
        <v>0</v>
      </c>
      <c r="O831" t="n">
        <v>0</v>
      </c>
      <c r="P831" t="n">
        <v>0</v>
      </c>
      <c r="Q831" t="n">
        <v>0</v>
      </c>
      <c r="R831" s="2" t="inlineStr"/>
    </row>
    <row r="832" ht="15" customHeight="1">
      <c r="A832" t="inlineStr">
        <is>
          <t>A 40697-2024</t>
        </is>
      </c>
      <c r="B832" s="1" t="n">
        <v>45558</v>
      </c>
      <c r="C832" s="1" t="n">
        <v>45566</v>
      </c>
      <c r="D832" t="inlineStr">
        <is>
          <t>NORRBOTTENS LÄN</t>
        </is>
      </c>
      <c r="E832" t="inlineStr">
        <is>
          <t>LULEÅ</t>
        </is>
      </c>
      <c r="G832" t="n">
        <v>1.1</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45566</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45566</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40699-2024</t>
        </is>
      </c>
      <c r="B835" s="1" t="n">
        <v>45558</v>
      </c>
      <c r="C835" s="1" t="n">
        <v>45566</v>
      </c>
      <c r="D835" t="inlineStr">
        <is>
          <t>NORRBOTTENS LÄN</t>
        </is>
      </c>
      <c r="E835" t="inlineStr">
        <is>
          <t>LULEÅ</t>
        </is>
      </c>
      <c r="G835" t="n">
        <v>0.7</v>
      </c>
      <c r="H835" t="n">
        <v>0</v>
      </c>
      <c r="I835" t="n">
        <v>0</v>
      </c>
      <c r="J835" t="n">
        <v>0</v>
      </c>
      <c r="K835" t="n">
        <v>0</v>
      </c>
      <c r="L835" t="n">
        <v>0</v>
      </c>
      <c r="M835" t="n">
        <v>0</v>
      </c>
      <c r="N835" t="n">
        <v>0</v>
      </c>
      <c r="O835" t="n">
        <v>0</v>
      </c>
      <c r="P835" t="n">
        <v>0</v>
      </c>
      <c r="Q835" t="n">
        <v>0</v>
      </c>
      <c r="R835" s="2" t="inlineStr"/>
    </row>
    <row r="836" ht="15" customHeight="1">
      <c r="A836" t="inlineStr">
        <is>
          <t>A 40711-2024</t>
        </is>
      </c>
      <c r="B836" s="1" t="n">
        <v>45558</v>
      </c>
      <c r="C836" s="1" t="n">
        <v>45566</v>
      </c>
      <c r="D836" t="inlineStr">
        <is>
          <t>NORRBOTTENS LÄN</t>
        </is>
      </c>
      <c r="E836" t="inlineStr">
        <is>
          <t>LULEÅ</t>
        </is>
      </c>
      <c r="G836" t="n">
        <v>19.1</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45566</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40899-2024</t>
        </is>
      </c>
      <c r="B838" s="1" t="n">
        <v>45558</v>
      </c>
      <c r="C838" s="1" t="n">
        <v>45566</v>
      </c>
      <c r="D838" t="inlineStr">
        <is>
          <t>NORRBOTTENS LÄN</t>
        </is>
      </c>
      <c r="E838" t="inlineStr">
        <is>
          <t>LULEÅ</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41088-2024</t>
        </is>
      </c>
      <c r="B839" s="1" t="n">
        <v>45559</v>
      </c>
      <c r="C839" s="1" t="n">
        <v>45566</v>
      </c>
      <c r="D839" t="inlineStr">
        <is>
          <t>NORRBOTTENS LÄN</t>
        </is>
      </c>
      <c r="E839" t="inlineStr">
        <is>
          <t>LULEÅ</t>
        </is>
      </c>
      <c r="F839" t="inlineStr">
        <is>
          <t>Övriga Aktiebolag</t>
        </is>
      </c>
      <c r="G839" t="n">
        <v>4.3</v>
      </c>
      <c r="H839" t="n">
        <v>0</v>
      </c>
      <c r="I839" t="n">
        <v>0</v>
      </c>
      <c r="J839" t="n">
        <v>0</v>
      </c>
      <c r="K839" t="n">
        <v>0</v>
      </c>
      <c r="L839" t="n">
        <v>0</v>
      </c>
      <c r="M839" t="n">
        <v>0</v>
      </c>
      <c r="N839" t="n">
        <v>0</v>
      </c>
      <c r="O839" t="n">
        <v>0</v>
      </c>
      <c r="P839" t="n">
        <v>0</v>
      </c>
      <c r="Q839" t="n">
        <v>0</v>
      </c>
      <c r="R839" s="2" t="inlineStr"/>
    </row>
    <row r="840" ht="15" customHeight="1">
      <c r="A840" t="inlineStr">
        <is>
          <t>A 41458-2024</t>
        </is>
      </c>
      <c r="B840" s="1" t="n">
        <v>45560</v>
      </c>
      <c r="C840" s="1" t="n">
        <v>45566</v>
      </c>
      <c r="D840" t="inlineStr">
        <is>
          <t>NORRBOTTENS LÄN</t>
        </is>
      </c>
      <c r="E840" t="inlineStr">
        <is>
          <t>LULEÅ</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41708-2024</t>
        </is>
      </c>
      <c r="B841" s="1" t="n">
        <v>45560</v>
      </c>
      <c r="C841" s="1" t="n">
        <v>45566</v>
      </c>
      <c r="D841" t="inlineStr">
        <is>
          <t>NORRBOTTENS LÄN</t>
        </is>
      </c>
      <c r="E841" t="inlineStr">
        <is>
          <t>LULEÅ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45566</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42036-2024</t>
        </is>
      </c>
      <c r="B843" s="1" t="n">
        <v>45561</v>
      </c>
      <c r="C843" s="1" t="n">
        <v>45566</v>
      </c>
      <c r="D843" t="inlineStr">
        <is>
          <t>NORRBOTTENS LÄN</t>
        </is>
      </c>
      <c r="E843" t="inlineStr">
        <is>
          <t>LULEÅ</t>
        </is>
      </c>
      <c r="G843" t="n">
        <v>4.7</v>
      </c>
      <c r="H843" t="n">
        <v>0</v>
      </c>
      <c r="I843" t="n">
        <v>0</v>
      </c>
      <c r="J843" t="n">
        <v>0</v>
      </c>
      <c r="K843" t="n">
        <v>0</v>
      </c>
      <c r="L843" t="n">
        <v>0</v>
      </c>
      <c r="M843" t="n">
        <v>0</v>
      </c>
      <c r="N843" t="n">
        <v>0</v>
      </c>
      <c r="O843" t="n">
        <v>0</v>
      </c>
      <c r="P843" t="n">
        <v>0</v>
      </c>
      <c r="Q843" t="n">
        <v>0</v>
      </c>
      <c r="R843" s="2" t="inlineStr"/>
    </row>
    <row r="844" ht="15" customHeight="1">
      <c r="A844" t="inlineStr">
        <is>
          <t>A 42026-2024</t>
        </is>
      </c>
      <c r="B844" s="1" t="n">
        <v>45561</v>
      </c>
      <c r="C844" s="1" t="n">
        <v>45566</v>
      </c>
      <c r="D844" t="inlineStr">
        <is>
          <t>NORRBOTTENS LÄN</t>
        </is>
      </c>
      <c r="E844" t="inlineStr">
        <is>
          <t>LULEÅ</t>
        </is>
      </c>
      <c r="G844" t="n">
        <v>1.9</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45566</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42024-2024</t>
        </is>
      </c>
      <c r="B846" s="1" t="n">
        <v>45561</v>
      </c>
      <c r="C846" s="1" t="n">
        <v>45566</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42033-2024</t>
        </is>
      </c>
      <c r="B847" s="1" t="n">
        <v>45561</v>
      </c>
      <c r="C847" s="1" t="n">
        <v>45566</v>
      </c>
      <c r="D847" t="inlineStr">
        <is>
          <t>NORRBOTTENS LÄN</t>
        </is>
      </c>
      <c r="E847" t="inlineStr">
        <is>
          <t>LULEÅ</t>
        </is>
      </c>
      <c r="G847" t="n">
        <v>1</v>
      </c>
      <c r="H847" t="n">
        <v>0</v>
      </c>
      <c r="I847" t="n">
        <v>0</v>
      </c>
      <c r="J847" t="n">
        <v>0</v>
      </c>
      <c r="K847" t="n">
        <v>0</v>
      </c>
      <c r="L847" t="n">
        <v>0</v>
      </c>
      <c r="M847" t="n">
        <v>0</v>
      </c>
      <c r="N847" t="n">
        <v>0</v>
      </c>
      <c r="O847" t="n">
        <v>0</v>
      </c>
      <c r="P847" t="n">
        <v>0</v>
      </c>
      <c r="Q847" t="n">
        <v>0</v>
      </c>
      <c r="R847" s="2" t="inlineStr"/>
    </row>
    <row r="848" ht="15" customHeight="1">
      <c r="A848" t="inlineStr">
        <is>
          <t>A 42096-2024</t>
        </is>
      </c>
      <c r="B848" s="1" t="n">
        <v>45562</v>
      </c>
      <c r="C848" s="1" t="n">
        <v>45566</v>
      </c>
      <c r="D848" t="inlineStr">
        <is>
          <t>NORRBOTTENS LÄN</t>
        </is>
      </c>
      <c r="E848" t="inlineStr">
        <is>
          <t>LULEÅ</t>
        </is>
      </c>
      <c r="F848" t="inlineStr">
        <is>
          <t>Naturvårdsverket</t>
        </is>
      </c>
      <c r="G848" t="n">
        <v>2.1</v>
      </c>
      <c r="H848" t="n">
        <v>0</v>
      </c>
      <c r="I848" t="n">
        <v>0</v>
      </c>
      <c r="J848" t="n">
        <v>0</v>
      </c>
      <c r="K848" t="n">
        <v>0</v>
      </c>
      <c r="L848" t="n">
        <v>0</v>
      </c>
      <c r="M848" t="n">
        <v>0</v>
      </c>
      <c r="N848" t="n">
        <v>0</v>
      </c>
      <c r="O848" t="n">
        <v>0</v>
      </c>
      <c r="P848" t="n">
        <v>0</v>
      </c>
      <c r="Q848" t="n">
        <v>0</v>
      </c>
      <c r="R848" s="2" t="inlineStr"/>
    </row>
    <row r="849" ht="15" customHeight="1">
      <c r="A849" t="inlineStr">
        <is>
          <t>A 42124-2024</t>
        </is>
      </c>
      <c r="B849" s="1" t="n">
        <v>45562</v>
      </c>
      <c r="C849" s="1" t="n">
        <v>45566</v>
      </c>
      <c r="D849" t="inlineStr">
        <is>
          <t>NORRBOTTENS LÄN</t>
        </is>
      </c>
      <c r="E849" t="inlineStr">
        <is>
          <t>LULEÅ</t>
        </is>
      </c>
      <c r="G849" t="n">
        <v>2.6</v>
      </c>
      <c r="H849" t="n">
        <v>0</v>
      </c>
      <c r="I849" t="n">
        <v>0</v>
      </c>
      <c r="J849" t="n">
        <v>0</v>
      </c>
      <c r="K849" t="n">
        <v>0</v>
      </c>
      <c r="L849" t="n">
        <v>0</v>
      </c>
      <c r="M849" t="n">
        <v>0</v>
      </c>
      <c r="N849" t="n">
        <v>0</v>
      </c>
      <c r="O849" t="n">
        <v>0</v>
      </c>
      <c r="P849" t="n">
        <v>0</v>
      </c>
      <c r="Q849" t="n">
        <v>0</v>
      </c>
      <c r="R849" s="2" t="inlineStr"/>
    </row>
    <row r="850" ht="15" customHeight="1">
      <c r="A850" t="inlineStr">
        <is>
          <t>A 42103-2024</t>
        </is>
      </c>
      <c r="B850" s="1" t="n">
        <v>45562</v>
      </c>
      <c r="C850" s="1" t="n">
        <v>45566</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42256-2024</t>
        </is>
      </c>
      <c r="B851" s="1" t="n">
        <v>45562</v>
      </c>
      <c r="C851" s="1" t="n">
        <v>45566</v>
      </c>
      <c r="D851" t="inlineStr">
        <is>
          <t>NORRBOTTENS LÄN</t>
        </is>
      </c>
      <c r="E851" t="inlineStr">
        <is>
          <t>LULEÅ</t>
        </is>
      </c>
      <c r="G851" t="n">
        <v>4.2</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45566</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45566</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42425-2024</t>
        </is>
      </c>
      <c r="B854" s="1" t="n">
        <v>45565</v>
      </c>
      <c r="C854" s="1" t="n">
        <v>45566</v>
      </c>
      <c r="D854" t="inlineStr">
        <is>
          <t>NORRBOTTENS LÄN</t>
        </is>
      </c>
      <c r="E854" t="inlineStr">
        <is>
          <t>LULEÅ</t>
        </is>
      </c>
      <c r="G854" t="n">
        <v>1.2</v>
      </c>
      <c r="H854" t="n">
        <v>0</v>
      </c>
      <c r="I854" t="n">
        <v>0</v>
      </c>
      <c r="J854" t="n">
        <v>0</v>
      </c>
      <c r="K854" t="n">
        <v>0</v>
      </c>
      <c r="L854" t="n">
        <v>0</v>
      </c>
      <c r="M854" t="n">
        <v>0</v>
      </c>
      <c r="N854" t="n">
        <v>0</v>
      </c>
      <c r="O854" t="n">
        <v>0</v>
      </c>
      <c r="P854" t="n">
        <v>0</v>
      </c>
      <c r="Q854" t="n">
        <v>0</v>
      </c>
      <c r="R854" s="2" t="inlineStr"/>
    </row>
    <row r="855" ht="15" customHeight="1">
      <c r="A855" t="inlineStr">
        <is>
          <t>A 42485-2024</t>
        </is>
      </c>
      <c r="B855" s="1" t="n">
        <v>45565</v>
      </c>
      <c r="C855" s="1" t="n">
        <v>45566</v>
      </c>
      <c r="D855" t="inlineStr">
        <is>
          <t>NORRBOTTENS LÄN</t>
        </is>
      </c>
      <c r="E855" t="inlineStr">
        <is>
          <t>LULEÅ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42422-2024</t>
        </is>
      </c>
      <c r="B856" s="1" t="n">
        <v>45565</v>
      </c>
      <c r="C856" s="1" t="n">
        <v>45566</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45566</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c r="A858" t="inlineStr">
        <is>
          <t>A 42496-2024</t>
        </is>
      </c>
      <c r="B858" s="1" t="n">
        <v>45565</v>
      </c>
      <c r="C858" s="1" t="n">
        <v>45566</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2024-10-01T12:16:24Z</dcterms:created>
  <dcterms:modified xmlns:dcterms="http://purl.org/dc/terms/" xmlns:xsi="http://www.w3.org/2001/XMLSchema-instance" xsi:type="dcterms:W3CDTF">2024-10-01T12:16:25Z</dcterms:modified>
</cp:coreProperties>
</file>