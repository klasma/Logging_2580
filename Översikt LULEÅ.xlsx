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45743</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HYPERLINK("https://klasma.github.io/Logging_2580/artfynd/A 14184-2025 artfynd.xlsx", "A 14184-2025")</f>
        <v/>
      </c>
      <c r="T42">
        <f>HYPERLINK("https://klasma.github.io/Logging_2580/kartor/A 14184-2025 karta.png", "A 14184-2025")</f>
        <v/>
      </c>
      <c r="V42">
        <f>HYPERLINK("https://klasma.github.io/Logging_2580/klagomål/A 14184-2025 FSC-klagomål.docx", "A 14184-2025")</f>
        <v/>
      </c>
      <c r="W42">
        <f>HYPERLINK("https://klasma.github.io/Logging_2580/klagomålsmail/A 14184-2025 FSC-klagomål mail.docx", "A 14184-2025")</f>
        <v/>
      </c>
      <c r="X42">
        <f>HYPERLINK("https://klasma.github.io/Logging_2580/tillsyn/A 14184-2025 tillsynsbegäran.docx", "A 14184-2025")</f>
        <v/>
      </c>
      <c r="Y42">
        <f>HYPERLINK("https://klasma.github.io/Logging_2580/tillsynsmail/A 14184-2025 tillsynsbegäran mail.docx", "A 14184-2025")</f>
        <v/>
      </c>
    </row>
    <row r="43" ht="15" customHeight="1">
      <c r="A43" t="inlineStr">
        <is>
          <t>A 60760-2019</t>
        </is>
      </c>
      <c r="B43" s="1" t="n">
        <v>43781</v>
      </c>
      <c r="C43" s="1" t="n">
        <v>45743</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45743</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45743</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45743</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45743</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45743</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45743</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45743</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45743</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45743</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45743</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45743</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45743</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45743</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45743</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45743</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45743</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45743</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45743</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45743</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45743</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45743</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45743</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45743</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45743</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45743</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45743</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45743</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45743</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45743</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45743</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45743</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45743</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45743</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45743</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45743</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45743</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45743</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45743</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45743</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45743</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45743</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45743</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45743</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45743</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45743</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45743</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45743</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45743</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45743</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45743</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45743</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45743</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45743</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45743</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45743</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45743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45743</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45743</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45743</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45743</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45743</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45743</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45743</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45743</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45743</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45743</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45743</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45743</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45743</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45743</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45743</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45743</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45743</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45743</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45743</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45743</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45743</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45743</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45743</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45743</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45743</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45743</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45743</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45743</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45743</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45743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45743</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45743</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45743</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45743</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45743</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45743</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45743</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45743</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45743</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45743</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45743</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45743</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45743</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45743</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45743</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45743</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45743</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45743</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45743</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45743</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45743</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45743</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45743</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45743</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45743</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45743</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45743</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45743</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45743</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45743</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45743</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45743</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45743</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45743</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45743</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45743</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45743</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45743</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45743</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45743</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45743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45743</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45743</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45743</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45743</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45743</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45743</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45743</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45743</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45743</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45743</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45743</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45743</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45743</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45743</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45743</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45743</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45743</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45743</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45743</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45743</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45743</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45743</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45743</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45743</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45743</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45743</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45743</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45743</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45743</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45743</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45743</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45743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45743</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45743</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45743</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45743</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45743</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45743</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45743</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45743</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45743</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45743</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45743</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45743</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45743</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45743</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45743</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45743</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45743</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45743</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45743</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45743</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45743</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45743</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45743</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45743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45743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45743</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45743</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45743</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45743</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45743</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45743</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45743</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45743</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45743</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45743</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45743</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45743</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45743</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45743</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45743</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45743</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45743</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45743</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45743</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45743</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45743</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45743</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45743</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45743</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45743</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45743</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45743</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45743</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45743</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45743</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45743</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45743</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45743</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45743</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45743</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45743</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45743</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45743</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45743</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45743</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45743</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45743</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45743</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45743</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45743</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45743</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45743</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45743</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45743</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45743</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45743</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45743</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45743</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45743</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45743</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45743</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45743</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45743</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45743</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45743</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45743</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45743</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45743</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45743</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45743</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45743</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45743</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45743</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45743</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45743</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45743</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45743</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45743</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45743</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45743</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45743</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45743</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45743</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45743</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45743</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45743</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45743</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45743</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45743</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45743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45743</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45743</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45743</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45743</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45743</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45743</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45743</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45743</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45743</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45743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45743</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45743</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45743</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45743</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45743</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45743</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45743</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45743</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45743</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45743</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45743</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45743</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45743</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45743</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45743</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45743</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45743</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45743</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45743</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45743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45743</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45743</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45743</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45743</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45743</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45743</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45743</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45743</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45743</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45743</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45743</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45743</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45743</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45743</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45743</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45743</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45743</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45743</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45743</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45743</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45743</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45743</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45743</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45743</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45743</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45743</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45743</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45743</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45743</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45743</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45743</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45743</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45743</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45743</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45743</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45743</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45743</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45743</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45743</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45743</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45743</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45743</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45743</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45743</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45743</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45743</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45743</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45743</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45743</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45743</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45743</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45743</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45743</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45743</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45743</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45743</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45743</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45743</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45743</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45743</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45743</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45743</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45743</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45743</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45743</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45743</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45743</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45743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45743</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45743</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45743</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45743</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45743</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45743</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45743</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45743</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45743</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45743</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45743</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45743</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45743</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45743</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45743</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45743</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45743</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45743</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45743</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45743</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45743</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45743</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45743</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45743</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45743</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45743</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45743</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45743</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45743</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45743</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45743</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45743</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45743</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45743</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45743</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45743</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45743</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45743</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45743</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45743</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45743</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45743</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45743</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45743</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45743</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45743</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45743</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45743</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45743</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45743</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45743</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45743</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45743</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45743</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45743</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45743</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45743</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45743</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45743</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45743</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45743</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45743</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45743</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45743</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45743</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45743</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45743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45743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45743</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45743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45743</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45743</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45743</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45743</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45743</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45743</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45743</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45743</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45743</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45743</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45743</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45743</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45743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45743</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45743</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45743</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45743</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45743</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45743</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45743</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45743</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45743</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45743</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45743</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45743</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45743</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45743</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45743</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45743</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45743</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45743</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45743</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45743</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45743</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45743</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45743</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45743</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45743</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45743</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45743</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45743</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45743</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45743</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45743</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45743</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45743</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45743</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45743</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45743</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45743</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45743</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45743</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45743</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45743</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45743</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45743</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45743</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45743</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45743</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45743</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45743</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45743</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45743</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45743</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45743</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45743</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45743</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45743</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45743</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45743</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45743</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45743</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45743</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45743</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45743</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45743</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45743</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45743</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45743</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45743</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45743</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45743</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45743</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45743</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45743</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45743</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45743</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45743</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45743</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45743</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45743</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45743</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45743</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45743</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45743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45743</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45743</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45743</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45743</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45743</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45743</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45743</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45743</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45743</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45743</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45743</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45743</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45743</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45743</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45743</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45743</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45743</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45743</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45743</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45743</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45743</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45743</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45743</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45743</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45743</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45743</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45743</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45743</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45743</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45743</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45743</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45743</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45743</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45743</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45743</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45743</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45743</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45743</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45743</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45743</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45743</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45743</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45743</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45743</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45743</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45743</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45743</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45743</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45743</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45743</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45743</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45743</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45743</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45743</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45743</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45743</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45743</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45743</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45743</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45743</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45743</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45743</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45743</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45743</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45743</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45743</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45743</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45743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45743</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45743</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45743</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45743</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45743</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45743</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45743</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45743</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45743</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45743</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45743</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45743</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45743</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45743</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45743</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45743</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45743</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45743</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45743</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45743</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45743</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45743</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45743</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45743</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45743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45743</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45743</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45743</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45743</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45743</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45743</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45743</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45743</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45743</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45743</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45743</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45743</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45743</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45743</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45743</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45743</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45743</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45743</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45743</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45743</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45743</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45743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45743</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45743</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45743</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45743</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45743</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45743</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45743</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45743</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45743</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45743</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45743</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45743</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45743</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45743</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45743</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45743</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45743</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45743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45743</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45743</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45743</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45743</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45743</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45743</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45743</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45743</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45743</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45743</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45743</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45743</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45743</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45743</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45743</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45743</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45743</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45743</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45743</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45743</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45743</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45743</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45743</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45743</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45743</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45743</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45743</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45743</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45743</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45743</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45743</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45743</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45743</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45743</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45743</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45743</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45743</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45743</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45743</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45743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45743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45743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45743</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45743</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45743</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45743</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45743</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45743</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45743</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45743</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45743</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45743</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45743</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45743</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45743</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45743</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45743</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45743</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45743</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45743</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45743</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45743</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45743</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45743</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45743</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45743</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45743</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45743</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45743</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45743</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45743</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45743</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45743</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45743</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45743</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45743</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45743</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45743</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45743</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45743</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45743</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45743</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45743</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45743</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45743</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45743</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45743</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45743</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45743</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45743</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45743</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45743</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45743</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45743</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45743</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45743</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45743</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45743</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45743</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45743</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45743</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45743</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45743</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45743</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45743</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45743</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45743</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45743</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45743</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45743</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45743</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45743</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45743</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45743</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45743</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45743</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45743</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45743</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45743</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45743</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45743</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45743</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45743</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45743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45743</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45743</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45743</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45743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45743</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45743</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45743</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45743</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45743</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45743</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45743</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45743</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45743</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45743</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45743</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45743</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45743</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45743</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45743</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45743</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45743</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45743</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45743</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45743</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45743</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45743</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45743</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45743</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45743</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45743</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45743</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45743</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45743</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45743</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45743</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45743</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45743</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45743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45743</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45743</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45743</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45743</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45743</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45743</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45743</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45743</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45743</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45743</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45743</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45743</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45743</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45743</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45743</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45743</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45743</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45743</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45743</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45743</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45743</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45743</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45743</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45743</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45743</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45743</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45743</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45743</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45743</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45743</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45743</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45743</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45743</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45743</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45743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45743</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45743</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45743</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45743</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45743</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45743</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45743</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45743</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45743</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45743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45743</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45743</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45743</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45743</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45743</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45743</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45743</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45743</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45743</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45743</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45743</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45743</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45743</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45743</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45743</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45743</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45743</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45743</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45743</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45743</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45743</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45743</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45743</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45743</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45743</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45743</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45743</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45743</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45743</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45743</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45743</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45743</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45743</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45743</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45743</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45743</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45743</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45743</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45743</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45743</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45743</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45743</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45743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45743</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45743</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45743</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45743</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45743</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45743</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45743</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45743</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45743</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45743</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45743</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45743</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45743</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45743</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45743</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45743</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45743</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45743</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45743</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45743</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45743</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45743</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45743</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45743</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45743</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45743</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45743</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45743</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45743</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45743</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45743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45743</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45743</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45743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45743</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45743</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45743</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45743</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45743</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45743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45743</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45743</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45743</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45743</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45743</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45743</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45743</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45743</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45743</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45743</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45743</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45743</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45743</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45743</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45743</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45743</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45743</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45743</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45743</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45743</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45743</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45743</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45743</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45743</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45743</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45743</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45743</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45743</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45743</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45743</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45743</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45743</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45743</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45743</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45743</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45743</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45743</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45743</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45743</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45743</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45743</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45743</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45743</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45743</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45743</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45743</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45743</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45743</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45743</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45743</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45743</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45743</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45743</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45743</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45743</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45743</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45743</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45743</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45743</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45743</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45743</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45743</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45743</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45743</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45743</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45743</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45743</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10608-2025</t>
        </is>
      </c>
      <c r="B1066" s="1" t="n">
        <v>45721</v>
      </c>
      <c r="C1066" s="1" t="n">
        <v>45743</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45743</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11855-2025</t>
        </is>
      </c>
      <c r="B1068" s="1" t="n">
        <v>45727</v>
      </c>
      <c r="C1068" s="1" t="n">
        <v>45743</v>
      </c>
      <c r="D1068" t="inlineStr">
        <is>
          <t>NORRBOTTENS LÄN</t>
        </is>
      </c>
      <c r="E1068" t="inlineStr">
        <is>
          <t>LULEÅ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11834-2025</t>
        </is>
      </c>
      <c r="B1069" s="1" t="n">
        <v>45727</v>
      </c>
      <c r="C1069" s="1" t="n">
        <v>45743</v>
      </c>
      <c r="D1069" t="inlineStr">
        <is>
          <t>NORRBOTTENS LÄN</t>
        </is>
      </c>
      <c r="E1069" t="inlineStr">
        <is>
          <t>LULEÅ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11901-2025</t>
        </is>
      </c>
      <c r="B1070" s="1" t="n">
        <v>45727</v>
      </c>
      <c r="C1070" s="1" t="n">
        <v>45743</v>
      </c>
      <c r="D1070" t="inlineStr">
        <is>
          <t>NORRBOTTENS LÄN</t>
        </is>
      </c>
      <c r="E1070" t="inlineStr">
        <is>
          <t>LULEÅ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11853-2025</t>
        </is>
      </c>
      <c r="B1071" s="1" t="n">
        <v>45727</v>
      </c>
      <c r="C1071" s="1" t="n">
        <v>45743</v>
      </c>
      <c r="D1071" t="inlineStr">
        <is>
          <t>NORRBOTTENS LÄN</t>
        </is>
      </c>
      <c r="E1071" t="inlineStr">
        <is>
          <t>LULEÅ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45743</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45743</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45743</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45743</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14187-2025</t>
        </is>
      </c>
      <c r="B1076" s="1" t="n">
        <v>45740</v>
      </c>
      <c r="C1076" s="1" t="n">
        <v>45743</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45743</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14196-2025</t>
        </is>
      </c>
      <c r="B1078" s="1" t="n">
        <v>45740</v>
      </c>
      <c r="C1078" s="1" t="n">
        <v>45743</v>
      </c>
      <c r="D1078" t="inlineStr">
        <is>
          <t>NORRBOTTENS LÄN</t>
        </is>
      </c>
      <c r="E1078" t="inlineStr">
        <is>
          <t>LULEÅ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14216-2025</t>
        </is>
      </c>
      <c r="B1079" s="1" t="n">
        <v>45740</v>
      </c>
      <c r="C1079" s="1" t="n">
        <v>45743</v>
      </c>
      <c r="D1079" t="inlineStr">
        <is>
          <t>NORRBOTTENS LÄN</t>
        </is>
      </c>
      <c r="E1079" t="inlineStr">
        <is>
          <t>LULEÅ</t>
        </is>
      </c>
      <c r="G1079" t="n">
        <v>1.1</v>
      </c>
      <c r="H1079" t="n">
        <v>0</v>
      </c>
      <c r="I1079" t="n">
        <v>0</v>
      </c>
      <c r="J1079" t="n">
        <v>0</v>
      </c>
      <c r="K1079" t="n">
        <v>0</v>
      </c>
      <c r="L1079" t="n">
        <v>0</v>
      </c>
      <c r="M1079" t="n">
        <v>0</v>
      </c>
      <c r="N1079" t="n">
        <v>0</v>
      </c>
      <c r="O1079" t="n">
        <v>0</v>
      </c>
      <c r="P1079" t="n">
        <v>0</v>
      </c>
      <c r="Q1079" t="n">
        <v>0</v>
      </c>
      <c r="R1079" s="2" t="inlineStr"/>
    </row>
    <row r="1080">
      <c r="A1080" t="inlineStr">
        <is>
          <t>A 14193-2025</t>
        </is>
      </c>
      <c r="B1080" s="1" t="n">
        <v>45740</v>
      </c>
      <c r="C1080" s="1" t="n">
        <v>45743</v>
      </c>
      <c r="D1080" t="inlineStr">
        <is>
          <t>NORRBOTTENS LÄN</t>
        </is>
      </c>
      <c r="E1080" t="inlineStr">
        <is>
          <t>LULEÅ</t>
        </is>
      </c>
      <c r="G1080" t="n">
        <v>0.9</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2025-03-27T18:18:04Z</dcterms:created>
  <dcterms:modified xmlns:dcterms="http://purl.org/dc/terms/" xmlns:xsi="http://www.w3.org/2001/XMLSchema-instance" xsi:type="dcterms:W3CDTF">2025-03-27T18:18:05Z</dcterms:modified>
</cp:coreProperties>
</file>