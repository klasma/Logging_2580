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46160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46160</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46160</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46160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46160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46160</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46160</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5924-2026</t>
        </is>
      </c>
      <c r="B9" s="1" t="n">
        <v>46052</v>
      </c>
      <c r="C9" s="1" t="n">
        <v>46160</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30615-2025</t>
        </is>
      </c>
      <c r="B10" s="1" t="n">
        <v>45831</v>
      </c>
      <c r="C10" s="1" t="n">
        <v>46160</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46160</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46160</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46160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46160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46160</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46160</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46160</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46160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46160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46160</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46160</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46160</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46160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46160</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43961-2025</t>
        </is>
      </c>
      <c r="B25" s="1" t="n">
        <v>45915.39149305555</v>
      </c>
      <c r="C25" s="1" t="n">
        <v>46160</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46160</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46160</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v>
      </c>
      <c r="C28" s="1" t="n">
        <v>46160</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14221-2026</t>
        </is>
      </c>
      <c r="B29" s="1" t="n">
        <v>46099</v>
      </c>
      <c r="C29" s="1" t="n">
        <v>46160</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46160</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46160</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46160</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46160</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46160</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46160</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216-2026</t>
        </is>
      </c>
      <c r="B36" s="1" t="n">
        <v>46026.65243055556</v>
      </c>
      <c r="C36" s="1" t="n">
        <v>46160</v>
      </c>
      <c r="D36" t="inlineStr">
        <is>
          <t>NORRBOTTENS LÄN</t>
        </is>
      </c>
      <c r="E36" t="inlineStr">
        <is>
          <t>LULEÅ</t>
        </is>
      </c>
      <c r="G36" t="n">
        <v>3.8</v>
      </c>
      <c r="H36" t="n">
        <v>1</v>
      </c>
      <c r="I36" t="n">
        <v>0</v>
      </c>
      <c r="J36" t="n">
        <v>1</v>
      </c>
      <c r="K36" t="n">
        <v>0</v>
      </c>
      <c r="L36" t="n">
        <v>0</v>
      </c>
      <c r="M36" t="n">
        <v>0</v>
      </c>
      <c r="N36" t="n">
        <v>0</v>
      </c>
      <c r="O36" t="n">
        <v>1</v>
      </c>
      <c r="P36" t="n">
        <v>0</v>
      </c>
      <c r="Q36" t="n">
        <v>1</v>
      </c>
      <c r="R36" s="2" t="inlineStr">
        <is>
          <t>Spillkråka</t>
        </is>
      </c>
      <c r="S36">
        <f>HYPERLINK("https://klasma.github.io/Logging_2580/artfynd/A 216-2026 artfynd.xlsx", "A 216-2026")</f>
        <v/>
      </c>
      <c r="T36">
        <f>HYPERLINK("https://klasma.github.io/Logging_2580/kartor/A 216-2026 karta.png", "A 216-2026")</f>
        <v/>
      </c>
      <c r="V36">
        <f>HYPERLINK("https://klasma.github.io/Logging_2580/klagomål/A 216-2026 FSC-klagomål.docx", "A 216-2026")</f>
        <v/>
      </c>
      <c r="W36">
        <f>HYPERLINK("https://klasma.github.io/Logging_2580/klagomålsmail/A 216-2026 FSC-klagomål mail.docx", "A 216-2026")</f>
        <v/>
      </c>
      <c r="X36">
        <f>HYPERLINK("https://klasma.github.io/Logging_2580/tillsyn/A 216-2026 tillsynsbegäran.docx", "A 216-2026")</f>
        <v/>
      </c>
      <c r="Y36">
        <f>HYPERLINK("https://klasma.github.io/Logging_2580/tillsynsmail/A 216-2026 tillsynsbegäran mail.docx", "A 216-2026")</f>
        <v/>
      </c>
      <c r="Z36">
        <f>HYPERLINK("https://klasma.github.io/Logging_2580/fåglar/A 216-2026 prioriterade fågelarter.docx", "A 216-2026")</f>
        <v/>
      </c>
    </row>
    <row r="37" ht="15" customHeight="1">
      <c r="A37" t="inlineStr">
        <is>
          <t>A 3578-2025</t>
        </is>
      </c>
      <c r="B37" s="1" t="n">
        <v>45680</v>
      </c>
      <c r="C37" s="1" t="n">
        <v>46160</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38333-2024</t>
        </is>
      </c>
      <c r="B38" s="1" t="n">
        <v>45545</v>
      </c>
      <c r="C38" s="1" t="n">
        <v>46160</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46160</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51900-2025</t>
        </is>
      </c>
      <c r="B40" s="1" t="n">
        <v>45952</v>
      </c>
      <c r="C40" s="1" t="n">
        <v>46160</v>
      </c>
      <c r="D40" t="inlineStr">
        <is>
          <t>NORRBOTTENS LÄN</t>
        </is>
      </c>
      <c r="E40" t="inlineStr">
        <is>
          <t>LULEÅ</t>
        </is>
      </c>
      <c r="G40" t="n">
        <v>21.5</v>
      </c>
      <c r="H40" t="n">
        <v>1</v>
      </c>
      <c r="I40" t="n">
        <v>0</v>
      </c>
      <c r="J40" t="n">
        <v>0</v>
      </c>
      <c r="K40" t="n">
        <v>1</v>
      </c>
      <c r="L40" t="n">
        <v>0</v>
      </c>
      <c r="M40" t="n">
        <v>0</v>
      </c>
      <c r="N40" t="n">
        <v>0</v>
      </c>
      <c r="O40" t="n">
        <v>1</v>
      </c>
      <c r="P40" t="n">
        <v>1</v>
      </c>
      <c r="Q40" t="n">
        <v>1</v>
      </c>
      <c r="R40" s="2" t="inlineStr">
        <is>
          <t>Knärot</t>
        </is>
      </c>
      <c r="S40">
        <f>HYPERLINK("https://klasma.github.io/Logging_2580/artfynd/A 51900-2025 artfynd.xlsx", "A 51900-2025")</f>
        <v/>
      </c>
      <c r="T40">
        <f>HYPERLINK("https://klasma.github.io/Logging_2580/kartor/A 51900-2025 karta.png", "A 51900-2025")</f>
        <v/>
      </c>
      <c r="U40">
        <f>HYPERLINK("https://klasma.github.io/Logging_2580/knärot/A 51900-2025 karta knärot.png", "A 51900-2025")</f>
        <v/>
      </c>
      <c r="V40">
        <f>HYPERLINK("https://klasma.github.io/Logging_2580/klagomål/A 51900-2025 FSC-klagomål.docx", "A 51900-2025")</f>
        <v/>
      </c>
      <c r="W40">
        <f>HYPERLINK("https://klasma.github.io/Logging_2580/klagomålsmail/A 51900-2025 FSC-klagomål mail.docx", "A 51900-2025")</f>
        <v/>
      </c>
      <c r="X40">
        <f>HYPERLINK("https://klasma.github.io/Logging_2580/tillsyn/A 51900-2025 tillsynsbegäran.docx", "A 51900-2025")</f>
        <v/>
      </c>
      <c r="Y40">
        <f>HYPERLINK("https://klasma.github.io/Logging_2580/tillsynsmail/A 51900-2025 tillsynsbegäran mail.docx", "A 51900-2025")</f>
        <v/>
      </c>
    </row>
    <row r="41" ht="15" customHeight="1">
      <c r="A41" t="inlineStr">
        <is>
          <t>A 2650-2026</t>
        </is>
      </c>
      <c r="B41" s="1" t="n">
        <v>46037.62674768519</v>
      </c>
      <c r="C41" s="1" t="n">
        <v>46160</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43978-2025</t>
        </is>
      </c>
      <c r="B42" s="1" t="n">
        <v>45915</v>
      </c>
      <c r="C42" s="1" t="n">
        <v>46160</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44944-2025</t>
        </is>
      </c>
      <c r="B43" s="1" t="n">
        <v>45918</v>
      </c>
      <c r="C43" s="1" t="n">
        <v>46160</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31900-2025</t>
        </is>
      </c>
      <c r="B44" s="1" t="n">
        <v>45834</v>
      </c>
      <c r="C44" s="1" t="n">
        <v>46160</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46160</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46160</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4561-2023</t>
        </is>
      </c>
      <c r="B47" s="1" t="n">
        <v>44951</v>
      </c>
      <c r="C47" s="1" t="n">
        <v>46160</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59395-2024</t>
        </is>
      </c>
      <c r="B48" s="1" t="n">
        <v>45638</v>
      </c>
      <c r="C48" s="1" t="n">
        <v>46160</v>
      </c>
      <c r="D48" t="inlineStr">
        <is>
          <t>NORRBOTTENS LÄN</t>
        </is>
      </c>
      <c r="E48" t="inlineStr">
        <is>
          <t>LULEÅ</t>
        </is>
      </c>
      <c r="F48" t="inlineStr">
        <is>
          <t>Sveaskog</t>
        </is>
      </c>
      <c r="G48" t="n">
        <v>18.3</v>
      </c>
      <c r="H48" t="n">
        <v>0</v>
      </c>
      <c r="I48" t="n">
        <v>1</v>
      </c>
      <c r="J48" t="n">
        <v>0</v>
      </c>
      <c r="K48" t="n">
        <v>0</v>
      </c>
      <c r="L48" t="n">
        <v>0</v>
      </c>
      <c r="M48" t="n">
        <v>0</v>
      </c>
      <c r="N48" t="n">
        <v>0</v>
      </c>
      <c r="O48" t="n">
        <v>0</v>
      </c>
      <c r="P48" t="n">
        <v>0</v>
      </c>
      <c r="Q48" t="n">
        <v>1</v>
      </c>
      <c r="R48" s="2" t="inlineStr">
        <is>
          <t>Stuplav</t>
        </is>
      </c>
      <c r="S48">
        <f>HYPERLINK("https://klasma.github.io/Logging_2580/artfynd/A 59395-2024 artfynd.xlsx", "A 59395-2024")</f>
        <v/>
      </c>
      <c r="T48">
        <f>HYPERLINK("https://klasma.github.io/Logging_2580/kartor/A 59395-2024 karta.png", "A 59395-2024")</f>
        <v/>
      </c>
      <c r="V48">
        <f>HYPERLINK("https://klasma.github.io/Logging_2580/klagomål/A 59395-2024 FSC-klagomål.docx", "A 59395-2024")</f>
        <v/>
      </c>
      <c r="W48">
        <f>HYPERLINK("https://klasma.github.io/Logging_2580/klagomålsmail/A 59395-2024 FSC-klagomål mail.docx", "A 59395-2024")</f>
        <v/>
      </c>
      <c r="X48">
        <f>HYPERLINK("https://klasma.github.io/Logging_2580/tillsyn/A 59395-2024 tillsynsbegäran.docx", "A 59395-2024")</f>
        <v/>
      </c>
      <c r="Y48">
        <f>HYPERLINK("https://klasma.github.io/Logging_2580/tillsynsmail/A 59395-2024 tillsynsbegäran mail.docx", "A 59395-2024")</f>
        <v/>
      </c>
    </row>
    <row r="49" ht="15" customHeight="1">
      <c r="A49" t="inlineStr">
        <is>
          <t>A 52680-2025</t>
        </is>
      </c>
      <c r="B49" s="1" t="n">
        <v>45956.34488425926</v>
      </c>
      <c r="C49" s="1" t="n">
        <v>46160</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52681-2025</t>
        </is>
      </c>
      <c r="B50" s="1" t="n">
        <v>45956.34490740741</v>
      </c>
      <c r="C50" s="1" t="n">
        <v>46160</v>
      </c>
      <c r="D50" t="inlineStr">
        <is>
          <t>NORRBOTTENS LÄN</t>
        </is>
      </c>
      <c r="E50" t="inlineStr">
        <is>
          <t>LULEÅ</t>
        </is>
      </c>
      <c r="F50" t="inlineStr">
        <is>
          <t>SCA</t>
        </is>
      </c>
      <c r="G50" t="n">
        <v>0.7</v>
      </c>
      <c r="H50" t="n">
        <v>1</v>
      </c>
      <c r="I50" t="n">
        <v>0</v>
      </c>
      <c r="J50" t="n">
        <v>0</v>
      </c>
      <c r="K50" t="n">
        <v>0</v>
      </c>
      <c r="L50" t="n">
        <v>0</v>
      </c>
      <c r="M50" t="n">
        <v>0</v>
      </c>
      <c r="N50" t="n">
        <v>0</v>
      </c>
      <c r="O50" t="n">
        <v>0</v>
      </c>
      <c r="P50" t="n">
        <v>0</v>
      </c>
      <c r="Q50" t="n">
        <v>1</v>
      </c>
      <c r="R50" s="2" t="inlineStr">
        <is>
          <t>Fläcknycklar</t>
        </is>
      </c>
      <c r="S50">
        <f>HYPERLINK("https://klasma.github.io/Logging_2580/artfynd/A 52681-2025 artfynd.xlsx", "A 52681-2025")</f>
        <v/>
      </c>
      <c r="T50">
        <f>HYPERLINK("https://klasma.github.io/Logging_2580/kartor/A 52681-2025 karta.png", "A 52681-2025")</f>
        <v/>
      </c>
      <c r="V50">
        <f>HYPERLINK("https://klasma.github.io/Logging_2580/klagomål/A 52681-2025 FSC-klagomål.docx", "A 52681-2025")</f>
        <v/>
      </c>
      <c r="W50">
        <f>HYPERLINK("https://klasma.github.io/Logging_2580/klagomålsmail/A 52681-2025 FSC-klagomål mail.docx", "A 52681-2025")</f>
        <v/>
      </c>
      <c r="X50">
        <f>HYPERLINK("https://klasma.github.io/Logging_2580/tillsyn/A 52681-2025 tillsynsbegäran.docx", "A 52681-2025")</f>
        <v/>
      </c>
      <c r="Y50">
        <f>HYPERLINK("https://klasma.github.io/Logging_2580/tillsynsmail/A 52681-2025 tillsynsbegäran mail.docx", "A 52681-2025")</f>
        <v/>
      </c>
    </row>
    <row r="51" ht="15" customHeight="1">
      <c r="A51" t="inlineStr">
        <is>
          <t>A 8990-2026</t>
        </is>
      </c>
      <c r="B51" s="1" t="n">
        <v>46069</v>
      </c>
      <c r="C51" s="1" t="n">
        <v>46160</v>
      </c>
      <c r="D51" t="inlineStr">
        <is>
          <t>NORRBOTTENS LÄN</t>
        </is>
      </c>
      <c r="E51" t="inlineStr">
        <is>
          <t>LULEÅ</t>
        </is>
      </c>
      <c r="G51" t="n">
        <v>30</v>
      </c>
      <c r="H51" t="n">
        <v>0</v>
      </c>
      <c r="I51" t="n">
        <v>0</v>
      </c>
      <c r="J51" t="n">
        <v>1</v>
      </c>
      <c r="K51" t="n">
        <v>0</v>
      </c>
      <c r="L51" t="n">
        <v>0</v>
      </c>
      <c r="M51" t="n">
        <v>0</v>
      </c>
      <c r="N51" t="n">
        <v>0</v>
      </c>
      <c r="O51" t="n">
        <v>1</v>
      </c>
      <c r="P51" t="n">
        <v>0</v>
      </c>
      <c r="Q51" t="n">
        <v>1</v>
      </c>
      <c r="R51" s="2" t="inlineStr">
        <is>
          <t>Blå taggsvamp</t>
        </is>
      </c>
      <c r="S51">
        <f>HYPERLINK("https://klasma.github.io/Logging_2580/artfynd/A 8990-2026 artfynd.xlsx", "A 8990-2026")</f>
        <v/>
      </c>
      <c r="T51">
        <f>HYPERLINK("https://klasma.github.io/Logging_2580/kartor/A 8990-2026 karta.png", "A 8990-2026")</f>
        <v/>
      </c>
      <c r="V51">
        <f>HYPERLINK("https://klasma.github.io/Logging_2580/klagomål/A 8990-2026 FSC-klagomål.docx", "A 8990-2026")</f>
        <v/>
      </c>
      <c r="W51">
        <f>HYPERLINK("https://klasma.github.io/Logging_2580/klagomålsmail/A 8990-2026 FSC-klagomål mail.docx", "A 8990-2026")</f>
        <v/>
      </c>
      <c r="X51">
        <f>HYPERLINK("https://klasma.github.io/Logging_2580/tillsyn/A 8990-2026 tillsynsbegäran.docx", "A 8990-2026")</f>
        <v/>
      </c>
      <c r="Y51">
        <f>HYPERLINK("https://klasma.github.io/Logging_2580/tillsynsmail/A 8990-2026 tillsynsbegäran mail.docx", "A 8990-2026")</f>
        <v/>
      </c>
    </row>
    <row r="52" ht="15" customHeight="1">
      <c r="A52" t="inlineStr">
        <is>
          <t>A 11855-2025</t>
        </is>
      </c>
      <c r="B52" s="1" t="n">
        <v>45727</v>
      </c>
      <c r="C52" s="1" t="n">
        <v>46160</v>
      </c>
      <c r="D52" t="inlineStr">
        <is>
          <t>NORRBOTTENS LÄN</t>
        </is>
      </c>
      <c r="E52" t="inlineStr">
        <is>
          <t>LULEÅ</t>
        </is>
      </c>
      <c r="G52" t="n">
        <v>3.9</v>
      </c>
      <c r="H52" t="n">
        <v>0</v>
      </c>
      <c r="I52" t="n">
        <v>0</v>
      </c>
      <c r="J52" t="n">
        <v>1</v>
      </c>
      <c r="K52" t="n">
        <v>0</v>
      </c>
      <c r="L52" t="n">
        <v>0</v>
      </c>
      <c r="M52" t="n">
        <v>0</v>
      </c>
      <c r="N52" t="n">
        <v>0</v>
      </c>
      <c r="O52" t="n">
        <v>1</v>
      </c>
      <c r="P52" t="n">
        <v>0</v>
      </c>
      <c r="Q52" t="n">
        <v>1</v>
      </c>
      <c r="R52" s="2" t="inlineStr">
        <is>
          <t>Violettgrå tagellav</t>
        </is>
      </c>
      <c r="S52">
        <f>HYPERLINK("https://klasma.github.io/Logging_2580/artfynd/A 11855-2025 artfynd.xlsx", "A 11855-2025")</f>
        <v/>
      </c>
      <c r="T52">
        <f>HYPERLINK("https://klasma.github.io/Logging_2580/kartor/A 11855-2025 karta.png", "A 11855-2025")</f>
        <v/>
      </c>
      <c r="V52">
        <f>HYPERLINK("https://klasma.github.io/Logging_2580/klagomål/A 11855-2025 FSC-klagomål.docx", "A 11855-2025")</f>
        <v/>
      </c>
      <c r="W52">
        <f>HYPERLINK("https://klasma.github.io/Logging_2580/klagomålsmail/A 11855-2025 FSC-klagomål mail.docx", "A 11855-2025")</f>
        <v/>
      </c>
      <c r="X52">
        <f>HYPERLINK("https://klasma.github.io/Logging_2580/tillsyn/A 11855-2025 tillsynsbegäran.docx", "A 11855-2025")</f>
        <v/>
      </c>
      <c r="Y52">
        <f>HYPERLINK("https://klasma.github.io/Logging_2580/tillsynsmail/A 11855-2025 tillsynsbegäran mail.docx", "A 11855-2025")</f>
        <v/>
      </c>
    </row>
    <row r="53" ht="15" customHeight="1">
      <c r="A53" t="inlineStr">
        <is>
          <t>A 20340-2023</t>
        </is>
      </c>
      <c r="B53" s="1" t="n">
        <v>45054</v>
      </c>
      <c r="C53" s="1" t="n">
        <v>46160</v>
      </c>
      <c r="D53" t="inlineStr">
        <is>
          <t>NORRBOTTENS LÄN</t>
        </is>
      </c>
      <c r="E53" t="inlineStr">
        <is>
          <t>LULEÅ</t>
        </is>
      </c>
      <c r="G53" t="n">
        <v>65</v>
      </c>
      <c r="H53" t="n">
        <v>0</v>
      </c>
      <c r="I53" t="n">
        <v>0</v>
      </c>
      <c r="J53" t="n">
        <v>0</v>
      </c>
      <c r="K53" t="n">
        <v>1</v>
      </c>
      <c r="L53" t="n">
        <v>0</v>
      </c>
      <c r="M53" t="n">
        <v>0</v>
      </c>
      <c r="N53" t="n">
        <v>0</v>
      </c>
      <c r="O53" t="n">
        <v>1</v>
      </c>
      <c r="P53" t="n">
        <v>1</v>
      </c>
      <c r="Q53" t="n">
        <v>1</v>
      </c>
      <c r="R53" s="2" t="inlineStr">
        <is>
          <t>Borsttagging</t>
        </is>
      </c>
      <c r="S53">
        <f>HYPERLINK("https://klasma.github.io/Logging_2580/artfynd/A 20340-2023 artfynd.xlsx", "A 20340-2023")</f>
        <v/>
      </c>
      <c r="T53">
        <f>HYPERLINK("https://klasma.github.io/Logging_2580/kartor/A 20340-2023 karta.png", "A 20340-2023")</f>
        <v/>
      </c>
      <c r="V53">
        <f>HYPERLINK("https://klasma.github.io/Logging_2580/klagomål/A 20340-2023 FSC-klagomål.docx", "A 20340-2023")</f>
        <v/>
      </c>
      <c r="W53">
        <f>HYPERLINK("https://klasma.github.io/Logging_2580/klagomålsmail/A 20340-2023 FSC-klagomål mail.docx", "A 20340-2023")</f>
        <v/>
      </c>
      <c r="X53">
        <f>HYPERLINK("https://klasma.github.io/Logging_2580/tillsyn/A 20340-2023 tillsynsbegäran.docx", "A 20340-2023")</f>
        <v/>
      </c>
      <c r="Y53">
        <f>HYPERLINK("https://klasma.github.io/Logging_2580/tillsynsmail/A 20340-2023 tillsynsbegäran mail.docx", "A 20340-2023")</f>
        <v/>
      </c>
    </row>
    <row r="54" ht="15" customHeight="1">
      <c r="A54" t="inlineStr">
        <is>
          <t>A 60002-2024</t>
        </is>
      </c>
      <c r="B54" s="1" t="n">
        <v>45642.41423611111</v>
      </c>
      <c r="C54" s="1" t="n">
        <v>46160</v>
      </c>
      <c r="D54" t="inlineStr">
        <is>
          <t>NORRBOTTENS LÄN</t>
        </is>
      </c>
      <c r="E54" t="inlineStr">
        <is>
          <t>LULEÅ</t>
        </is>
      </c>
      <c r="G54" t="n">
        <v>5</v>
      </c>
      <c r="H54" t="n">
        <v>1</v>
      </c>
      <c r="I54" t="n">
        <v>0</v>
      </c>
      <c r="J54" t="n">
        <v>0</v>
      </c>
      <c r="K54" t="n">
        <v>0</v>
      </c>
      <c r="L54" t="n">
        <v>0</v>
      </c>
      <c r="M54" t="n">
        <v>0</v>
      </c>
      <c r="N54" t="n">
        <v>0</v>
      </c>
      <c r="O54" t="n">
        <v>0</v>
      </c>
      <c r="P54" t="n">
        <v>0</v>
      </c>
      <c r="Q54" t="n">
        <v>1</v>
      </c>
      <c r="R54" s="2" t="inlineStr">
        <is>
          <t>Fläcknycklar</t>
        </is>
      </c>
      <c r="S54">
        <f>HYPERLINK("https://klasma.github.io/Logging_2580/artfynd/A 60002-2024 artfynd.xlsx", "A 60002-2024")</f>
        <v/>
      </c>
      <c r="T54">
        <f>HYPERLINK("https://klasma.github.io/Logging_2580/kartor/A 60002-2024 karta.png", "A 60002-2024")</f>
        <v/>
      </c>
      <c r="V54">
        <f>HYPERLINK("https://klasma.github.io/Logging_2580/klagomål/A 60002-2024 FSC-klagomål.docx", "A 60002-2024")</f>
        <v/>
      </c>
      <c r="W54">
        <f>HYPERLINK("https://klasma.github.io/Logging_2580/klagomålsmail/A 60002-2024 FSC-klagomål mail.docx", "A 60002-2024")</f>
        <v/>
      </c>
      <c r="X54">
        <f>HYPERLINK("https://klasma.github.io/Logging_2580/tillsyn/A 60002-2024 tillsynsbegäran.docx", "A 60002-2024")</f>
        <v/>
      </c>
      <c r="Y54">
        <f>HYPERLINK("https://klasma.github.io/Logging_2580/tillsynsmail/A 60002-2024 tillsynsbegäran mail.docx", "A 60002-2024")</f>
        <v/>
      </c>
    </row>
    <row r="55" ht="15" customHeight="1">
      <c r="A55" t="inlineStr">
        <is>
          <t>A 62753-2025</t>
        </is>
      </c>
      <c r="B55" s="1" t="n">
        <v>46008.58657407408</v>
      </c>
      <c r="C55" s="1" t="n">
        <v>46160</v>
      </c>
      <c r="D55" t="inlineStr">
        <is>
          <t>NORRBOTTENS LÄN</t>
        </is>
      </c>
      <c r="E55" t="inlineStr">
        <is>
          <t>LULEÅ</t>
        </is>
      </c>
      <c r="G55" t="n">
        <v>7.1</v>
      </c>
      <c r="H55" t="n">
        <v>1</v>
      </c>
      <c r="I55" t="n">
        <v>0</v>
      </c>
      <c r="J55" t="n">
        <v>1</v>
      </c>
      <c r="K55" t="n">
        <v>0</v>
      </c>
      <c r="L55" t="n">
        <v>0</v>
      </c>
      <c r="M55" t="n">
        <v>0</v>
      </c>
      <c r="N55" t="n">
        <v>0</v>
      </c>
      <c r="O55" t="n">
        <v>1</v>
      </c>
      <c r="P55" t="n">
        <v>0</v>
      </c>
      <c r="Q55" t="n">
        <v>1</v>
      </c>
      <c r="R55" s="2" t="inlineStr">
        <is>
          <t>Svartvit flugsnappare</t>
        </is>
      </c>
      <c r="S55">
        <f>HYPERLINK("https://klasma.github.io/Logging_2580/artfynd/A 62753-2025 artfynd.xlsx", "A 62753-2025")</f>
        <v/>
      </c>
      <c r="T55">
        <f>HYPERLINK("https://klasma.github.io/Logging_2580/kartor/A 62753-2025 karta.png", "A 62753-2025")</f>
        <v/>
      </c>
      <c r="V55">
        <f>HYPERLINK("https://klasma.github.io/Logging_2580/klagomål/A 62753-2025 FSC-klagomål.docx", "A 62753-2025")</f>
        <v/>
      </c>
      <c r="W55">
        <f>HYPERLINK("https://klasma.github.io/Logging_2580/klagomålsmail/A 62753-2025 FSC-klagomål mail.docx", "A 62753-2025")</f>
        <v/>
      </c>
      <c r="X55">
        <f>HYPERLINK("https://klasma.github.io/Logging_2580/tillsyn/A 62753-2025 tillsynsbegäran.docx", "A 62753-2025")</f>
        <v/>
      </c>
      <c r="Y55">
        <f>HYPERLINK("https://klasma.github.io/Logging_2580/tillsynsmail/A 62753-2025 tillsynsbegäran mail.docx", "A 62753-2025")</f>
        <v/>
      </c>
      <c r="Z55">
        <f>HYPERLINK("https://klasma.github.io/Logging_2580/fåglar/A 62753-2025 prioriterade fågelarter.docx", "A 62753-2025")</f>
        <v/>
      </c>
    </row>
    <row r="56" ht="15" customHeight="1">
      <c r="A56" t="inlineStr">
        <is>
          <t>A 25528-2024</t>
        </is>
      </c>
      <c r="B56" s="1" t="n">
        <v>45463</v>
      </c>
      <c r="C56" s="1" t="n">
        <v>46160</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55734-2025</t>
        </is>
      </c>
      <c r="B57" s="1" t="n">
        <v>45972</v>
      </c>
      <c r="C57" s="1" t="n">
        <v>46160</v>
      </c>
      <c r="D57" t="inlineStr">
        <is>
          <t>NORRBOTTENS LÄN</t>
        </is>
      </c>
      <c r="E57" t="inlineStr">
        <is>
          <t>LULEÅ</t>
        </is>
      </c>
      <c r="G57" t="n">
        <v>7.6</v>
      </c>
      <c r="H57" t="n">
        <v>0</v>
      </c>
      <c r="I57" t="n">
        <v>0</v>
      </c>
      <c r="J57" t="n">
        <v>1</v>
      </c>
      <c r="K57" t="n">
        <v>0</v>
      </c>
      <c r="L57" t="n">
        <v>0</v>
      </c>
      <c r="M57" t="n">
        <v>0</v>
      </c>
      <c r="N57" t="n">
        <v>0</v>
      </c>
      <c r="O57" t="n">
        <v>1</v>
      </c>
      <c r="P57" t="n">
        <v>0</v>
      </c>
      <c r="Q57" t="n">
        <v>1</v>
      </c>
      <c r="R57" s="2" t="inlineStr">
        <is>
          <t>Garnlav</t>
        </is>
      </c>
      <c r="S57">
        <f>HYPERLINK("https://klasma.github.io/Logging_2580/artfynd/A 55734-2025 artfynd.xlsx", "A 55734-2025")</f>
        <v/>
      </c>
      <c r="T57">
        <f>HYPERLINK("https://klasma.github.io/Logging_2580/kartor/A 55734-2025 karta.png", "A 55734-2025")</f>
        <v/>
      </c>
      <c r="V57">
        <f>HYPERLINK("https://klasma.github.io/Logging_2580/klagomål/A 55734-2025 FSC-klagomål.docx", "A 55734-2025")</f>
        <v/>
      </c>
      <c r="W57">
        <f>HYPERLINK("https://klasma.github.io/Logging_2580/klagomålsmail/A 55734-2025 FSC-klagomål mail.docx", "A 55734-2025")</f>
        <v/>
      </c>
      <c r="X57">
        <f>HYPERLINK("https://klasma.github.io/Logging_2580/tillsyn/A 55734-2025 tillsynsbegäran.docx", "A 55734-2025")</f>
        <v/>
      </c>
      <c r="Y57">
        <f>HYPERLINK("https://klasma.github.io/Logging_2580/tillsynsmail/A 55734-2025 tillsynsbegäran mail.docx", "A 55734-2025")</f>
        <v/>
      </c>
    </row>
    <row r="58" ht="15" customHeight="1">
      <c r="A58" t="inlineStr">
        <is>
          <t>A 55720-2024</t>
        </is>
      </c>
      <c r="B58" s="1" t="n">
        <v>45622.7453125</v>
      </c>
      <c r="C58" s="1" t="n">
        <v>46160</v>
      </c>
      <c r="D58" t="inlineStr">
        <is>
          <t>NORRBOTTENS LÄN</t>
        </is>
      </c>
      <c r="E58" t="inlineStr">
        <is>
          <t>LULEÅ</t>
        </is>
      </c>
      <c r="G58" t="n">
        <v>11.6</v>
      </c>
      <c r="H58" t="n">
        <v>0</v>
      </c>
      <c r="I58" t="n">
        <v>0</v>
      </c>
      <c r="J58" t="n">
        <v>1</v>
      </c>
      <c r="K58" t="n">
        <v>0</v>
      </c>
      <c r="L58" t="n">
        <v>0</v>
      </c>
      <c r="M58" t="n">
        <v>0</v>
      </c>
      <c r="N58" t="n">
        <v>0</v>
      </c>
      <c r="O58" t="n">
        <v>1</v>
      </c>
      <c r="P58" t="n">
        <v>0</v>
      </c>
      <c r="Q58" t="n">
        <v>1</v>
      </c>
      <c r="R58" s="2" t="inlineStr">
        <is>
          <t>Igelkott</t>
        </is>
      </c>
      <c r="S58">
        <f>HYPERLINK("https://klasma.github.io/Logging_2580/artfynd/A 55720-2024 artfynd.xlsx", "A 55720-2024")</f>
        <v/>
      </c>
      <c r="T58">
        <f>HYPERLINK("https://klasma.github.io/Logging_2580/kartor/A 55720-2024 karta.png", "A 55720-2024")</f>
        <v/>
      </c>
      <c r="V58">
        <f>HYPERLINK("https://klasma.github.io/Logging_2580/klagomål/A 55720-2024 FSC-klagomål.docx", "A 55720-2024")</f>
        <v/>
      </c>
      <c r="W58">
        <f>HYPERLINK("https://klasma.github.io/Logging_2580/klagomålsmail/A 55720-2024 FSC-klagomål mail.docx", "A 55720-2024")</f>
        <v/>
      </c>
      <c r="X58">
        <f>HYPERLINK("https://klasma.github.io/Logging_2580/tillsyn/A 55720-2024 tillsynsbegäran.docx", "A 55720-2024")</f>
        <v/>
      </c>
      <c r="Y58">
        <f>HYPERLINK("https://klasma.github.io/Logging_2580/tillsynsmail/A 55720-2024 tillsynsbegäran mail.docx", "A 55720-2024")</f>
        <v/>
      </c>
    </row>
    <row r="59" ht="15" customHeight="1">
      <c r="A59" t="inlineStr">
        <is>
          <t>A 59466-2023</t>
        </is>
      </c>
      <c r="B59" s="1" t="n">
        <v>45254.4122337963</v>
      </c>
      <c r="C59" s="1" t="n">
        <v>46160</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51641-2022</t>
        </is>
      </c>
      <c r="B60" s="1" t="n">
        <v>44867</v>
      </c>
      <c r="C60" s="1" t="n">
        <v>46160</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46160</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46160</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46160</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46160</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46160</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46160</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46160</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46160</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46160</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46160</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46160</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46160</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46160</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46160</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46160</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46160</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46160</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46160</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46160</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46160</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46160</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46160</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46160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46160</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46160</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46160</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46160</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46160</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46160</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46160</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46160</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46160</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46160</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46160</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46160</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46160</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46160</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46160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46160</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46160</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46160</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46160</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46160</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46160</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46160</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46160</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46160</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46160</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46160</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46160</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46160</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46160</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46160</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46160</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46160</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46160</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46160</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46160</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46160</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46160</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46160</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46160</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46160</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74441-2021</t>
        </is>
      </c>
      <c r="B124" s="1" t="n">
        <v>44558</v>
      </c>
      <c r="C124" s="1" t="n">
        <v>46160</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74445-2021</t>
        </is>
      </c>
      <c r="B125" s="1" t="n">
        <v>44558</v>
      </c>
      <c r="C125" s="1" t="n">
        <v>46160</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46160</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44705-2022</t>
        </is>
      </c>
      <c r="B127" s="1" t="n">
        <v>44839</v>
      </c>
      <c r="C127" s="1" t="n">
        <v>46160</v>
      </c>
      <c r="D127" t="inlineStr">
        <is>
          <t>NORRBOTTENS LÄN</t>
        </is>
      </c>
      <c r="E127" t="inlineStr">
        <is>
          <t>LULEÅ</t>
        </is>
      </c>
      <c r="G127" t="n">
        <v>2.4</v>
      </c>
      <c r="H127" t="n">
        <v>0</v>
      </c>
      <c r="I127" t="n">
        <v>0</v>
      </c>
      <c r="J127" t="n">
        <v>0</v>
      </c>
      <c r="K127" t="n">
        <v>0</v>
      </c>
      <c r="L127" t="n">
        <v>0</v>
      </c>
      <c r="M127" t="n">
        <v>0</v>
      </c>
      <c r="N127" t="n">
        <v>0</v>
      </c>
      <c r="O127" t="n">
        <v>0</v>
      </c>
      <c r="P127" t="n">
        <v>0</v>
      </c>
      <c r="Q127" t="n">
        <v>0</v>
      </c>
      <c r="R127" s="2" t="inlineStr"/>
    </row>
    <row r="128" ht="15" customHeight="1">
      <c r="A128" t="inlineStr">
        <is>
          <t>A 3693-2025</t>
        </is>
      </c>
      <c r="B128" s="1" t="n">
        <v>45681.46563657407</v>
      </c>
      <c r="C128" s="1" t="n">
        <v>46160</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46160</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46160</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46160</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48412-2023</t>
        </is>
      </c>
      <c r="B132" s="1" t="n">
        <v>45205</v>
      </c>
      <c r="C132" s="1" t="n">
        <v>46160</v>
      </c>
      <c r="D132" t="inlineStr">
        <is>
          <t>NORRBOTTENS LÄN</t>
        </is>
      </c>
      <c r="E132" t="inlineStr">
        <is>
          <t>LULEÅ</t>
        </is>
      </c>
      <c r="G132" t="n">
        <v>45.8</v>
      </c>
      <c r="H132" t="n">
        <v>0</v>
      </c>
      <c r="I132" t="n">
        <v>0</v>
      </c>
      <c r="J132" t="n">
        <v>0</v>
      </c>
      <c r="K132" t="n">
        <v>0</v>
      </c>
      <c r="L132" t="n">
        <v>0</v>
      </c>
      <c r="M132" t="n">
        <v>0</v>
      </c>
      <c r="N132" t="n">
        <v>0</v>
      </c>
      <c r="O132" t="n">
        <v>0</v>
      </c>
      <c r="P132" t="n">
        <v>0</v>
      </c>
      <c r="Q132" t="n">
        <v>0</v>
      </c>
      <c r="R132" s="2" t="inlineStr"/>
    </row>
    <row r="133" ht="15" customHeight="1">
      <c r="A133" t="inlineStr">
        <is>
          <t>A 49742-2022</t>
        </is>
      </c>
      <c r="B133" s="1" t="n">
        <v>44859</v>
      </c>
      <c r="C133" s="1" t="n">
        <v>46160</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46160</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46160</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46160</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46160</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46160</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55195-2022</t>
        </is>
      </c>
      <c r="B139" s="1" t="n">
        <v>44886</v>
      </c>
      <c r="C139" s="1" t="n">
        <v>46160</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13063-2024</t>
        </is>
      </c>
      <c r="B140" s="1" t="n">
        <v>45385</v>
      </c>
      <c r="C140" s="1" t="n">
        <v>46160</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13065-2024</t>
        </is>
      </c>
      <c r="B141" s="1" t="n">
        <v>45385</v>
      </c>
      <c r="C141" s="1" t="n">
        <v>46160</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19872-2024</t>
        </is>
      </c>
      <c r="B142" s="1" t="n">
        <v>45433.45890046296</v>
      </c>
      <c r="C142" s="1" t="n">
        <v>46160</v>
      </c>
      <c r="D142" t="inlineStr">
        <is>
          <t>NORRBOTTENS LÄN</t>
        </is>
      </c>
      <c r="E142" t="inlineStr">
        <is>
          <t>LULEÅ</t>
        </is>
      </c>
      <c r="G142" t="n">
        <v>3.3</v>
      </c>
      <c r="H142" t="n">
        <v>0</v>
      </c>
      <c r="I142" t="n">
        <v>0</v>
      </c>
      <c r="J142" t="n">
        <v>0</v>
      </c>
      <c r="K142" t="n">
        <v>0</v>
      </c>
      <c r="L142" t="n">
        <v>0</v>
      </c>
      <c r="M142" t="n">
        <v>0</v>
      </c>
      <c r="N142" t="n">
        <v>0</v>
      </c>
      <c r="O142" t="n">
        <v>0</v>
      </c>
      <c r="P142" t="n">
        <v>0</v>
      </c>
      <c r="Q142" t="n">
        <v>0</v>
      </c>
      <c r="R142" s="2" t="inlineStr"/>
    </row>
    <row r="143" ht="15" customHeight="1">
      <c r="A143" t="inlineStr">
        <is>
          <t>A 14337-2024</t>
        </is>
      </c>
      <c r="B143" s="1" t="n">
        <v>45393</v>
      </c>
      <c r="C143" s="1" t="n">
        <v>46160</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44680-2021</t>
        </is>
      </c>
      <c r="B144" s="1" t="n">
        <v>44435</v>
      </c>
      <c r="C144" s="1" t="n">
        <v>46160</v>
      </c>
      <c r="D144" t="inlineStr">
        <is>
          <t>NORRBOTTENS LÄN</t>
        </is>
      </c>
      <c r="E144" t="inlineStr">
        <is>
          <t>LULEÅ</t>
        </is>
      </c>
      <c r="G144" t="n">
        <v>6.1</v>
      </c>
      <c r="H144" t="n">
        <v>0</v>
      </c>
      <c r="I144" t="n">
        <v>0</v>
      </c>
      <c r="J144" t="n">
        <v>0</v>
      </c>
      <c r="K144" t="n">
        <v>0</v>
      </c>
      <c r="L144" t="n">
        <v>0</v>
      </c>
      <c r="M144" t="n">
        <v>0</v>
      </c>
      <c r="N144" t="n">
        <v>0</v>
      </c>
      <c r="O144" t="n">
        <v>0</v>
      </c>
      <c r="P144" t="n">
        <v>0</v>
      </c>
      <c r="Q144" t="n">
        <v>0</v>
      </c>
      <c r="R144" s="2" t="inlineStr"/>
    </row>
    <row r="145" ht="15" customHeight="1">
      <c r="A145" t="inlineStr">
        <is>
          <t>A 52400-2023</t>
        </is>
      </c>
      <c r="B145" s="1" t="n">
        <v>45224</v>
      </c>
      <c r="C145" s="1" t="n">
        <v>46160</v>
      </c>
      <c r="D145" t="inlineStr">
        <is>
          <t>NORRBOTTENS LÄN</t>
        </is>
      </c>
      <c r="E145" t="inlineStr">
        <is>
          <t>LULEÅ</t>
        </is>
      </c>
      <c r="F145" t="inlineStr">
        <is>
          <t>SCA</t>
        </is>
      </c>
      <c r="G145" t="n">
        <v>0.9</v>
      </c>
      <c r="H145" t="n">
        <v>0</v>
      </c>
      <c r="I145" t="n">
        <v>0</v>
      </c>
      <c r="J145" t="n">
        <v>0</v>
      </c>
      <c r="K145" t="n">
        <v>0</v>
      </c>
      <c r="L145" t="n">
        <v>0</v>
      </c>
      <c r="M145" t="n">
        <v>0</v>
      </c>
      <c r="N145" t="n">
        <v>0</v>
      </c>
      <c r="O145" t="n">
        <v>0</v>
      </c>
      <c r="P145" t="n">
        <v>0</v>
      </c>
      <c r="Q145" t="n">
        <v>0</v>
      </c>
      <c r="R145" s="2" t="inlineStr"/>
    </row>
    <row r="146" ht="15" customHeight="1">
      <c r="A146" t="inlineStr">
        <is>
          <t>A 29490-2023</t>
        </is>
      </c>
      <c r="B146" s="1" t="n">
        <v>45098</v>
      </c>
      <c r="C146" s="1" t="n">
        <v>46160</v>
      </c>
      <c r="D146" t="inlineStr">
        <is>
          <t>NORRBOTTENS LÄN</t>
        </is>
      </c>
      <c r="E146" t="inlineStr">
        <is>
          <t>LULEÅ</t>
        </is>
      </c>
      <c r="G146" t="n">
        <v>1.7</v>
      </c>
      <c r="H146" t="n">
        <v>0</v>
      </c>
      <c r="I146" t="n">
        <v>0</v>
      </c>
      <c r="J146" t="n">
        <v>0</v>
      </c>
      <c r="K146" t="n">
        <v>0</v>
      </c>
      <c r="L146" t="n">
        <v>0</v>
      </c>
      <c r="M146" t="n">
        <v>0</v>
      </c>
      <c r="N146" t="n">
        <v>0</v>
      </c>
      <c r="O146" t="n">
        <v>0</v>
      </c>
      <c r="P146" t="n">
        <v>0</v>
      </c>
      <c r="Q146" t="n">
        <v>0</v>
      </c>
      <c r="R146" s="2" t="inlineStr"/>
    </row>
    <row r="147" ht="15" customHeight="1">
      <c r="A147" t="inlineStr">
        <is>
          <t>A 29510-2023</t>
        </is>
      </c>
      <c r="B147" s="1" t="n">
        <v>45098</v>
      </c>
      <c r="C147" s="1" t="n">
        <v>46160</v>
      </c>
      <c r="D147" t="inlineStr">
        <is>
          <t>NORRBOTTENS LÄN</t>
        </is>
      </c>
      <c r="E147" t="inlineStr">
        <is>
          <t>LULEÅ</t>
        </is>
      </c>
      <c r="G147" t="n">
        <v>3.8</v>
      </c>
      <c r="H147" t="n">
        <v>0</v>
      </c>
      <c r="I147" t="n">
        <v>0</v>
      </c>
      <c r="J147" t="n">
        <v>0</v>
      </c>
      <c r="K147" t="n">
        <v>0</v>
      </c>
      <c r="L147" t="n">
        <v>0</v>
      </c>
      <c r="M147" t="n">
        <v>0</v>
      </c>
      <c r="N147" t="n">
        <v>0</v>
      </c>
      <c r="O147" t="n">
        <v>0</v>
      </c>
      <c r="P147" t="n">
        <v>0</v>
      </c>
      <c r="Q147" t="n">
        <v>0</v>
      </c>
      <c r="R147" s="2" t="inlineStr"/>
    </row>
    <row r="148" ht="15" customHeight="1">
      <c r="A148" t="inlineStr">
        <is>
          <t>A 12539-2024</t>
        </is>
      </c>
      <c r="B148" s="1" t="n">
        <v>45379</v>
      </c>
      <c r="C148" s="1" t="n">
        <v>46160</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46547-2021</t>
        </is>
      </c>
      <c r="B149" s="1" t="n">
        <v>44445</v>
      </c>
      <c r="C149" s="1" t="n">
        <v>46160</v>
      </c>
      <c r="D149" t="inlineStr">
        <is>
          <t>NORRBOTTENS LÄN</t>
        </is>
      </c>
      <c r="E149" t="inlineStr">
        <is>
          <t>LULEÅ</t>
        </is>
      </c>
      <c r="G149" t="n">
        <v>1.7</v>
      </c>
      <c r="H149" t="n">
        <v>0</v>
      </c>
      <c r="I149" t="n">
        <v>0</v>
      </c>
      <c r="J149" t="n">
        <v>0</v>
      </c>
      <c r="K149" t="n">
        <v>0</v>
      </c>
      <c r="L149" t="n">
        <v>0</v>
      </c>
      <c r="M149" t="n">
        <v>0</v>
      </c>
      <c r="N149" t="n">
        <v>0</v>
      </c>
      <c r="O149" t="n">
        <v>0</v>
      </c>
      <c r="P149" t="n">
        <v>0</v>
      </c>
      <c r="Q149" t="n">
        <v>0</v>
      </c>
      <c r="R149" s="2" t="inlineStr"/>
    </row>
    <row r="150" ht="15" customHeight="1">
      <c r="A150" t="inlineStr">
        <is>
          <t>A 56043-2021</t>
        </is>
      </c>
      <c r="B150" s="1" t="n">
        <v>44477</v>
      </c>
      <c r="C150" s="1" t="n">
        <v>46160</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56057-2021</t>
        </is>
      </c>
      <c r="B151" s="1" t="n">
        <v>44477</v>
      </c>
      <c r="C151" s="1" t="n">
        <v>46160</v>
      </c>
      <c r="D151" t="inlineStr">
        <is>
          <t>NORRBOTTENS LÄN</t>
        </is>
      </c>
      <c r="E151" t="inlineStr">
        <is>
          <t>LULEÅ</t>
        </is>
      </c>
      <c r="G151" t="n">
        <v>3.7</v>
      </c>
      <c r="H151" t="n">
        <v>0</v>
      </c>
      <c r="I151" t="n">
        <v>0</v>
      </c>
      <c r="J151" t="n">
        <v>0</v>
      </c>
      <c r="K151" t="n">
        <v>0</v>
      </c>
      <c r="L151" t="n">
        <v>0</v>
      </c>
      <c r="M151" t="n">
        <v>0</v>
      </c>
      <c r="N151" t="n">
        <v>0</v>
      </c>
      <c r="O151" t="n">
        <v>0</v>
      </c>
      <c r="P151" t="n">
        <v>0</v>
      </c>
      <c r="Q151" t="n">
        <v>0</v>
      </c>
      <c r="R151" s="2" t="inlineStr"/>
    </row>
    <row r="152" ht="15" customHeight="1">
      <c r="A152" t="inlineStr">
        <is>
          <t>A 25676-2024</t>
        </is>
      </c>
      <c r="B152" s="1" t="n">
        <v>45463</v>
      </c>
      <c r="C152" s="1" t="n">
        <v>46160</v>
      </c>
      <c r="D152" t="inlineStr">
        <is>
          <t>NORRBOTTENS LÄN</t>
        </is>
      </c>
      <c r="E152" t="inlineStr">
        <is>
          <t>LULEÅ</t>
        </is>
      </c>
      <c r="G152" t="n">
        <v>0.5</v>
      </c>
      <c r="H152" t="n">
        <v>0</v>
      </c>
      <c r="I152" t="n">
        <v>0</v>
      </c>
      <c r="J152" t="n">
        <v>0</v>
      </c>
      <c r="K152" t="n">
        <v>0</v>
      </c>
      <c r="L152" t="n">
        <v>0</v>
      </c>
      <c r="M152" t="n">
        <v>0</v>
      </c>
      <c r="N152" t="n">
        <v>0</v>
      </c>
      <c r="O152" t="n">
        <v>0</v>
      </c>
      <c r="P152" t="n">
        <v>0</v>
      </c>
      <c r="Q152" t="n">
        <v>0</v>
      </c>
      <c r="R152" s="2" t="inlineStr"/>
    </row>
    <row r="153" ht="15" customHeight="1">
      <c r="A153" t="inlineStr">
        <is>
          <t>A 31465-2024</t>
        </is>
      </c>
      <c r="B153" s="1" t="n">
        <v>45505</v>
      </c>
      <c r="C153" s="1" t="n">
        <v>46160</v>
      </c>
      <c r="D153" t="inlineStr">
        <is>
          <t>NORRBOTTENS LÄN</t>
        </is>
      </c>
      <c r="E153" t="inlineStr">
        <is>
          <t>LULEÅ</t>
        </is>
      </c>
      <c r="F153" t="inlineStr">
        <is>
          <t>Naturvårdsverket</t>
        </is>
      </c>
      <c r="G153" t="n">
        <v>7.1</v>
      </c>
      <c r="H153" t="n">
        <v>0</v>
      </c>
      <c r="I153" t="n">
        <v>0</v>
      </c>
      <c r="J153" t="n">
        <v>0</v>
      </c>
      <c r="K153" t="n">
        <v>0</v>
      </c>
      <c r="L153" t="n">
        <v>0</v>
      </c>
      <c r="M153" t="n">
        <v>0</v>
      </c>
      <c r="N153" t="n">
        <v>0</v>
      </c>
      <c r="O153" t="n">
        <v>0</v>
      </c>
      <c r="P153" t="n">
        <v>0</v>
      </c>
      <c r="Q153" t="n">
        <v>0</v>
      </c>
      <c r="R153" s="2" t="inlineStr"/>
    </row>
    <row r="154" ht="15" customHeight="1">
      <c r="A154" t="inlineStr">
        <is>
          <t>A 60651-2023</t>
        </is>
      </c>
      <c r="B154" s="1" t="n">
        <v>45260</v>
      </c>
      <c r="C154" s="1" t="n">
        <v>46160</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63403-2025</t>
        </is>
      </c>
      <c r="B155" s="1" t="n">
        <v>46012.60145833333</v>
      </c>
      <c r="C155" s="1" t="n">
        <v>46160</v>
      </c>
      <c r="D155" t="inlineStr">
        <is>
          <t>NORRBOTTENS LÄN</t>
        </is>
      </c>
      <c r="E155" t="inlineStr">
        <is>
          <t>LULEÅ</t>
        </is>
      </c>
      <c r="G155" t="n">
        <v>1.3</v>
      </c>
      <c r="H155" t="n">
        <v>0</v>
      </c>
      <c r="I155" t="n">
        <v>0</v>
      </c>
      <c r="J155" t="n">
        <v>0</v>
      </c>
      <c r="K155" t="n">
        <v>0</v>
      </c>
      <c r="L155" t="n">
        <v>0</v>
      </c>
      <c r="M155" t="n">
        <v>0</v>
      </c>
      <c r="N155" t="n">
        <v>0</v>
      </c>
      <c r="O155" t="n">
        <v>0</v>
      </c>
      <c r="P155" t="n">
        <v>0</v>
      </c>
      <c r="Q155" t="n">
        <v>0</v>
      </c>
      <c r="R155" s="2" t="inlineStr"/>
    </row>
    <row r="156" ht="15" customHeight="1">
      <c r="A156" t="inlineStr">
        <is>
          <t>A 23516-2025</t>
        </is>
      </c>
      <c r="B156" s="1" t="n">
        <v>45792</v>
      </c>
      <c r="C156" s="1" t="n">
        <v>46160</v>
      </c>
      <c r="D156" t="inlineStr">
        <is>
          <t>NORRBOTTENS LÄN</t>
        </is>
      </c>
      <c r="E156" t="inlineStr">
        <is>
          <t>LULEÅ</t>
        </is>
      </c>
      <c r="G156" t="n">
        <v>2.7</v>
      </c>
      <c r="H156" t="n">
        <v>0</v>
      </c>
      <c r="I156" t="n">
        <v>0</v>
      </c>
      <c r="J156" t="n">
        <v>0</v>
      </c>
      <c r="K156" t="n">
        <v>0</v>
      </c>
      <c r="L156" t="n">
        <v>0</v>
      </c>
      <c r="M156" t="n">
        <v>0</v>
      </c>
      <c r="N156" t="n">
        <v>0</v>
      </c>
      <c r="O156" t="n">
        <v>0</v>
      </c>
      <c r="P156" t="n">
        <v>0</v>
      </c>
      <c r="Q156" t="n">
        <v>0</v>
      </c>
      <c r="R156" s="2" t="inlineStr"/>
    </row>
    <row r="157" ht="15" customHeight="1">
      <c r="A157" t="inlineStr">
        <is>
          <t>A 23519-2025</t>
        </is>
      </c>
      <c r="B157" s="1" t="n">
        <v>45792.51074074074</v>
      </c>
      <c r="C157" s="1" t="n">
        <v>46160</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46160</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25798-2024</t>
        </is>
      </c>
      <c r="B159" s="1" t="n">
        <v>45463</v>
      </c>
      <c r="C159" s="1" t="n">
        <v>46160</v>
      </c>
      <c r="D159" t="inlineStr">
        <is>
          <t>NORRBOTTENS LÄN</t>
        </is>
      </c>
      <c r="E159" t="inlineStr">
        <is>
          <t>LULEÅ</t>
        </is>
      </c>
      <c r="G159" t="n">
        <v>4.9</v>
      </c>
      <c r="H159" t="n">
        <v>0</v>
      </c>
      <c r="I159" t="n">
        <v>0</v>
      </c>
      <c r="J159" t="n">
        <v>0</v>
      </c>
      <c r="K159" t="n">
        <v>0</v>
      </c>
      <c r="L159" t="n">
        <v>0</v>
      </c>
      <c r="M159" t="n">
        <v>0</v>
      </c>
      <c r="N159" t="n">
        <v>0</v>
      </c>
      <c r="O159" t="n">
        <v>0</v>
      </c>
      <c r="P159" t="n">
        <v>0</v>
      </c>
      <c r="Q159" t="n">
        <v>0</v>
      </c>
      <c r="R159" s="2" t="inlineStr"/>
    </row>
    <row r="160" ht="15" customHeight="1">
      <c r="A160" t="inlineStr">
        <is>
          <t>A 63766-2025</t>
        </is>
      </c>
      <c r="B160" s="1" t="n">
        <v>46018.78116898148</v>
      </c>
      <c r="C160" s="1" t="n">
        <v>46160</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4919-2025</t>
        </is>
      </c>
      <c r="B161" s="1" t="n">
        <v>45688.68407407407</v>
      </c>
      <c r="C161" s="1" t="n">
        <v>46160</v>
      </c>
      <c r="D161" t="inlineStr">
        <is>
          <t>NORRBOTTENS LÄN</t>
        </is>
      </c>
      <c r="E161" t="inlineStr">
        <is>
          <t>LULEÅ</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26582-2024</t>
        </is>
      </c>
      <c r="B162" s="1" t="n">
        <v>45469.66545138889</v>
      </c>
      <c r="C162" s="1" t="n">
        <v>46160</v>
      </c>
      <c r="D162" t="inlineStr">
        <is>
          <t>NORRBOTTENS LÄN</t>
        </is>
      </c>
      <c r="E162" t="inlineStr">
        <is>
          <t>LULEÅ</t>
        </is>
      </c>
      <c r="G162" t="n">
        <v>4.8</v>
      </c>
      <c r="H162" t="n">
        <v>0</v>
      </c>
      <c r="I162" t="n">
        <v>0</v>
      </c>
      <c r="J162" t="n">
        <v>0</v>
      </c>
      <c r="K162" t="n">
        <v>0</v>
      </c>
      <c r="L162" t="n">
        <v>0</v>
      </c>
      <c r="M162" t="n">
        <v>0</v>
      </c>
      <c r="N162" t="n">
        <v>0</v>
      </c>
      <c r="O162" t="n">
        <v>0</v>
      </c>
      <c r="P162" t="n">
        <v>0</v>
      </c>
      <c r="Q162" t="n">
        <v>0</v>
      </c>
      <c r="R162" s="2" t="inlineStr"/>
    </row>
    <row r="163" ht="15" customHeight="1">
      <c r="A163" t="inlineStr">
        <is>
          <t>A 137-2026</t>
        </is>
      </c>
      <c r="B163" s="1" t="n">
        <v>46020</v>
      </c>
      <c r="C163" s="1" t="n">
        <v>46160</v>
      </c>
      <c r="D163" t="inlineStr">
        <is>
          <t>NORRBOTTENS LÄN</t>
        </is>
      </c>
      <c r="E163" t="inlineStr">
        <is>
          <t>LULEÅ</t>
        </is>
      </c>
      <c r="G163" t="n">
        <v>1.9</v>
      </c>
      <c r="H163" t="n">
        <v>0</v>
      </c>
      <c r="I163" t="n">
        <v>0</v>
      </c>
      <c r="J163" t="n">
        <v>0</v>
      </c>
      <c r="K163" t="n">
        <v>0</v>
      </c>
      <c r="L163" t="n">
        <v>0</v>
      </c>
      <c r="M163" t="n">
        <v>0</v>
      </c>
      <c r="N163" t="n">
        <v>0</v>
      </c>
      <c r="O163" t="n">
        <v>0</v>
      </c>
      <c r="P163" t="n">
        <v>0</v>
      </c>
      <c r="Q163" t="n">
        <v>0</v>
      </c>
      <c r="R163" s="2" t="inlineStr"/>
    </row>
    <row r="164" ht="15" customHeight="1">
      <c r="A164" t="inlineStr">
        <is>
          <t>A 86-2025</t>
        </is>
      </c>
      <c r="B164" s="1" t="n">
        <v>45659.45902777778</v>
      </c>
      <c r="C164" s="1" t="n">
        <v>46160</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6459-2025</t>
        </is>
      </c>
      <c r="B165" s="1" t="n">
        <v>45699.56368055556</v>
      </c>
      <c r="C165" s="1" t="n">
        <v>46160</v>
      </c>
      <c r="D165" t="inlineStr">
        <is>
          <t>NORRBOTTENS LÄN</t>
        </is>
      </c>
      <c r="E165" t="inlineStr">
        <is>
          <t>LULEÅ</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63854-2025</t>
        </is>
      </c>
      <c r="B166" s="1" t="n">
        <v>46020.47179398148</v>
      </c>
      <c r="C166" s="1" t="n">
        <v>46160</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49721-2022</t>
        </is>
      </c>
      <c r="B167" s="1" t="n">
        <v>44859</v>
      </c>
      <c r="C167" s="1" t="n">
        <v>46160</v>
      </c>
      <c r="D167" t="inlineStr">
        <is>
          <t>NORRBOTTENS LÄN</t>
        </is>
      </c>
      <c r="E167" t="inlineStr">
        <is>
          <t>LULEÅ</t>
        </is>
      </c>
      <c r="G167" t="n">
        <v>1.4</v>
      </c>
      <c r="H167" t="n">
        <v>0</v>
      </c>
      <c r="I167" t="n">
        <v>0</v>
      </c>
      <c r="J167" t="n">
        <v>0</v>
      </c>
      <c r="K167" t="n">
        <v>0</v>
      </c>
      <c r="L167" t="n">
        <v>0</v>
      </c>
      <c r="M167" t="n">
        <v>0</v>
      </c>
      <c r="N167" t="n">
        <v>0</v>
      </c>
      <c r="O167" t="n">
        <v>0</v>
      </c>
      <c r="P167" t="n">
        <v>0</v>
      </c>
      <c r="Q167" t="n">
        <v>0</v>
      </c>
      <c r="R167" s="2" t="inlineStr"/>
    </row>
    <row r="168" ht="15" customHeight="1">
      <c r="A168" t="inlineStr">
        <is>
          <t>A 20690-2024</t>
        </is>
      </c>
      <c r="B168" s="1" t="n">
        <v>45436</v>
      </c>
      <c r="C168" s="1" t="n">
        <v>46160</v>
      </c>
      <c r="D168" t="inlineStr">
        <is>
          <t>NORRBOTTENS LÄN</t>
        </is>
      </c>
      <c r="E168" t="inlineStr">
        <is>
          <t>LULEÅ</t>
        </is>
      </c>
      <c r="G168" t="n">
        <v>2.6</v>
      </c>
      <c r="H168" t="n">
        <v>0</v>
      </c>
      <c r="I168" t="n">
        <v>0</v>
      </c>
      <c r="J168" t="n">
        <v>0</v>
      </c>
      <c r="K168" t="n">
        <v>0</v>
      </c>
      <c r="L168" t="n">
        <v>0</v>
      </c>
      <c r="M168" t="n">
        <v>0</v>
      </c>
      <c r="N168" t="n">
        <v>0</v>
      </c>
      <c r="O168" t="n">
        <v>0</v>
      </c>
      <c r="P168" t="n">
        <v>0</v>
      </c>
      <c r="Q168" t="n">
        <v>0</v>
      </c>
      <c r="R168" s="2" t="inlineStr"/>
    </row>
    <row r="169" ht="15" customHeight="1">
      <c r="A169" t="inlineStr">
        <is>
          <t>A 59825-2024</t>
        </is>
      </c>
      <c r="B169" s="1" t="n">
        <v>45639.64152777778</v>
      </c>
      <c r="C169" s="1" t="n">
        <v>46160</v>
      </c>
      <c r="D169" t="inlineStr">
        <is>
          <t>NORRBOTTENS LÄN</t>
        </is>
      </c>
      <c r="E169" t="inlineStr">
        <is>
          <t>LULEÅ</t>
        </is>
      </c>
      <c r="G169" t="n">
        <v>1.1</v>
      </c>
      <c r="H169" t="n">
        <v>0</v>
      </c>
      <c r="I169" t="n">
        <v>0</v>
      </c>
      <c r="J169" t="n">
        <v>0</v>
      </c>
      <c r="K169" t="n">
        <v>0</v>
      </c>
      <c r="L169" t="n">
        <v>0</v>
      </c>
      <c r="M169" t="n">
        <v>0</v>
      </c>
      <c r="N169" t="n">
        <v>0</v>
      </c>
      <c r="O169" t="n">
        <v>0</v>
      </c>
      <c r="P169" t="n">
        <v>0</v>
      </c>
      <c r="Q169" t="n">
        <v>0</v>
      </c>
      <c r="R169" s="2" t="inlineStr"/>
    </row>
    <row r="170" ht="15" customHeight="1">
      <c r="A170" t="inlineStr">
        <is>
          <t>A 38683-2025</t>
        </is>
      </c>
      <c r="B170" s="1" t="n">
        <v>45884.65483796296</v>
      </c>
      <c r="C170" s="1" t="n">
        <v>46160</v>
      </c>
      <c r="D170" t="inlineStr">
        <is>
          <t>NORRBOTTENS LÄN</t>
        </is>
      </c>
      <c r="E170" t="inlineStr">
        <is>
          <t>LULEÅ</t>
        </is>
      </c>
      <c r="G170" t="n">
        <v>0.7</v>
      </c>
      <c r="H170" t="n">
        <v>0</v>
      </c>
      <c r="I170" t="n">
        <v>0</v>
      </c>
      <c r="J170" t="n">
        <v>0</v>
      </c>
      <c r="K170" t="n">
        <v>0</v>
      </c>
      <c r="L170" t="n">
        <v>0</v>
      </c>
      <c r="M170" t="n">
        <v>0</v>
      </c>
      <c r="N170" t="n">
        <v>0</v>
      </c>
      <c r="O170" t="n">
        <v>0</v>
      </c>
      <c r="P170" t="n">
        <v>0</v>
      </c>
      <c r="Q170" t="n">
        <v>0</v>
      </c>
      <c r="R170" s="2" t="inlineStr"/>
    </row>
    <row r="171" ht="15" customHeight="1">
      <c r="A171" t="inlineStr">
        <is>
          <t>A 34992-2024</t>
        </is>
      </c>
      <c r="B171" s="1" t="n">
        <v>45527</v>
      </c>
      <c r="C171" s="1" t="n">
        <v>46160</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30950-2024</t>
        </is>
      </c>
      <c r="B172" s="1" t="n">
        <v>45499</v>
      </c>
      <c r="C172" s="1" t="n">
        <v>46160</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38434-2025</t>
        </is>
      </c>
      <c r="B173" s="1" t="n">
        <v>45883.64178240741</v>
      </c>
      <c r="C173" s="1" t="n">
        <v>46160</v>
      </c>
      <c r="D173" t="inlineStr">
        <is>
          <t>NORRBOTTENS LÄN</t>
        </is>
      </c>
      <c r="E173" t="inlineStr">
        <is>
          <t>LULEÅ</t>
        </is>
      </c>
      <c r="G173" t="n">
        <v>11.4</v>
      </c>
      <c r="H173" t="n">
        <v>0</v>
      </c>
      <c r="I173" t="n">
        <v>0</v>
      </c>
      <c r="J173" t="n">
        <v>0</v>
      </c>
      <c r="K173" t="n">
        <v>0</v>
      </c>
      <c r="L173" t="n">
        <v>0</v>
      </c>
      <c r="M173" t="n">
        <v>0</v>
      </c>
      <c r="N173" t="n">
        <v>0</v>
      </c>
      <c r="O173" t="n">
        <v>0</v>
      </c>
      <c r="P173" t="n">
        <v>0</v>
      </c>
      <c r="Q173" t="n">
        <v>0</v>
      </c>
      <c r="R173" s="2" t="inlineStr"/>
    </row>
    <row r="174" ht="15" customHeight="1">
      <c r="A174" t="inlineStr">
        <is>
          <t>A 53836-2024</t>
        </is>
      </c>
      <c r="B174" s="1" t="n">
        <v>45615.62185185185</v>
      </c>
      <c r="C174" s="1" t="n">
        <v>46160</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34680-2023</t>
        </is>
      </c>
      <c r="B175" s="1" t="n">
        <v>45140</v>
      </c>
      <c r="C175" s="1" t="n">
        <v>46160</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38685-2025</t>
        </is>
      </c>
      <c r="B176" s="1" t="n">
        <v>45884.65607638889</v>
      </c>
      <c r="C176" s="1" t="n">
        <v>46160</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46160</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64021-2025</t>
        </is>
      </c>
      <c r="B178" s="1" t="n">
        <v>46021.46907407408</v>
      </c>
      <c r="C178" s="1" t="n">
        <v>46160</v>
      </c>
      <c r="D178" t="inlineStr">
        <is>
          <t>NORRBOTTENS LÄN</t>
        </is>
      </c>
      <c r="E178" t="inlineStr">
        <is>
          <t>LULEÅ</t>
        </is>
      </c>
      <c r="G178" t="n">
        <v>7.8</v>
      </c>
      <c r="H178" t="n">
        <v>0</v>
      </c>
      <c r="I178" t="n">
        <v>0</v>
      </c>
      <c r="J178" t="n">
        <v>0</v>
      </c>
      <c r="K178" t="n">
        <v>0</v>
      </c>
      <c r="L178" t="n">
        <v>0</v>
      </c>
      <c r="M178" t="n">
        <v>0</v>
      </c>
      <c r="N178" t="n">
        <v>0</v>
      </c>
      <c r="O178" t="n">
        <v>0</v>
      </c>
      <c r="P178" t="n">
        <v>0</v>
      </c>
      <c r="Q178" t="n">
        <v>0</v>
      </c>
      <c r="R178" s="2" t="inlineStr"/>
    </row>
    <row r="179" ht="15" customHeight="1">
      <c r="A179" t="inlineStr">
        <is>
          <t>A 6731-2025</t>
        </is>
      </c>
      <c r="B179" s="1" t="n">
        <v>45700.59357638889</v>
      </c>
      <c r="C179" s="1" t="n">
        <v>46160</v>
      </c>
      <c r="D179" t="inlineStr">
        <is>
          <t>NORRBOTTENS LÄN</t>
        </is>
      </c>
      <c r="E179" t="inlineStr">
        <is>
          <t>LULEÅ</t>
        </is>
      </c>
      <c r="G179" t="n">
        <v>1.8</v>
      </c>
      <c r="H179" t="n">
        <v>0</v>
      </c>
      <c r="I179" t="n">
        <v>0</v>
      </c>
      <c r="J179" t="n">
        <v>0</v>
      </c>
      <c r="K179" t="n">
        <v>0</v>
      </c>
      <c r="L179" t="n">
        <v>0</v>
      </c>
      <c r="M179" t="n">
        <v>0</v>
      </c>
      <c r="N179" t="n">
        <v>0</v>
      </c>
      <c r="O179" t="n">
        <v>0</v>
      </c>
      <c r="P179" t="n">
        <v>0</v>
      </c>
      <c r="Q179" t="n">
        <v>0</v>
      </c>
      <c r="R179" s="2" t="inlineStr"/>
    </row>
    <row r="180" ht="15" customHeight="1">
      <c r="A180" t="inlineStr">
        <is>
          <t>A 132-2026</t>
        </is>
      </c>
      <c r="B180" s="1" t="n">
        <v>46024.60086805555</v>
      </c>
      <c r="C180" s="1" t="n">
        <v>46160</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38936-2025</t>
        </is>
      </c>
      <c r="B181" s="1" t="n">
        <v>45884</v>
      </c>
      <c r="C181" s="1" t="n">
        <v>46160</v>
      </c>
      <c r="D181" t="inlineStr">
        <is>
          <t>NORRBOTTENS LÄN</t>
        </is>
      </c>
      <c r="E181" t="inlineStr">
        <is>
          <t>LULEÅ</t>
        </is>
      </c>
      <c r="G181" t="n">
        <v>2</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46160</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339-2025</t>
        </is>
      </c>
      <c r="B183" s="1" t="n">
        <v>45660.6911574074</v>
      </c>
      <c r="C183" s="1" t="n">
        <v>46160</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46160</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17425-2023</t>
        </is>
      </c>
      <c r="B185" s="1" t="n">
        <v>45035</v>
      </c>
      <c r="C185" s="1" t="n">
        <v>46160</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30785-2024</t>
        </is>
      </c>
      <c r="B186" s="1" t="n">
        <v>45496</v>
      </c>
      <c r="C186" s="1" t="n">
        <v>46160</v>
      </c>
      <c r="D186" t="inlineStr">
        <is>
          <t>NORRBOTTENS LÄN</t>
        </is>
      </c>
      <c r="E186" t="inlineStr">
        <is>
          <t>LULEÅ</t>
        </is>
      </c>
      <c r="F186" t="inlineStr">
        <is>
          <t>Naturvårdsverket</t>
        </is>
      </c>
      <c r="G186" t="n">
        <v>11.7</v>
      </c>
      <c r="H186" t="n">
        <v>0</v>
      </c>
      <c r="I186" t="n">
        <v>0</v>
      </c>
      <c r="J186" t="n">
        <v>0</v>
      </c>
      <c r="K186" t="n">
        <v>0</v>
      </c>
      <c r="L186" t="n">
        <v>0</v>
      </c>
      <c r="M186" t="n">
        <v>0</v>
      </c>
      <c r="N186" t="n">
        <v>0</v>
      </c>
      <c r="O186" t="n">
        <v>0</v>
      </c>
      <c r="P186" t="n">
        <v>0</v>
      </c>
      <c r="Q186" t="n">
        <v>0</v>
      </c>
      <c r="R186" s="2" t="inlineStr"/>
    </row>
    <row r="187" ht="15" customHeight="1">
      <c r="A187" t="inlineStr">
        <is>
          <t>A 23534-2025</t>
        </is>
      </c>
      <c r="B187" s="1" t="n">
        <v>45792</v>
      </c>
      <c r="C187" s="1" t="n">
        <v>46160</v>
      </c>
      <c r="D187" t="inlineStr">
        <is>
          <t>NORRBOTTENS LÄN</t>
        </is>
      </c>
      <c r="E187" t="inlineStr">
        <is>
          <t>LULEÅ</t>
        </is>
      </c>
      <c r="G187" t="n">
        <v>3.2</v>
      </c>
      <c r="H187" t="n">
        <v>0</v>
      </c>
      <c r="I187" t="n">
        <v>0</v>
      </c>
      <c r="J187" t="n">
        <v>0</v>
      </c>
      <c r="K187" t="n">
        <v>0</v>
      </c>
      <c r="L187" t="n">
        <v>0</v>
      </c>
      <c r="M187" t="n">
        <v>0</v>
      </c>
      <c r="N187" t="n">
        <v>0</v>
      </c>
      <c r="O187" t="n">
        <v>0</v>
      </c>
      <c r="P187" t="n">
        <v>0</v>
      </c>
      <c r="Q187" t="n">
        <v>0</v>
      </c>
      <c r="R187" s="2" t="inlineStr"/>
    </row>
    <row r="188" ht="15" customHeight="1">
      <c r="A188" t="inlineStr">
        <is>
          <t>A 307-2026</t>
        </is>
      </c>
      <c r="B188" s="1" t="n">
        <v>46027.55047453703</v>
      </c>
      <c r="C188" s="1" t="n">
        <v>46160</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38714-2025</t>
        </is>
      </c>
      <c r="B189" s="1" t="n">
        <v>45886.34490740741</v>
      </c>
      <c r="C189" s="1" t="n">
        <v>46160</v>
      </c>
      <c r="D189" t="inlineStr">
        <is>
          <t>NORRBOTTENS LÄN</t>
        </is>
      </c>
      <c r="E189" t="inlineStr">
        <is>
          <t>LULEÅ</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51277-2024</t>
        </is>
      </c>
      <c r="B190" s="1" t="n">
        <v>45603.74953703704</v>
      </c>
      <c r="C190" s="1" t="n">
        <v>46160</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6552-2024</t>
        </is>
      </c>
      <c r="B191" s="1" t="n">
        <v>45341</v>
      </c>
      <c r="C191" s="1" t="n">
        <v>46160</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47918-2024</t>
        </is>
      </c>
      <c r="B192" s="1" t="n">
        <v>45589.34434027778</v>
      </c>
      <c r="C192" s="1" t="n">
        <v>46160</v>
      </c>
      <c r="D192" t="inlineStr">
        <is>
          <t>NORRBOTTENS LÄN</t>
        </is>
      </c>
      <c r="E192" t="inlineStr">
        <is>
          <t>LULEÅ</t>
        </is>
      </c>
      <c r="F192" t="inlineStr">
        <is>
          <t>Naturvårdsverket</t>
        </is>
      </c>
      <c r="G192" t="n">
        <v>6.2</v>
      </c>
      <c r="H192" t="n">
        <v>0</v>
      </c>
      <c r="I192" t="n">
        <v>0</v>
      </c>
      <c r="J192" t="n">
        <v>0</v>
      </c>
      <c r="K192" t="n">
        <v>0</v>
      </c>
      <c r="L192" t="n">
        <v>0</v>
      </c>
      <c r="M192" t="n">
        <v>0</v>
      </c>
      <c r="N192" t="n">
        <v>0</v>
      </c>
      <c r="O192" t="n">
        <v>0</v>
      </c>
      <c r="P192" t="n">
        <v>0</v>
      </c>
      <c r="Q192" t="n">
        <v>0</v>
      </c>
      <c r="R192" s="2" t="inlineStr"/>
    </row>
    <row r="193" ht="15" customHeight="1">
      <c r="A193" t="inlineStr">
        <is>
          <t>A 5137-2024</t>
        </is>
      </c>
      <c r="B193" s="1" t="n">
        <v>45330.46430555556</v>
      </c>
      <c r="C193" s="1" t="n">
        <v>46160</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46160</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46160</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46160</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214-2026</t>
        </is>
      </c>
      <c r="B197" s="1" t="n">
        <v>46026.64652777778</v>
      </c>
      <c r="C197" s="1" t="n">
        <v>46160</v>
      </c>
      <c r="D197" t="inlineStr">
        <is>
          <t>NORRBOTTENS LÄN</t>
        </is>
      </c>
      <c r="E197" t="inlineStr">
        <is>
          <t>LULEÅ</t>
        </is>
      </c>
      <c r="G197" t="n">
        <v>15.4</v>
      </c>
      <c r="H197" t="n">
        <v>0</v>
      </c>
      <c r="I197" t="n">
        <v>0</v>
      </c>
      <c r="J197" t="n">
        <v>0</v>
      </c>
      <c r="K197" t="n">
        <v>0</v>
      </c>
      <c r="L197" t="n">
        <v>0</v>
      </c>
      <c r="M197" t="n">
        <v>0</v>
      </c>
      <c r="N197" t="n">
        <v>0</v>
      </c>
      <c r="O197" t="n">
        <v>0</v>
      </c>
      <c r="P197" t="n">
        <v>0</v>
      </c>
      <c r="Q197" t="n">
        <v>0</v>
      </c>
      <c r="R197" s="2" t="inlineStr"/>
    </row>
    <row r="198" ht="15" customHeight="1">
      <c r="A198" t="inlineStr">
        <is>
          <t>A 315-2026</t>
        </is>
      </c>
      <c r="B198" s="1" t="n">
        <v>46027.56204861111</v>
      </c>
      <c r="C198" s="1" t="n">
        <v>46160</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39644-2025</t>
        </is>
      </c>
      <c r="B199" s="1" t="n">
        <v>45890.61241898148</v>
      </c>
      <c r="C199" s="1" t="n">
        <v>46160</v>
      </c>
      <c r="D199" t="inlineStr">
        <is>
          <t>NORRBOTTENS LÄN</t>
        </is>
      </c>
      <c r="E199" t="inlineStr">
        <is>
          <t>LULEÅ</t>
        </is>
      </c>
      <c r="G199" t="n">
        <v>4.6</v>
      </c>
      <c r="H199" t="n">
        <v>0</v>
      </c>
      <c r="I199" t="n">
        <v>0</v>
      </c>
      <c r="J199" t="n">
        <v>0</v>
      </c>
      <c r="K199" t="n">
        <v>0</v>
      </c>
      <c r="L199" t="n">
        <v>0</v>
      </c>
      <c r="M199" t="n">
        <v>0</v>
      </c>
      <c r="N199" t="n">
        <v>0</v>
      </c>
      <c r="O199" t="n">
        <v>0</v>
      </c>
      <c r="P199" t="n">
        <v>0</v>
      </c>
      <c r="Q199" t="n">
        <v>0</v>
      </c>
      <c r="R199" s="2" t="inlineStr"/>
    </row>
    <row r="200" ht="15" customHeight="1">
      <c r="A200" t="inlineStr">
        <is>
          <t>A 4921-2025</t>
        </is>
      </c>
      <c r="B200" s="1" t="n">
        <v>45688.68416666667</v>
      </c>
      <c r="C200" s="1" t="n">
        <v>46160</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39269-2025</t>
        </is>
      </c>
      <c r="B201" s="1" t="n">
        <v>45889.38579861111</v>
      </c>
      <c r="C201" s="1" t="n">
        <v>46160</v>
      </c>
      <c r="D201" t="inlineStr">
        <is>
          <t>NORRBOTTENS LÄN</t>
        </is>
      </c>
      <c r="E201" t="inlineStr">
        <is>
          <t>LULEÅ</t>
        </is>
      </c>
      <c r="F201" t="inlineStr">
        <is>
          <t>SCA</t>
        </is>
      </c>
      <c r="G201" t="n">
        <v>1</v>
      </c>
      <c r="H201" t="n">
        <v>0</v>
      </c>
      <c r="I201" t="n">
        <v>0</v>
      </c>
      <c r="J201" t="n">
        <v>0</v>
      </c>
      <c r="K201" t="n">
        <v>0</v>
      </c>
      <c r="L201" t="n">
        <v>0</v>
      </c>
      <c r="M201" t="n">
        <v>0</v>
      </c>
      <c r="N201" t="n">
        <v>0</v>
      </c>
      <c r="O201" t="n">
        <v>0</v>
      </c>
      <c r="P201" t="n">
        <v>0</v>
      </c>
      <c r="Q201" t="n">
        <v>0</v>
      </c>
      <c r="R201" s="2" t="inlineStr"/>
    </row>
    <row r="202" ht="15" customHeight="1">
      <c r="A202" t="inlineStr">
        <is>
          <t>A 39550-2025</t>
        </is>
      </c>
      <c r="B202" s="1" t="n">
        <v>45890</v>
      </c>
      <c r="C202" s="1" t="n">
        <v>46160</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11716-2023</t>
        </is>
      </c>
      <c r="B203" s="1" t="n">
        <v>44992</v>
      </c>
      <c r="C203" s="1" t="n">
        <v>46160</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39531-2025</t>
        </is>
      </c>
      <c r="B204" s="1" t="n">
        <v>45890.44831018519</v>
      </c>
      <c r="C204" s="1" t="n">
        <v>46160</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49727-2022</t>
        </is>
      </c>
      <c r="B205" s="1" t="n">
        <v>44859</v>
      </c>
      <c r="C205" s="1" t="n">
        <v>46160</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49746-2022</t>
        </is>
      </c>
      <c r="B206" s="1" t="n">
        <v>44859</v>
      </c>
      <c r="C206" s="1" t="n">
        <v>46160</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303-2026</t>
        </is>
      </c>
      <c r="B207" s="1" t="n">
        <v>46027.53427083333</v>
      </c>
      <c r="C207" s="1" t="n">
        <v>46160</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305-2026</t>
        </is>
      </c>
      <c r="B208" s="1" t="n">
        <v>46027</v>
      </c>
      <c r="C208" s="1" t="n">
        <v>46160</v>
      </c>
      <c r="D208" t="inlineStr">
        <is>
          <t>NORRBOTTENS LÄN</t>
        </is>
      </c>
      <c r="E208" t="inlineStr">
        <is>
          <t>LULEÅ</t>
        </is>
      </c>
      <c r="G208" t="n">
        <v>3.6</v>
      </c>
      <c r="H208" t="n">
        <v>0</v>
      </c>
      <c r="I208" t="n">
        <v>0</v>
      </c>
      <c r="J208" t="n">
        <v>0</v>
      </c>
      <c r="K208" t="n">
        <v>0</v>
      </c>
      <c r="L208" t="n">
        <v>0</v>
      </c>
      <c r="M208" t="n">
        <v>0</v>
      </c>
      <c r="N208" t="n">
        <v>0</v>
      </c>
      <c r="O208" t="n">
        <v>0</v>
      </c>
      <c r="P208" t="n">
        <v>0</v>
      </c>
      <c r="Q208" t="n">
        <v>0</v>
      </c>
      <c r="R208" s="2" t="inlineStr"/>
    </row>
    <row r="209" ht="15" customHeight="1">
      <c r="A209" t="inlineStr">
        <is>
          <t>A 7037-2025</t>
        </is>
      </c>
      <c r="B209" s="1" t="n">
        <v>45701.63607638889</v>
      </c>
      <c r="C209" s="1" t="n">
        <v>46160</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40464-2025</t>
        </is>
      </c>
      <c r="B210" s="1" t="n">
        <v>45895.65347222222</v>
      </c>
      <c r="C210" s="1" t="n">
        <v>46160</v>
      </c>
      <c r="D210" t="inlineStr">
        <is>
          <t>NORRBOTTENS LÄN</t>
        </is>
      </c>
      <c r="E210" t="inlineStr">
        <is>
          <t>LULEÅ</t>
        </is>
      </c>
      <c r="G210" t="n">
        <v>6.9</v>
      </c>
      <c r="H210" t="n">
        <v>0</v>
      </c>
      <c r="I210" t="n">
        <v>0</v>
      </c>
      <c r="J210" t="n">
        <v>0</v>
      </c>
      <c r="K210" t="n">
        <v>0</v>
      </c>
      <c r="L210" t="n">
        <v>0</v>
      </c>
      <c r="M210" t="n">
        <v>0</v>
      </c>
      <c r="N210" t="n">
        <v>0</v>
      </c>
      <c r="O210" t="n">
        <v>0</v>
      </c>
      <c r="P210" t="n">
        <v>0</v>
      </c>
      <c r="Q210" t="n">
        <v>0</v>
      </c>
      <c r="R210" s="2" t="inlineStr"/>
    </row>
    <row r="211" ht="15" customHeight="1">
      <c r="A211" t="inlineStr">
        <is>
          <t>A 58469-2024</t>
        </is>
      </c>
      <c r="B211" s="1" t="n">
        <v>45632</v>
      </c>
      <c r="C211" s="1" t="n">
        <v>46160</v>
      </c>
      <c r="D211" t="inlineStr">
        <is>
          <t>NORRBOTTENS LÄN</t>
        </is>
      </c>
      <c r="E211" t="inlineStr">
        <is>
          <t>LULEÅ</t>
        </is>
      </c>
      <c r="G211" t="n">
        <v>9</v>
      </c>
      <c r="H211" t="n">
        <v>0</v>
      </c>
      <c r="I211" t="n">
        <v>0</v>
      </c>
      <c r="J211" t="n">
        <v>0</v>
      </c>
      <c r="K211" t="n">
        <v>0</v>
      </c>
      <c r="L211" t="n">
        <v>0</v>
      </c>
      <c r="M211" t="n">
        <v>0</v>
      </c>
      <c r="N211" t="n">
        <v>0</v>
      </c>
      <c r="O211" t="n">
        <v>0</v>
      </c>
      <c r="P211" t="n">
        <v>0</v>
      </c>
      <c r="Q211" t="n">
        <v>0</v>
      </c>
      <c r="R211" s="2" t="inlineStr"/>
    </row>
    <row r="212" ht="15" customHeight="1">
      <c r="A212" t="inlineStr">
        <is>
          <t>A 705-2025</t>
        </is>
      </c>
      <c r="B212" s="1" t="n">
        <v>45663</v>
      </c>
      <c r="C212" s="1" t="n">
        <v>46160</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40644-2025</t>
        </is>
      </c>
      <c r="B213" s="1" t="n">
        <v>45896.6166087963</v>
      </c>
      <c r="C213" s="1" t="n">
        <v>46160</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40643-2025</t>
        </is>
      </c>
      <c r="B214" s="1" t="n">
        <v>45896.61263888889</v>
      </c>
      <c r="C214" s="1" t="n">
        <v>46160</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40641-2025</t>
        </is>
      </c>
      <c r="B215" s="1" t="n">
        <v>45896</v>
      </c>
      <c r="C215" s="1" t="n">
        <v>46160</v>
      </c>
      <c r="D215" t="inlineStr">
        <is>
          <t>NORRBOTTENS LÄN</t>
        </is>
      </c>
      <c r="E215" t="inlineStr">
        <is>
          <t>LULEÅ</t>
        </is>
      </c>
      <c r="G215" t="n">
        <v>4.2</v>
      </c>
      <c r="H215" t="n">
        <v>0</v>
      </c>
      <c r="I215" t="n">
        <v>0</v>
      </c>
      <c r="J215" t="n">
        <v>0</v>
      </c>
      <c r="K215" t="n">
        <v>0</v>
      </c>
      <c r="L215" t="n">
        <v>0</v>
      </c>
      <c r="M215" t="n">
        <v>0</v>
      </c>
      <c r="N215" t="n">
        <v>0</v>
      </c>
      <c r="O215" t="n">
        <v>0</v>
      </c>
      <c r="P215" t="n">
        <v>0</v>
      </c>
      <c r="Q215" t="n">
        <v>0</v>
      </c>
      <c r="R215" s="2" t="inlineStr"/>
    </row>
    <row r="216" ht="15" customHeight="1">
      <c r="A216" t="inlineStr">
        <is>
          <t>A 53754-2023</t>
        </is>
      </c>
      <c r="B216" s="1" t="n">
        <v>45230</v>
      </c>
      <c r="C216" s="1" t="n">
        <v>46160</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46587-2023</t>
        </is>
      </c>
      <c r="B217" s="1" t="n">
        <v>45194</v>
      </c>
      <c r="C217" s="1" t="n">
        <v>46160</v>
      </c>
      <c r="D217" t="inlineStr">
        <is>
          <t>NORRBOTTENS LÄN</t>
        </is>
      </c>
      <c r="E217" t="inlineStr">
        <is>
          <t>LULEÅ</t>
        </is>
      </c>
      <c r="G217" t="n">
        <v>15.3</v>
      </c>
      <c r="H217" t="n">
        <v>0</v>
      </c>
      <c r="I217" t="n">
        <v>0</v>
      </c>
      <c r="J217" t="n">
        <v>0</v>
      </c>
      <c r="K217" t="n">
        <v>0</v>
      </c>
      <c r="L217" t="n">
        <v>0</v>
      </c>
      <c r="M217" t="n">
        <v>0</v>
      </c>
      <c r="N217" t="n">
        <v>0</v>
      </c>
      <c r="O217" t="n">
        <v>0</v>
      </c>
      <c r="P217" t="n">
        <v>0</v>
      </c>
      <c r="Q217" t="n">
        <v>0</v>
      </c>
      <c r="R217" s="2" t="inlineStr"/>
    </row>
    <row r="218" ht="15" customHeight="1">
      <c r="A218" t="inlineStr">
        <is>
          <t>A 40977-2025</t>
        </is>
      </c>
      <c r="B218" s="1" t="n">
        <v>45897.93575231481</v>
      </c>
      <c r="C218" s="1" t="n">
        <v>46160</v>
      </c>
      <c r="D218" t="inlineStr">
        <is>
          <t>NORRBOTTENS LÄN</t>
        </is>
      </c>
      <c r="E218" t="inlineStr">
        <is>
          <t>LULEÅ</t>
        </is>
      </c>
      <c r="G218" t="n">
        <v>11.2</v>
      </c>
      <c r="H218" t="n">
        <v>0</v>
      </c>
      <c r="I218" t="n">
        <v>0</v>
      </c>
      <c r="J218" t="n">
        <v>0</v>
      </c>
      <c r="K218" t="n">
        <v>0</v>
      </c>
      <c r="L218" t="n">
        <v>0</v>
      </c>
      <c r="M218" t="n">
        <v>0</v>
      </c>
      <c r="N218" t="n">
        <v>0</v>
      </c>
      <c r="O218" t="n">
        <v>0</v>
      </c>
      <c r="P218" t="n">
        <v>0</v>
      </c>
      <c r="Q218" t="n">
        <v>0</v>
      </c>
      <c r="R218" s="2" t="inlineStr"/>
    </row>
    <row r="219" ht="15" customHeight="1">
      <c r="A219" t="inlineStr">
        <is>
          <t>A 26513-2025</t>
        </is>
      </c>
      <c r="B219" s="1" t="n">
        <v>45807</v>
      </c>
      <c r="C219" s="1" t="n">
        <v>46160</v>
      </c>
      <c r="D219" t="inlineStr">
        <is>
          <t>NORRBOTTENS LÄN</t>
        </is>
      </c>
      <c r="E219" t="inlineStr">
        <is>
          <t>LULEÅ</t>
        </is>
      </c>
      <c r="G219" t="n">
        <v>5</v>
      </c>
      <c r="H219" t="n">
        <v>0</v>
      </c>
      <c r="I219" t="n">
        <v>0</v>
      </c>
      <c r="J219" t="n">
        <v>0</v>
      </c>
      <c r="K219" t="n">
        <v>0</v>
      </c>
      <c r="L219" t="n">
        <v>0</v>
      </c>
      <c r="M219" t="n">
        <v>0</v>
      </c>
      <c r="N219" t="n">
        <v>0</v>
      </c>
      <c r="O219" t="n">
        <v>0</v>
      </c>
      <c r="P219" t="n">
        <v>0</v>
      </c>
      <c r="Q219" t="n">
        <v>0</v>
      </c>
      <c r="R219" s="2" t="inlineStr"/>
    </row>
    <row r="220" ht="15" customHeight="1">
      <c r="A220" t="inlineStr">
        <is>
          <t>A 24752-2025</t>
        </is>
      </c>
      <c r="B220" s="1" t="n">
        <v>45799.3653587963</v>
      </c>
      <c r="C220" s="1" t="n">
        <v>46160</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10903-2023</t>
        </is>
      </c>
      <c r="B221" s="1" t="n">
        <v>44985</v>
      </c>
      <c r="C221" s="1" t="n">
        <v>46160</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46160</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48379-2022</t>
        </is>
      </c>
      <c r="B223" s="1" t="n">
        <v>44854</v>
      </c>
      <c r="C223" s="1" t="n">
        <v>46160</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40695-2025</t>
        </is>
      </c>
      <c r="B224" s="1" t="n">
        <v>45897.28637731481</v>
      </c>
      <c r="C224" s="1" t="n">
        <v>46160</v>
      </c>
      <c r="D224" t="inlineStr">
        <is>
          <t>NORRBOTTENS LÄN</t>
        </is>
      </c>
      <c r="E224" t="inlineStr">
        <is>
          <t>LULEÅ</t>
        </is>
      </c>
      <c r="G224" t="n">
        <v>2.4</v>
      </c>
      <c r="H224" t="n">
        <v>0</v>
      </c>
      <c r="I224" t="n">
        <v>0</v>
      </c>
      <c r="J224" t="n">
        <v>0</v>
      </c>
      <c r="K224" t="n">
        <v>0</v>
      </c>
      <c r="L224" t="n">
        <v>0</v>
      </c>
      <c r="M224" t="n">
        <v>0</v>
      </c>
      <c r="N224" t="n">
        <v>0</v>
      </c>
      <c r="O224" t="n">
        <v>0</v>
      </c>
      <c r="P224" t="n">
        <v>0</v>
      </c>
      <c r="Q224" t="n">
        <v>0</v>
      </c>
      <c r="R224" s="2" t="inlineStr"/>
    </row>
    <row r="225" ht="15" customHeight="1">
      <c r="A225" t="inlineStr">
        <is>
          <t>A 1116-2026</t>
        </is>
      </c>
      <c r="B225" s="1" t="n">
        <v>46030</v>
      </c>
      <c r="C225" s="1" t="n">
        <v>46160</v>
      </c>
      <c r="D225" t="inlineStr">
        <is>
          <t>NORRBOTTENS LÄN</t>
        </is>
      </c>
      <c r="E225" t="inlineStr">
        <is>
          <t>LULEÅ</t>
        </is>
      </c>
      <c r="G225" t="n">
        <v>17.7</v>
      </c>
      <c r="H225" t="n">
        <v>0</v>
      </c>
      <c r="I225" t="n">
        <v>0</v>
      </c>
      <c r="J225" t="n">
        <v>0</v>
      </c>
      <c r="K225" t="n">
        <v>0</v>
      </c>
      <c r="L225" t="n">
        <v>0</v>
      </c>
      <c r="M225" t="n">
        <v>0</v>
      </c>
      <c r="N225" t="n">
        <v>0</v>
      </c>
      <c r="O225" t="n">
        <v>0</v>
      </c>
      <c r="P225" t="n">
        <v>0</v>
      </c>
      <c r="Q225" t="n">
        <v>0</v>
      </c>
      <c r="R225" s="2" t="inlineStr"/>
    </row>
    <row r="226" ht="15" customHeight="1">
      <c r="A226" t="inlineStr">
        <is>
          <t>A 49401-2022</t>
        </is>
      </c>
      <c r="B226" s="1" t="n">
        <v>44861</v>
      </c>
      <c r="C226" s="1" t="n">
        <v>46160</v>
      </c>
      <c r="D226" t="inlineStr">
        <is>
          <t>NORRBOTTENS LÄN</t>
        </is>
      </c>
      <c r="E226" t="inlineStr">
        <is>
          <t>LULEÅ</t>
        </is>
      </c>
      <c r="G226" t="n">
        <v>8.4</v>
      </c>
      <c r="H226" t="n">
        <v>0</v>
      </c>
      <c r="I226" t="n">
        <v>0</v>
      </c>
      <c r="J226" t="n">
        <v>0</v>
      </c>
      <c r="K226" t="n">
        <v>0</v>
      </c>
      <c r="L226" t="n">
        <v>0</v>
      </c>
      <c r="M226" t="n">
        <v>0</v>
      </c>
      <c r="N226" t="n">
        <v>0</v>
      </c>
      <c r="O226" t="n">
        <v>0</v>
      </c>
      <c r="P226" t="n">
        <v>0</v>
      </c>
      <c r="Q226" t="n">
        <v>0</v>
      </c>
      <c r="R226" s="2" t="inlineStr"/>
    </row>
    <row r="227" ht="15" customHeight="1">
      <c r="A227" t="inlineStr">
        <is>
          <t>A 27107-2025</t>
        </is>
      </c>
      <c r="B227" s="1" t="n">
        <v>45811</v>
      </c>
      <c r="C227" s="1" t="n">
        <v>46160</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40697-2024</t>
        </is>
      </c>
      <c r="B228" s="1" t="n">
        <v>45558.41288194444</v>
      </c>
      <c r="C228" s="1" t="n">
        <v>46160</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57816-2022</t>
        </is>
      </c>
      <c r="B229" s="1" t="n">
        <v>44897.92487268519</v>
      </c>
      <c r="C229" s="1" t="n">
        <v>46160</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57821-2022</t>
        </is>
      </c>
      <c r="B230" s="1" t="n">
        <v>44897</v>
      </c>
      <c r="C230" s="1" t="n">
        <v>46160</v>
      </c>
      <c r="D230" t="inlineStr">
        <is>
          <t>NORRBOTTENS LÄN</t>
        </is>
      </c>
      <c r="E230" t="inlineStr">
        <is>
          <t>LULEÅ</t>
        </is>
      </c>
      <c r="G230" t="n">
        <v>8.6</v>
      </c>
      <c r="H230" t="n">
        <v>0</v>
      </c>
      <c r="I230" t="n">
        <v>0</v>
      </c>
      <c r="J230" t="n">
        <v>0</v>
      </c>
      <c r="K230" t="n">
        <v>0</v>
      </c>
      <c r="L230" t="n">
        <v>0</v>
      </c>
      <c r="M230" t="n">
        <v>0</v>
      </c>
      <c r="N230" t="n">
        <v>0</v>
      </c>
      <c r="O230" t="n">
        <v>0</v>
      </c>
      <c r="P230" t="n">
        <v>0</v>
      </c>
      <c r="Q230" t="n">
        <v>0</v>
      </c>
      <c r="R230" s="2" t="inlineStr"/>
    </row>
    <row r="231" ht="15" customHeight="1">
      <c r="A231" t="inlineStr">
        <is>
          <t>A 42496-2024</t>
        </is>
      </c>
      <c r="B231" s="1" t="n">
        <v>45565.49769675926</v>
      </c>
      <c r="C231" s="1" t="n">
        <v>46160</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46160</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5688-2023</t>
        </is>
      </c>
      <c r="B233" s="1" t="n">
        <v>44960.92371527778</v>
      </c>
      <c r="C233" s="1" t="n">
        <v>46160</v>
      </c>
      <c r="D233" t="inlineStr">
        <is>
          <t>NORRBOTTENS LÄN</t>
        </is>
      </c>
      <c r="E233" t="inlineStr">
        <is>
          <t>LULEÅ</t>
        </is>
      </c>
      <c r="G233" t="n">
        <v>5.9</v>
      </c>
      <c r="H233" t="n">
        <v>0</v>
      </c>
      <c r="I233" t="n">
        <v>0</v>
      </c>
      <c r="J233" t="n">
        <v>0</v>
      </c>
      <c r="K233" t="n">
        <v>0</v>
      </c>
      <c r="L233" t="n">
        <v>0</v>
      </c>
      <c r="M233" t="n">
        <v>0</v>
      </c>
      <c r="N233" t="n">
        <v>0</v>
      </c>
      <c r="O233" t="n">
        <v>0</v>
      </c>
      <c r="P233" t="n">
        <v>0</v>
      </c>
      <c r="Q233" t="n">
        <v>0</v>
      </c>
      <c r="R233" s="2" t="inlineStr"/>
    </row>
    <row r="234" ht="15" customHeight="1">
      <c r="A234" t="inlineStr">
        <is>
          <t>A 27526-2025</t>
        </is>
      </c>
      <c r="B234" s="1" t="n">
        <v>45813</v>
      </c>
      <c r="C234" s="1" t="n">
        <v>46160</v>
      </c>
      <c r="D234" t="inlineStr">
        <is>
          <t>NORRBOTTENS LÄN</t>
        </is>
      </c>
      <c r="E234" t="inlineStr">
        <is>
          <t>LULEÅ</t>
        </is>
      </c>
      <c r="G234" t="n">
        <v>5.7</v>
      </c>
      <c r="H234" t="n">
        <v>0</v>
      </c>
      <c r="I234" t="n">
        <v>0</v>
      </c>
      <c r="J234" t="n">
        <v>0</v>
      </c>
      <c r="K234" t="n">
        <v>0</v>
      </c>
      <c r="L234" t="n">
        <v>0</v>
      </c>
      <c r="M234" t="n">
        <v>0</v>
      </c>
      <c r="N234" t="n">
        <v>0</v>
      </c>
      <c r="O234" t="n">
        <v>0</v>
      </c>
      <c r="P234" t="n">
        <v>0</v>
      </c>
      <c r="Q234" t="n">
        <v>0</v>
      </c>
      <c r="R234" s="2" t="inlineStr"/>
    </row>
    <row r="235" ht="15" customHeight="1">
      <c r="A235" t="inlineStr">
        <is>
          <t>A 27463-2025</t>
        </is>
      </c>
      <c r="B235" s="1" t="n">
        <v>45813.34618055556</v>
      </c>
      <c r="C235" s="1" t="n">
        <v>46160</v>
      </c>
      <c r="D235" t="inlineStr">
        <is>
          <t>NORRBOTTENS LÄN</t>
        </is>
      </c>
      <c r="E235" t="inlineStr">
        <is>
          <t>LULEÅ</t>
        </is>
      </c>
      <c r="F235" t="inlineStr">
        <is>
          <t>Naturvårdsverket</t>
        </is>
      </c>
      <c r="G235" t="n">
        <v>8.6</v>
      </c>
      <c r="H235" t="n">
        <v>0</v>
      </c>
      <c r="I235" t="n">
        <v>0</v>
      </c>
      <c r="J235" t="n">
        <v>0</v>
      </c>
      <c r="K235" t="n">
        <v>0</v>
      </c>
      <c r="L235" t="n">
        <v>0</v>
      </c>
      <c r="M235" t="n">
        <v>0</v>
      </c>
      <c r="N235" t="n">
        <v>0</v>
      </c>
      <c r="O235" t="n">
        <v>0</v>
      </c>
      <c r="P235" t="n">
        <v>0</v>
      </c>
      <c r="Q235" t="n">
        <v>0</v>
      </c>
      <c r="R235" s="2" t="inlineStr"/>
    </row>
    <row r="236" ht="15" customHeight="1">
      <c r="A236" t="inlineStr">
        <is>
          <t>A 62697-2022</t>
        </is>
      </c>
      <c r="B236" s="1" t="n">
        <v>44917</v>
      </c>
      <c r="C236" s="1" t="n">
        <v>46160</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28344-2025</t>
        </is>
      </c>
      <c r="B237" s="1" t="n">
        <v>45817</v>
      </c>
      <c r="C237" s="1" t="n">
        <v>46160</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46160</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46160</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885-2026</t>
        </is>
      </c>
      <c r="B240" s="1" t="n">
        <v>46030.44842592593</v>
      </c>
      <c r="C240" s="1" t="n">
        <v>46160</v>
      </c>
      <c r="D240" t="inlineStr">
        <is>
          <t>NORRBOTTENS LÄN</t>
        </is>
      </c>
      <c r="E240" t="inlineStr">
        <is>
          <t>LULEÅ</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2006-2023</t>
        </is>
      </c>
      <c r="B241" s="1" t="n">
        <v>44937</v>
      </c>
      <c r="C241" s="1" t="n">
        <v>46160</v>
      </c>
      <c r="D241" t="inlineStr">
        <is>
          <t>NORRBOTTENS LÄN</t>
        </is>
      </c>
      <c r="E241" t="inlineStr">
        <is>
          <t>LULEÅ</t>
        </is>
      </c>
      <c r="G241" t="n">
        <v>0.4</v>
      </c>
      <c r="H241" t="n">
        <v>0</v>
      </c>
      <c r="I241" t="n">
        <v>0</v>
      </c>
      <c r="J241" t="n">
        <v>0</v>
      </c>
      <c r="K241" t="n">
        <v>0</v>
      </c>
      <c r="L241" t="n">
        <v>0</v>
      </c>
      <c r="M241" t="n">
        <v>0</v>
      </c>
      <c r="N241" t="n">
        <v>0</v>
      </c>
      <c r="O241" t="n">
        <v>0</v>
      </c>
      <c r="P241" t="n">
        <v>0</v>
      </c>
      <c r="Q241" t="n">
        <v>0</v>
      </c>
      <c r="R241" s="2" t="inlineStr"/>
    </row>
    <row r="242" ht="15" customHeight="1">
      <c r="A242" t="inlineStr">
        <is>
          <t>A 42217-2025</t>
        </is>
      </c>
      <c r="B242" s="1" t="n">
        <v>45904.51274305556</v>
      </c>
      <c r="C242" s="1" t="n">
        <v>46160</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42218-2025</t>
        </is>
      </c>
      <c r="B243" s="1" t="n">
        <v>45904.51621527778</v>
      </c>
      <c r="C243" s="1" t="n">
        <v>46160</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7393-2023</t>
        </is>
      </c>
      <c r="B244" s="1" t="n">
        <v>44966</v>
      </c>
      <c r="C244" s="1" t="n">
        <v>46160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13846-2024</t>
        </is>
      </c>
      <c r="B245" s="1" t="n">
        <v>45390</v>
      </c>
      <c r="C245" s="1" t="n">
        <v>46160</v>
      </c>
      <c r="D245" t="inlineStr">
        <is>
          <t>NORRBOTTENS LÄN</t>
        </is>
      </c>
      <c r="E245" t="inlineStr">
        <is>
          <t>LULEÅ</t>
        </is>
      </c>
      <c r="G245" t="n">
        <v>16.4</v>
      </c>
      <c r="H245" t="n">
        <v>0</v>
      </c>
      <c r="I245" t="n">
        <v>0</v>
      </c>
      <c r="J245" t="n">
        <v>0</v>
      </c>
      <c r="K245" t="n">
        <v>0</v>
      </c>
      <c r="L245" t="n">
        <v>0</v>
      </c>
      <c r="M245" t="n">
        <v>0</v>
      </c>
      <c r="N245" t="n">
        <v>0</v>
      </c>
      <c r="O245" t="n">
        <v>0</v>
      </c>
      <c r="P245" t="n">
        <v>0</v>
      </c>
      <c r="Q245" t="n">
        <v>0</v>
      </c>
      <c r="R245" s="2" t="inlineStr"/>
    </row>
    <row r="246" ht="15" customHeight="1">
      <c r="A246" t="inlineStr">
        <is>
          <t>A 1661-2026</t>
        </is>
      </c>
      <c r="B246" s="1" t="n">
        <v>46034.55488425926</v>
      </c>
      <c r="C246" s="1" t="n">
        <v>46160</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16296-2025</t>
        </is>
      </c>
      <c r="B247" s="1" t="n">
        <v>45751.34513888889</v>
      </c>
      <c r="C247" s="1" t="n">
        <v>46160</v>
      </c>
      <c r="D247" t="inlineStr">
        <is>
          <t>NORRBOTTENS LÄN</t>
        </is>
      </c>
      <c r="E247" t="inlineStr">
        <is>
          <t>LULEÅ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1666-2026</t>
        </is>
      </c>
      <c r="B248" s="1" t="n">
        <v>46034.55892361111</v>
      </c>
      <c r="C248" s="1" t="n">
        <v>46160</v>
      </c>
      <c r="D248" t="inlineStr">
        <is>
          <t>NORRBOTTENS LÄN</t>
        </is>
      </c>
      <c r="E248" t="inlineStr">
        <is>
          <t>LULEÅ</t>
        </is>
      </c>
      <c r="G248" t="n">
        <v>2.5</v>
      </c>
      <c r="H248" t="n">
        <v>0</v>
      </c>
      <c r="I248" t="n">
        <v>0</v>
      </c>
      <c r="J248" t="n">
        <v>0</v>
      </c>
      <c r="K248" t="n">
        <v>0</v>
      </c>
      <c r="L248" t="n">
        <v>0</v>
      </c>
      <c r="M248" t="n">
        <v>0</v>
      </c>
      <c r="N248" t="n">
        <v>0</v>
      </c>
      <c r="O248" t="n">
        <v>0</v>
      </c>
      <c r="P248" t="n">
        <v>0</v>
      </c>
      <c r="Q248" t="n">
        <v>0</v>
      </c>
      <c r="R248" s="2" t="inlineStr"/>
    </row>
    <row r="249" ht="15" customHeight="1">
      <c r="A249" t="inlineStr">
        <is>
          <t>A 19526-2025</t>
        </is>
      </c>
      <c r="B249" s="1" t="n">
        <v>45770.46388888889</v>
      </c>
      <c r="C249" s="1" t="n">
        <v>46160</v>
      </c>
      <c r="D249" t="inlineStr">
        <is>
          <t>NORRBOTTENS LÄN</t>
        </is>
      </c>
      <c r="E249" t="inlineStr">
        <is>
          <t>LULEÅ</t>
        </is>
      </c>
      <c r="G249" t="n">
        <v>10.6</v>
      </c>
      <c r="H249" t="n">
        <v>0</v>
      </c>
      <c r="I249" t="n">
        <v>0</v>
      </c>
      <c r="J249" t="n">
        <v>0</v>
      </c>
      <c r="K249" t="n">
        <v>0</v>
      </c>
      <c r="L249" t="n">
        <v>0</v>
      </c>
      <c r="M249" t="n">
        <v>0</v>
      </c>
      <c r="N249" t="n">
        <v>0</v>
      </c>
      <c r="O249" t="n">
        <v>0</v>
      </c>
      <c r="P249" t="n">
        <v>0</v>
      </c>
      <c r="Q249" t="n">
        <v>0</v>
      </c>
      <c r="R249" s="2" t="inlineStr"/>
    </row>
    <row r="250" ht="15" customHeight="1">
      <c r="A250" t="inlineStr">
        <is>
          <t>A 11834-2025</t>
        </is>
      </c>
      <c r="B250" s="1" t="n">
        <v>45727</v>
      </c>
      <c r="C250" s="1" t="n">
        <v>46160</v>
      </c>
      <c r="D250" t="inlineStr">
        <is>
          <t>NORRBOTTENS LÄN</t>
        </is>
      </c>
      <c r="E250" t="inlineStr">
        <is>
          <t>LULEÅ</t>
        </is>
      </c>
      <c r="G250" t="n">
        <v>0.7</v>
      </c>
      <c r="H250" t="n">
        <v>0</v>
      </c>
      <c r="I250" t="n">
        <v>0</v>
      </c>
      <c r="J250" t="n">
        <v>0</v>
      </c>
      <c r="K250" t="n">
        <v>0</v>
      </c>
      <c r="L250" t="n">
        <v>0</v>
      </c>
      <c r="M250" t="n">
        <v>0</v>
      </c>
      <c r="N250" t="n">
        <v>0</v>
      </c>
      <c r="O250" t="n">
        <v>0</v>
      </c>
      <c r="P250" t="n">
        <v>0</v>
      </c>
      <c r="Q250" t="n">
        <v>0</v>
      </c>
      <c r="R250" s="2" t="inlineStr"/>
      <c r="U250">
        <f>HYPERLINK("https://klasma.github.io/Logging_2580/knärot/A 11834-2025 karta knärot.png", "A 11834-2025")</f>
        <v/>
      </c>
      <c r="V250">
        <f>HYPERLINK("https://klasma.github.io/Logging_2580/klagomål/A 11834-2025 FSC-klagomål.docx", "A 11834-2025")</f>
        <v/>
      </c>
      <c r="W250">
        <f>HYPERLINK("https://klasma.github.io/Logging_2580/klagomålsmail/A 11834-2025 FSC-klagomål mail.docx", "A 11834-2025")</f>
        <v/>
      </c>
      <c r="X250">
        <f>HYPERLINK("https://klasma.github.io/Logging_2580/tillsyn/A 11834-2025 tillsynsbegäran.docx", "A 11834-2025")</f>
        <v/>
      </c>
      <c r="Y250">
        <f>HYPERLINK("https://klasma.github.io/Logging_2580/tillsynsmail/A 11834-2025 tillsynsbegäran mail.docx", "A 11834-2025")</f>
        <v/>
      </c>
    </row>
    <row r="251" ht="15" customHeight="1">
      <c r="A251" t="inlineStr">
        <is>
          <t>A 1671-2026</t>
        </is>
      </c>
      <c r="B251" s="1" t="n">
        <v>46034.56065972222</v>
      </c>
      <c r="C251" s="1" t="n">
        <v>46160</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1663-2026</t>
        </is>
      </c>
      <c r="B252" s="1" t="n">
        <v>46034.55708333333</v>
      </c>
      <c r="C252" s="1" t="n">
        <v>46160</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1928-2026</t>
        </is>
      </c>
      <c r="B253" s="1" t="n">
        <v>46035.57373842593</v>
      </c>
      <c r="C253" s="1" t="n">
        <v>46160</v>
      </c>
      <c r="D253" t="inlineStr">
        <is>
          <t>NORRBOTTENS LÄN</t>
        </is>
      </c>
      <c r="E253" t="inlineStr">
        <is>
          <t>LULEÅ</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43182-2025</t>
        </is>
      </c>
      <c r="B254" s="1" t="n">
        <v>45910.40729166667</v>
      </c>
      <c r="C254" s="1" t="n">
        <v>46160</v>
      </c>
      <c r="D254" t="inlineStr">
        <is>
          <t>NORRBOTTENS LÄN</t>
        </is>
      </c>
      <c r="E254" t="inlineStr">
        <is>
          <t>LULEÅ</t>
        </is>
      </c>
      <c r="G254" t="n">
        <v>17.7</v>
      </c>
      <c r="H254" t="n">
        <v>0</v>
      </c>
      <c r="I254" t="n">
        <v>0</v>
      </c>
      <c r="J254" t="n">
        <v>0</v>
      </c>
      <c r="K254" t="n">
        <v>0</v>
      </c>
      <c r="L254" t="n">
        <v>0</v>
      </c>
      <c r="M254" t="n">
        <v>0</v>
      </c>
      <c r="N254" t="n">
        <v>0</v>
      </c>
      <c r="O254" t="n">
        <v>0</v>
      </c>
      <c r="P254" t="n">
        <v>0</v>
      </c>
      <c r="Q254" t="n">
        <v>0</v>
      </c>
      <c r="R254" s="2" t="inlineStr"/>
    </row>
    <row r="255" ht="15" customHeight="1">
      <c r="A255" t="inlineStr">
        <is>
          <t>A 43112-2025</t>
        </is>
      </c>
      <c r="B255" s="1" t="n">
        <v>45909.66228009259</v>
      </c>
      <c r="C255" s="1" t="n">
        <v>46160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43113-2025</t>
        </is>
      </c>
      <c r="B256" s="1" t="n">
        <v>45909.6640625</v>
      </c>
      <c r="C256" s="1" t="n">
        <v>46160</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43115-2025</t>
        </is>
      </c>
      <c r="B257" s="1" t="n">
        <v>45909.66664351852</v>
      </c>
      <c r="C257" s="1" t="n">
        <v>46160</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43116-2025</t>
        </is>
      </c>
      <c r="B258" s="1" t="n">
        <v>45909.66799768519</v>
      </c>
      <c r="C258" s="1" t="n">
        <v>46160</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1927-2026</t>
        </is>
      </c>
      <c r="B259" s="1" t="n">
        <v>46035.57366898148</v>
      </c>
      <c r="C259" s="1" t="n">
        <v>46160</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46160</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14128-2023</t>
        </is>
      </c>
      <c r="B261" s="1" t="n">
        <v>45009</v>
      </c>
      <c r="C261" s="1" t="n">
        <v>46160</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54213-2023</t>
        </is>
      </c>
      <c r="B262" s="1" t="n">
        <v>45232</v>
      </c>
      <c r="C262" s="1" t="n">
        <v>46160</v>
      </c>
      <c r="D262" t="inlineStr">
        <is>
          <t>NORRBOTTENS LÄN</t>
        </is>
      </c>
      <c r="E262" t="inlineStr">
        <is>
          <t>LULEÅ</t>
        </is>
      </c>
      <c r="G262" t="n">
        <v>0.2</v>
      </c>
      <c r="H262" t="n">
        <v>0</v>
      </c>
      <c r="I262" t="n">
        <v>0</v>
      </c>
      <c r="J262" t="n">
        <v>0</v>
      </c>
      <c r="K262" t="n">
        <v>0</v>
      </c>
      <c r="L262" t="n">
        <v>0</v>
      </c>
      <c r="M262" t="n">
        <v>0</v>
      </c>
      <c r="N262" t="n">
        <v>0</v>
      </c>
      <c r="O262" t="n">
        <v>0</v>
      </c>
      <c r="P262" t="n">
        <v>0</v>
      </c>
      <c r="Q262" t="n">
        <v>0</v>
      </c>
      <c r="R262" s="2" t="inlineStr"/>
    </row>
    <row r="263" ht="15" customHeight="1">
      <c r="A263" t="inlineStr">
        <is>
          <t>A 59656-2024</t>
        </is>
      </c>
      <c r="B263" s="1" t="n">
        <v>45639</v>
      </c>
      <c r="C263" s="1" t="n">
        <v>46160</v>
      </c>
      <c r="D263" t="inlineStr">
        <is>
          <t>NORRBOTTENS LÄN</t>
        </is>
      </c>
      <c r="E263" t="inlineStr">
        <is>
          <t>LULEÅ</t>
        </is>
      </c>
      <c r="G263" t="n">
        <v>4.3</v>
      </c>
      <c r="H263" t="n">
        <v>0</v>
      </c>
      <c r="I263" t="n">
        <v>0</v>
      </c>
      <c r="J263" t="n">
        <v>0</v>
      </c>
      <c r="K263" t="n">
        <v>0</v>
      </c>
      <c r="L263" t="n">
        <v>0</v>
      </c>
      <c r="M263" t="n">
        <v>0</v>
      </c>
      <c r="N263" t="n">
        <v>0</v>
      </c>
      <c r="O263" t="n">
        <v>0</v>
      </c>
      <c r="P263" t="n">
        <v>0</v>
      </c>
      <c r="Q263" t="n">
        <v>0</v>
      </c>
      <c r="R263" s="2" t="inlineStr"/>
    </row>
    <row r="264" ht="15" customHeight="1">
      <c r="A264" t="inlineStr">
        <is>
          <t>A 30080-2025</t>
        </is>
      </c>
      <c r="B264" s="1" t="n">
        <v>45826.65047453704</v>
      </c>
      <c r="C264" s="1" t="n">
        <v>46160</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2547-2026</t>
        </is>
      </c>
      <c r="B265" s="1" t="n">
        <v>46037.46954861111</v>
      </c>
      <c r="C265" s="1" t="n">
        <v>46160</v>
      </c>
      <c r="D265" t="inlineStr">
        <is>
          <t>NORRBOTTENS LÄN</t>
        </is>
      </c>
      <c r="E265" t="inlineStr">
        <is>
          <t>LULEÅ</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2567-2026</t>
        </is>
      </c>
      <c r="B266" s="1" t="n">
        <v>46037.49084490741</v>
      </c>
      <c r="C266" s="1" t="n">
        <v>46160</v>
      </c>
      <c r="D266" t="inlineStr">
        <is>
          <t>NORRBOTTENS LÄN</t>
        </is>
      </c>
      <c r="E266" t="inlineStr">
        <is>
          <t>LULEÅ</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2539-2026</t>
        </is>
      </c>
      <c r="B267" s="1" t="n">
        <v>46037.45152777778</v>
      </c>
      <c r="C267" s="1" t="n">
        <v>46160</v>
      </c>
      <c r="D267" t="inlineStr">
        <is>
          <t>NORRBOTTENS LÄN</t>
        </is>
      </c>
      <c r="E267" t="inlineStr">
        <is>
          <t>LULEÅ</t>
        </is>
      </c>
      <c r="G267" t="n">
        <v>3.9</v>
      </c>
      <c r="H267" t="n">
        <v>0</v>
      </c>
      <c r="I267" t="n">
        <v>0</v>
      </c>
      <c r="J267" t="n">
        <v>0</v>
      </c>
      <c r="K267" t="n">
        <v>0</v>
      </c>
      <c r="L267" t="n">
        <v>0</v>
      </c>
      <c r="M267" t="n">
        <v>0</v>
      </c>
      <c r="N267" t="n">
        <v>0</v>
      </c>
      <c r="O267" t="n">
        <v>0</v>
      </c>
      <c r="P267" t="n">
        <v>0</v>
      </c>
      <c r="Q267" t="n">
        <v>0</v>
      </c>
      <c r="R267" s="2" t="inlineStr"/>
    </row>
    <row r="268" ht="15" customHeight="1">
      <c r="A268" t="inlineStr">
        <is>
          <t>A 30059-2025</t>
        </is>
      </c>
      <c r="B268" s="1" t="n">
        <v>45826.61388888889</v>
      </c>
      <c r="C268" s="1" t="n">
        <v>46160</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30065-2025</t>
        </is>
      </c>
      <c r="B269" s="1" t="n">
        <v>45826.6207175926</v>
      </c>
      <c r="C269" s="1" t="n">
        <v>46160</v>
      </c>
      <c r="D269" t="inlineStr">
        <is>
          <t>NORRBOTTENS LÄN</t>
        </is>
      </c>
      <c r="E269" t="inlineStr">
        <is>
          <t>LULEÅ</t>
        </is>
      </c>
      <c r="G269" t="n">
        <v>4</v>
      </c>
      <c r="H269" t="n">
        <v>0</v>
      </c>
      <c r="I269" t="n">
        <v>0</v>
      </c>
      <c r="J269" t="n">
        <v>0</v>
      </c>
      <c r="K269" t="n">
        <v>0</v>
      </c>
      <c r="L269" t="n">
        <v>0</v>
      </c>
      <c r="M269" t="n">
        <v>0</v>
      </c>
      <c r="N269" t="n">
        <v>0</v>
      </c>
      <c r="O269" t="n">
        <v>0</v>
      </c>
      <c r="P269" t="n">
        <v>0</v>
      </c>
      <c r="Q269" t="n">
        <v>0</v>
      </c>
      <c r="R269" s="2" t="inlineStr"/>
    </row>
    <row r="270" ht="15" customHeight="1">
      <c r="A270" t="inlineStr">
        <is>
          <t>A 44330-2024</t>
        </is>
      </c>
      <c r="B270" s="1" t="n">
        <v>45573.60027777778</v>
      </c>
      <c r="C270" s="1" t="n">
        <v>46160</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29975-2025</t>
        </is>
      </c>
      <c r="B271" s="1" t="n">
        <v>45826</v>
      </c>
      <c r="C271" s="1" t="n">
        <v>46160</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3304-2026</t>
        </is>
      </c>
      <c r="B272" s="1" t="n">
        <v>46041.66304398148</v>
      </c>
      <c r="C272" s="1" t="n">
        <v>46160</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29896-2025</t>
        </is>
      </c>
      <c r="B273" s="1" t="n">
        <v>45826.38290509259</v>
      </c>
      <c r="C273" s="1" t="n">
        <v>46160</v>
      </c>
      <c r="D273" t="inlineStr">
        <is>
          <t>NORRBOTTENS LÄN</t>
        </is>
      </c>
      <c r="E273" t="inlineStr">
        <is>
          <t>LULEÅ</t>
        </is>
      </c>
      <c r="G273" t="n">
        <v>17.9</v>
      </c>
      <c r="H273" t="n">
        <v>0</v>
      </c>
      <c r="I273" t="n">
        <v>0</v>
      </c>
      <c r="J273" t="n">
        <v>0</v>
      </c>
      <c r="K273" t="n">
        <v>0</v>
      </c>
      <c r="L273" t="n">
        <v>0</v>
      </c>
      <c r="M273" t="n">
        <v>0</v>
      </c>
      <c r="N273" t="n">
        <v>0</v>
      </c>
      <c r="O273" t="n">
        <v>0</v>
      </c>
      <c r="P273" t="n">
        <v>0</v>
      </c>
      <c r="Q273" t="n">
        <v>0</v>
      </c>
      <c r="R273" s="2" t="inlineStr"/>
    </row>
    <row r="274" ht="15" customHeight="1">
      <c r="A274" t="inlineStr">
        <is>
          <t>A 30035-2025</t>
        </is>
      </c>
      <c r="B274" s="1" t="n">
        <v>45826.57041666667</v>
      </c>
      <c r="C274" s="1" t="n">
        <v>46160</v>
      </c>
      <c r="D274" t="inlineStr">
        <is>
          <t>NORRBOTTENS LÄN</t>
        </is>
      </c>
      <c r="E274" t="inlineStr">
        <is>
          <t>LULEÅ</t>
        </is>
      </c>
      <c r="G274" t="n">
        <v>16.6</v>
      </c>
      <c r="H274" t="n">
        <v>0</v>
      </c>
      <c r="I274" t="n">
        <v>0</v>
      </c>
      <c r="J274" t="n">
        <v>0</v>
      </c>
      <c r="K274" t="n">
        <v>0</v>
      </c>
      <c r="L274" t="n">
        <v>0</v>
      </c>
      <c r="M274" t="n">
        <v>0</v>
      </c>
      <c r="N274" t="n">
        <v>0</v>
      </c>
      <c r="O274" t="n">
        <v>0</v>
      </c>
      <c r="P274" t="n">
        <v>0</v>
      </c>
      <c r="Q274" t="n">
        <v>0</v>
      </c>
      <c r="R274" s="2" t="inlineStr"/>
    </row>
    <row r="275" ht="15" customHeight="1">
      <c r="A275" t="inlineStr">
        <is>
          <t>A 30048-2025</t>
        </is>
      </c>
      <c r="B275" s="1" t="n">
        <v>45826.58424768518</v>
      </c>
      <c r="C275" s="1" t="n">
        <v>46160</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30052-2025</t>
        </is>
      </c>
      <c r="B276" s="1" t="n">
        <v>45826.59502314815</v>
      </c>
      <c r="C276" s="1" t="n">
        <v>46160</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30056-2025</t>
        </is>
      </c>
      <c r="B277" s="1" t="n">
        <v>45826.6047800926</v>
      </c>
      <c r="C277" s="1" t="n">
        <v>46160</v>
      </c>
      <c r="D277" t="inlineStr">
        <is>
          <t>NORRBOTTENS LÄN</t>
        </is>
      </c>
      <c r="E277" t="inlineStr">
        <is>
          <t>LULEÅ</t>
        </is>
      </c>
      <c r="G277" t="n">
        <v>3.6</v>
      </c>
      <c r="H277" t="n">
        <v>0</v>
      </c>
      <c r="I277" t="n">
        <v>0</v>
      </c>
      <c r="J277" t="n">
        <v>0</v>
      </c>
      <c r="K277" t="n">
        <v>0</v>
      </c>
      <c r="L277" t="n">
        <v>0</v>
      </c>
      <c r="M277" t="n">
        <v>0</v>
      </c>
      <c r="N277" t="n">
        <v>0</v>
      </c>
      <c r="O277" t="n">
        <v>0</v>
      </c>
      <c r="P277" t="n">
        <v>0</v>
      </c>
      <c r="Q277" t="n">
        <v>0</v>
      </c>
      <c r="R277" s="2" t="inlineStr"/>
    </row>
    <row r="278" ht="15" customHeight="1">
      <c r="A278" t="inlineStr">
        <is>
          <t>A 29530-2025</t>
        </is>
      </c>
      <c r="B278" s="1" t="n">
        <v>45825.3443287037</v>
      </c>
      <c r="C278" s="1" t="n">
        <v>46160</v>
      </c>
      <c r="D278" t="inlineStr">
        <is>
          <t>NORRBOTTENS LÄN</t>
        </is>
      </c>
      <c r="E278" t="inlineStr">
        <is>
          <t>LULEÅ</t>
        </is>
      </c>
      <c r="F278" t="inlineStr">
        <is>
          <t>SCA</t>
        </is>
      </c>
      <c r="G278" t="n">
        <v>17.5</v>
      </c>
      <c r="H278" t="n">
        <v>0</v>
      </c>
      <c r="I278" t="n">
        <v>0</v>
      </c>
      <c r="J278" t="n">
        <v>0</v>
      </c>
      <c r="K278" t="n">
        <v>0</v>
      </c>
      <c r="L278" t="n">
        <v>0</v>
      </c>
      <c r="M278" t="n">
        <v>0</v>
      </c>
      <c r="N278" t="n">
        <v>0</v>
      </c>
      <c r="O278" t="n">
        <v>0</v>
      </c>
      <c r="P278" t="n">
        <v>0</v>
      </c>
      <c r="Q278" t="n">
        <v>0</v>
      </c>
      <c r="R278" s="2" t="inlineStr"/>
    </row>
    <row r="279" ht="15" customHeight="1">
      <c r="A279" t="inlineStr">
        <is>
          <t>A 3306-2026</t>
        </is>
      </c>
      <c r="B279" s="1" t="n">
        <v>46041.66591435186</v>
      </c>
      <c r="C279" s="1" t="n">
        <v>46160</v>
      </c>
      <c r="D279" t="inlineStr">
        <is>
          <t>NORRBOTTENS LÄN</t>
        </is>
      </c>
      <c r="E279" t="inlineStr">
        <is>
          <t>LULEÅ</t>
        </is>
      </c>
      <c r="G279" t="n">
        <v>4.4</v>
      </c>
      <c r="H279" t="n">
        <v>0</v>
      </c>
      <c r="I279" t="n">
        <v>0</v>
      </c>
      <c r="J279" t="n">
        <v>0</v>
      </c>
      <c r="K279" t="n">
        <v>0</v>
      </c>
      <c r="L279" t="n">
        <v>0</v>
      </c>
      <c r="M279" t="n">
        <v>0</v>
      </c>
      <c r="N279" t="n">
        <v>0</v>
      </c>
      <c r="O279" t="n">
        <v>0</v>
      </c>
      <c r="P279" t="n">
        <v>0</v>
      </c>
      <c r="Q279" t="n">
        <v>0</v>
      </c>
      <c r="R279" s="2" t="inlineStr"/>
    </row>
    <row r="280" ht="15" customHeight="1">
      <c r="A280" t="inlineStr">
        <is>
          <t>A 4941-2025</t>
        </is>
      </c>
      <c r="B280" s="1" t="n">
        <v>45688.6995949074</v>
      </c>
      <c r="C280" s="1" t="n">
        <v>46160</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43976-2025</t>
        </is>
      </c>
      <c r="B281" s="1" t="n">
        <v>45915</v>
      </c>
      <c r="C281" s="1" t="n">
        <v>46160</v>
      </c>
      <c r="D281" t="inlineStr">
        <is>
          <t>NORRBOTTENS LÄN</t>
        </is>
      </c>
      <c r="E281" t="inlineStr">
        <is>
          <t>LULEÅ</t>
        </is>
      </c>
      <c r="G281" t="n">
        <v>6.2</v>
      </c>
      <c r="H281" t="n">
        <v>0</v>
      </c>
      <c r="I281" t="n">
        <v>0</v>
      </c>
      <c r="J281" t="n">
        <v>0</v>
      </c>
      <c r="K281" t="n">
        <v>0</v>
      </c>
      <c r="L281" t="n">
        <v>0</v>
      </c>
      <c r="M281" t="n">
        <v>0</v>
      </c>
      <c r="N281" t="n">
        <v>0</v>
      </c>
      <c r="O281" t="n">
        <v>0</v>
      </c>
      <c r="P281" t="n">
        <v>0</v>
      </c>
      <c r="Q281" t="n">
        <v>0</v>
      </c>
      <c r="R281" s="2" t="inlineStr"/>
    </row>
    <row r="282" ht="15" customHeight="1">
      <c r="A282" t="inlineStr">
        <is>
          <t>A 43953-2025</t>
        </is>
      </c>
      <c r="B282" s="1" t="n">
        <v>45915.38332175926</v>
      </c>
      <c r="C282" s="1" t="n">
        <v>46160</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30091-2025</t>
        </is>
      </c>
      <c r="B283" s="1" t="n">
        <v>45826</v>
      </c>
      <c r="C283" s="1" t="n">
        <v>46160</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43955-2025</t>
        </is>
      </c>
      <c r="B284" s="1" t="n">
        <v>45915</v>
      </c>
      <c r="C284" s="1" t="n">
        <v>46160</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44006-2025</t>
        </is>
      </c>
      <c r="B285" s="1" t="n">
        <v>45915</v>
      </c>
      <c r="C285" s="1" t="n">
        <v>46160</v>
      </c>
      <c r="D285" t="inlineStr">
        <is>
          <t>NORRBOTTENS LÄN</t>
        </is>
      </c>
      <c r="E285" t="inlineStr">
        <is>
          <t>LULEÅ</t>
        </is>
      </c>
      <c r="G285" t="n">
        <v>2.9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46160</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30237-2025</t>
        </is>
      </c>
      <c r="B287" s="1" t="n">
        <v>45827.39997685186</v>
      </c>
      <c r="C287" s="1" t="n">
        <v>46160</v>
      </c>
      <c r="D287" t="inlineStr">
        <is>
          <t>NORRBOTTENS LÄN</t>
        </is>
      </c>
      <c r="E287" t="inlineStr">
        <is>
          <t>LULEÅ</t>
        </is>
      </c>
      <c r="G287" t="n">
        <v>17.6</v>
      </c>
      <c r="H287" t="n">
        <v>0</v>
      </c>
      <c r="I287" t="n">
        <v>0</v>
      </c>
      <c r="J287" t="n">
        <v>0</v>
      </c>
      <c r="K287" t="n">
        <v>0</v>
      </c>
      <c r="L287" t="n">
        <v>0</v>
      </c>
      <c r="M287" t="n">
        <v>0</v>
      </c>
      <c r="N287" t="n">
        <v>0</v>
      </c>
      <c r="O287" t="n">
        <v>0</v>
      </c>
      <c r="P287" t="n">
        <v>0</v>
      </c>
      <c r="Q287" t="n">
        <v>0</v>
      </c>
      <c r="R287" s="2" t="inlineStr"/>
    </row>
    <row r="288" ht="15" customHeight="1">
      <c r="A288" t="inlineStr">
        <is>
          <t>A 30238-2025</t>
        </is>
      </c>
      <c r="B288" s="1" t="n">
        <v>45827.40238425926</v>
      </c>
      <c r="C288" s="1" t="n">
        <v>46160</v>
      </c>
      <c r="D288" t="inlineStr">
        <is>
          <t>NORRBOTTENS LÄN</t>
        </is>
      </c>
      <c r="E288" t="inlineStr">
        <is>
          <t>LULEÅ</t>
        </is>
      </c>
      <c r="G288" t="n">
        <v>10.2</v>
      </c>
      <c r="H288" t="n">
        <v>0</v>
      </c>
      <c r="I288" t="n">
        <v>0</v>
      </c>
      <c r="J288" t="n">
        <v>0</v>
      </c>
      <c r="K288" t="n">
        <v>0</v>
      </c>
      <c r="L288" t="n">
        <v>0</v>
      </c>
      <c r="M288" t="n">
        <v>0</v>
      </c>
      <c r="N288" t="n">
        <v>0</v>
      </c>
      <c r="O288" t="n">
        <v>0</v>
      </c>
      <c r="P288" t="n">
        <v>0</v>
      </c>
      <c r="Q288" t="n">
        <v>0</v>
      </c>
      <c r="R288" s="2" t="inlineStr"/>
    </row>
    <row r="289" ht="15" customHeight="1">
      <c r="A289" t="inlineStr">
        <is>
          <t>A 30245-2025</t>
        </is>
      </c>
      <c r="B289" s="1" t="n">
        <v>45827.4106712963</v>
      </c>
      <c r="C289" s="1" t="n">
        <v>46160</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44662-2025</t>
        </is>
      </c>
      <c r="B290" s="1" t="n">
        <v>45917.55898148148</v>
      </c>
      <c r="C290" s="1" t="n">
        <v>46160</v>
      </c>
      <c r="D290" t="inlineStr">
        <is>
          <t>NORRBOTTENS LÄN</t>
        </is>
      </c>
      <c r="E290" t="inlineStr">
        <is>
          <t>LULEÅ</t>
        </is>
      </c>
      <c r="G290" t="n">
        <v>8.6</v>
      </c>
      <c r="H290" t="n">
        <v>0</v>
      </c>
      <c r="I290" t="n">
        <v>0</v>
      </c>
      <c r="J290" t="n">
        <v>0</v>
      </c>
      <c r="K290" t="n">
        <v>0</v>
      </c>
      <c r="L290" t="n">
        <v>0</v>
      </c>
      <c r="M290" t="n">
        <v>0</v>
      </c>
      <c r="N290" t="n">
        <v>0</v>
      </c>
      <c r="O290" t="n">
        <v>0</v>
      </c>
      <c r="P290" t="n">
        <v>0</v>
      </c>
      <c r="Q290" t="n">
        <v>0</v>
      </c>
      <c r="R290" s="2" t="inlineStr"/>
    </row>
    <row r="291" ht="15" customHeight="1">
      <c r="A291" t="inlineStr">
        <is>
          <t>A 45000-2025</t>
        </is>
      </c>
      <c r="B291" s="1" t="n">
        <v>45918</v>
      </c>
      <c r="C291" s="1" t="n">
        <v>46160</v>
      </c>
      <c r="D291" t="inlineStr">
        <is>
          <t>NORRBOTTENS LÄN</t>
        </is>
      </c>
      <c r="E291" t="inlineStr">
        <is>
          <t>LULEÅ</t>
        </is>
      </c>
      <c r="G291" t="n">
        <v>4</v>
      </c>
      <c r="H291" t="n">
        <v>0</v>
      </c>
      <c r="I291" t="n">
        <v>0</v>
      </c>
      <c r="J291" t="n">
        <v>0</v>
      </c>
      <c r="K291" t="n">
        <v>0</v>
      </c>
      <c r="L291" t="n">
        <v>0</v>
      </c>
      <c r="M291" t="n">
        <v>0</v>
      </c>
      <c r="N291" t="n">
        <v>0</v>
      </c>
      <c r="O291" t="n">
        <v>0</v>
      </c>
      <c r="P291" t="n">
        <v>0</v>
      </c>
      <c r="Q291" t="n">
        <v>0</v>
      </c>
      <c r="R291" s="2" t="inlineStr"/>
    </row>
    <row r="292" ht="15" customHeight="1">
      <c r="A292" t="inlineStr">
        <is>
          <t>A 30907-2025</t>
        </is>
      </c>
      <c r="B292" s="1" t="n">
        <v>45832.36484953704</v>
      </c>
      <c r="C292" s="1" t="n">
        <v>46160</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31025-2025</t>
        </is>
      </c>
      <c r="B293" s="1" t="n">
        <v>45831</v>
      </c>
      <c r="C293" s="1" t="n">
        <v>46160</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44982-2025</t>
        </is>
      </c>
      <c r="B294" s="1" t="n">
        <v>45918</v>
      </c>
      <c r="C294" s="1" t="n">
        <v>46160</v>
      </c>
      <c r="D294" t="inlineStr">
        <is>
          <t>NORRBOTTENS LÄN</t>
        </is>
      </c>
      <c r="E294" t="inlineStr">
        <is>
          <t>LULEÅ</t>
        </is>
      </c>
      <c r="G294" t="n">
        <v>13.7</v>
      </c>
      <c r="H294" t="n">
        <v>0</v>
      </c>
      <c r="I294" t="n">
        <v>0</v>
      </c>
      <c r="J294" t="n">
        <v>0</v>
      </c>
      <c r="K294" t="n">
        <v>0</v>
      </c>
      <c r="L294" t="n">
        <v>0</v>
      </c>
      <c r="M294" t="n">
        <v>0</v>
      </c>
      <c r="N294" t="n">
        <v>0</v>
      </c>
      <c r="O294" t="n">
        <v>0</v>
      </c>
      <c r="P294" t="n">
        <v>0</v>
      </c>
      <c r="Q294" t="n">
        <v>0</v>
      </c>
      <c r="R294" s="2" t="inlineStr"/>
    </row>
    <row r="295" ht="15" customHeight="1">
      <c r="A295" t="inlineStr">
        <is>
          <t>A 35158-2024</t>
        </is>
      </c>
      <c r="B295" s="1" t="n">
        <v>45530.39005787037</v>
      </c>
      <c r="C295" s="1" t="n">
        <v>46160</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45472-2025</t>
        </is>
      </c>
      <c r="B296" s="1" t="n">
        <v>45922.5109837963</v>
      </c>
      <c r="C296" s="1" t="n">
        <v>46160</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53624-2023</t>
        </is>
      </c>
      <c r="B297" s="1" t="n">
        <v>45224</v>
      </c>
      <c r="C297" s="1" t="n">
        <v>46160</v>
      </c>
      <c r="D297" t="inlineStr">
        <is>
          <t>NORRBOTTENS LÄN</t>
        </is>
      </c>
      <c r="E297" t="inlineStr">
        <is>
          <t>LULEÅ</t>
        </is>
      </c>
      <c r="G297" t="n">
        <v>3</v>
      </c>
      <c r="H297" t="n">
        <v>0</v>
      </c>
      <c r="I297" t="n">
        <v>0</v>
      </c>
      <c r="J297" t="n">
        <v>0</v>
      </c>
      <c r="K297" t="n">
        <v>0</v>
      </c>
      <c r="L297" t="n">
        <v>0</v>
      </c>
      <c r="M297" t="n">
        <v>0</v>
      </c>
      <c r="N297" t="n">
        <v>0</v>
      </c>
      <c r="O297" t="n">
        <v>0</v>
      </c>
      <c r="P297" t="n">
        <v>0</v>
      </c>
      <c r="Q297" t="n">
        <v>0</v>
      </c>
      <c r="R297" s="2" t="inlineStr"/>
    </row>
    <row r="298" ht="15" customHeight="1">
      <c r="A298" t="inlineStr">
        <is>
          <t>A 30569-2025</t>
        </is>
      </c>
      <c r="B298" s="1" t="n">
        <v>45831</v>
      </c>
      <c r="C298" s="1" t="n">
        <v>46160</v>
      </c>
      <c r="D298" t="inlineStr">
        <is>
          <t>NORRBOTTENS LÄN</t>
        </is>
      </c>
      <c r="E298" t="inlineStr">
        <is>
          <t>LULEÅ</t>
        </is>
      </c>
      <c r="G298" t="n">
        <v>4.1</v>
      </c>
      <c r="H298" t="n">
        <v>0</v>
      </c>
      <c r="I298" t="n">
        <v>0</v>
      </c>
      <c r="J298" t="n">
        <v>0</v>
      </c>
      <c r="K298" t="n">
        <v>0</v>
      </c>
      <c r="L298" t="n">
        <v>0</v>
      </c>
      <c r="M298" t="n">
        <v>0</v>
      </c>
      <c r="N298" t="n">
        <v>0</v>
      </c>
      <c r="O298" t="n">
        <v>0</v>
      </c>
      <c r="P298" t="n">
        <v>0</v>
      </c>
      <c r="Q298" t="n">
        <v>0</v>
      </c>
      <c r="R298" s="2" t="inlineStr"/>
    </row>
    <row r="299" ht="15" customHeight="1">
      <c r="A299" t="inlineStr">
        <is>
          <t>A 30570-2025</t>
        </is>
      </c>
      <c r="B299" s="1" t="n">
        <v>45831.40694444445</v>
      </c>
      <c r="C299" s="1" t="n">
        <v>46160</v>
      </c>
      <c r="D299" t="inlineStr">
        <is>
          <t>NORRBOTTENS LÄN</t>
        </is>
      </c>
      <c r="E299" t="inlineStr">
        <is>
          <t>LULEÅ</t>
        </is>
      </c>
      <c r="G299" t="n">
        <v>4.8</v>
      </c>
      <c r="H299" t="n">
        <v>0</v>
      </c>
      <c r="I299" t="n">
        <v>0</v>
      </c>
      <c r="J299" t="n">
        <v>0</v>
      </c>
      <c r="K299" t="n">
        <v>0</v>
      </c>
      <c r="L299" t="n">
        <v>0</v>
      </c>
      <c r="M299" t="n">
        <v>0</v>
      </c>
      <c r="N299" t="n">
        <v>0</v>
      </c>
      <c r="O299" t="n">
        <v>0</v>
      </c>
      <c r="P299" t="n">
        <v>0</v>
      </c>
      <c r="Q299" t="n">
        <v>0</v>
      </c>
      <c r="R299" s="2" t="inlineStr"/>
    </row>
    <row r="300" ht="15" customHeight="1">
      <c r="A300" t="inlineStr">
        <is>
          <t>A 48642-2023</t>
        </is>
      </c>
      <c r="B300" s="1" t="n">
        <v>45208</v>
      </c>
      <c r="C300" s="1" t="n">
        <v>46160</v>
      </c>
      <c r="D300" t="inlineStr">
        <is>
          <t>NORRBOTTENS LÄN</t>
        </is>
      </c>
      <c r="E300" t="inlineStr">
        <is>
          <t>LULEÅ</t>
        </is>
      </c>
      <c r="G300" t="n">
        <v>4.5</v>
      </c>
      <c r="H300" t="n">
        <v>0</v>
      </c>
      <c r="I300" t="n">
        <v>0</v>
      </c>
      <c r="J300" t="n">
        <v>0</v>
      </c>
      <c r="K300" t="n">
        <v>0</v>
      </c>
      <c r="L300" t="n">
        <v>0</v>
      </c>
      <c r="M300" t="n">
        <v>0</v>
      </c>
      <c r="N300" t="n">
        <v>0</v>
      </c>
      <c r="O300" t="n">
        <v>0</v>
      </c>
      <c r="P300" t="n">
        <v>0</v>
      </c>
      <c r="Q300" t="n">
        <v>0</v>
      </c>
      <c r="R300" s="2" t="inlineStr"/>
    </row>
    <row r="301" ht="15" customHeight="1">
      <c r="A301" t="inlineStr">
        <is>
          <t>A 31620-2025</t>
        </is>
      </c>
      <c r="B301" s="1" t="n">
        <v>45833.87428240741</v>
      </c>
      <c r="C301" s="1" t="n">
        <v>46160</v>
      </c>
      <c r="D301" t="inlineStr">
        <is>
          <t>NORRBOTTENS LÄN</t>
        </is>
      </c>
      <c r="E301" t="inlineStr">
        <is>
          <t>LULEÅ</t>
        </is>
      </c>
      <c r="G301" t="n">
        <v>7.7</v>
      </c>
      <c r="H301" t="n">
        <v>0</v>
      </c>
      <c r="I301" t="n">
        <v>0</v>
      </c>
      <c r="J301" t="n">
        <v>0</v>
      </c>
      <c r="K301" t="n">
        <v>0</v>
      </c>
      <c r="L301" t="n">
        <v>0</v>
      </c>
      <c r="M301" t="n">
        <v>0</v>
      </c>
      <c r="N301" t="n">
        <v>0</v>
      </c>
      <c r="O301" t="n">
        <v>0</v>
      </c>
      <c r="P301" t="n">
        <v>0</v>
      </c>
      <c r="Q301" t="n">
        <v>0</v>
      </c>
      <c r="R301" s="2" t="inlineStr"/>
    </row>
    <row r="302" ht="15" customHeight="1">
      <c r="A302" t="inlineStr">
        <is>
          <t>A 45470-2025</t>
        </is>
      </c>
      <c r="B302" s="1" t="n">
        <v>45922.51091435185</v>
      </c>
      <c r="C302" s="1" t="n">
        <v>46160</v>
      </c>
      <c r="D302" t="inlineStr">
        <is>
          <t>NORRBOTTENS LÄN</t>
        </is>
      </c>
      <c r="E302" t="inlineStr">
        <is>
          <t>LULEÅ</t>
        </is>
      </c>
      <c r="G302" t="n">
        <v>0.7</v>
      </c>
      <c r="H302" t="n">
        <v>0</v>
      </c>
      <c r="I302" t="n">
        <v>0</v>
      </c>
      <c r="J302" t="n">
        <v>0</v>
      </c>
      <c r="K302" t="n">
        <v>0</v>
      </c>
      <c r="L302" t="n">
        <v>0</v>
      </c>
      <c r="M302" t="n">
        <v>0</v>
      </c>
      <c r="N302" t="n">
        <v>0</v>
      </c>
      <c r="O302" t="n">
        <v>0</v>
      </c>
      <c r="P302" t="n">
        <v>0</v>
      </c>
      <c r="Q302" t="n">
        <v>0</v>
      </c>
      <c r="R302" s="2" t="inlineStr"/>
    </row>
    <row r="303" ht="15" customHeight="1">
      <c r="A303" t="inlineStr">
        <is>
          <t>A 45673-2025</t>
        </is>
      </c>
      <c r="B303" s="1" t="n">
        <v>45922</v>
      </c>
      <c r="C303" s="1" t="n">
        <v>46160</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45684-2025</t>
        </is>
      </c>
      <c r="B304" s="1" t="n">
        <v>45918</v>
      </c>
      <c r="C304" s="1" t="n">
        <v>46160</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45001-2025</t>
        </is>
      </c>
      <c r="B305" s="1" t="n">
        <v>45918</v>
      </c>
      <c r="C305" s="1" t="n">
        <v>46160</v>
      </c>
      <c r="D305" t="inlineStr">
        <is>
          <t>NORRBOTTENS LÄN</t>
        </is>
      </c>
      <c r="E305" t="inlineStr">
        <is>
          <t>LULEÅ</t>
        </is>
      </c>
      <c r="G305" t="n">
        <v>7.8</v>
      </c>
      <c r="H305" t="n">
        <v>0</v>
      </c>
      <c r="I305" t="n">
        <v>0</v>
      </c>
      <c r="J305" t="n">
        <v>0</v>
      </c>
      <c r="K305" t="n">
        <v>0</v>
      </c>
      <c r="L305" t="n">
        <v>0</v>
      </c>
      <c r="M305" t="n">
        <v>0</v>
      </c>
      <c r="N305" t="n">
        <v>0</v>
      </c>
      <c r="O305" t="n">
        <v>0</v>
      </c>
      <c r="P305" t="n">
        <v>0</v>
      </c>
      <c r="Q305" t="n">
        <v>0</v>
      </c>
      <c r="R305" s="2" t="inlineStr"/>
    </row>
    <row r="306" ht="15" customHeight="1">
      <c r="A306" t="inlineStr">
        <is>
          <t>A 45471-2025</t>
        </is>
      </c>
      <c r="B306" s="1" t="n">
        <v>45922.51094907407</v>
      </c>
      <c r="C306" s="1" t="n">
        <v>46160</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5822-2025</t>
        </is>
      </c>
      <c r="B307" s="1" t="n">
        <v>45694</v>
      </c>
      <c r="C307" s="1" t="n">
        <v>46160</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32154-2025</t>
        </is>
      </c>
      <c r="B308" s="1" t="n">
        <v>45835.53480324074</v>
      </c>
      <c r="C308" s="1" t="n">
        <v>46160</v>
      </c>
      <c r="D308" t="inlineStr">
        <is>
          <t>NORRBOTTENS LÄN</t>
        </is>
      </c>
      <c r="E308" t="inlineStr">
        <is>
          <t>LULEÅ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32223-2025</t>
        </is>
      </c>
      <c r="B309" s="1" t="n">
        <v>45835.59313657408</v>
      </c>
      <c r="C309" s="1" t="n">
        <v>46160</v>
      </c>
      <c r="D309" t="inlineStr">
        <is>
          <t>NORRBOTTENS LÄN</t>
        </is>
      </c>
      <c r="E309" t="inlineStr">
        <is>
          <t>LULEÅ</t>
        </is>
      </c>
      <c r="G309" t="n">
        <v>6.3</v>
      </c>
      <c r="H309" t="n">
        <v>0</v>
      </c>
      <c r="I309" t="n">
        <v>0</v>
      </c>
      <c r="J309" t="n">
        <v>0</v>
      </c>
      <c r="K309" t="n">
        <v>0</v>
      </c>
      <c r="L309" t="n">
        <v>0</v>
      </c>
      <c r="M309" t="n">
        <v>0</v>
      </c>
      <c r="N309" t="n">
        <v>0</v>
      </c>
      <c r="O309" t="n">
        <v>0</v>
      </c>
      <c r="P309" t="n">
        <v>0</v>
      </c>
      <c r="Q309" t="n">
        <v>0</v>
      </c>
      <c r="R309" s="2" t="inlineStr"/>
    </row>
    <row r="310" ht="15" customHeight="1">
      <c r="A310" t="inlineStr">
        <is>
          <t>A 46117-2025</t>
        </is>
      </c>
      <c r="B310" s="1" t="n">
        <v>45924.5737962963</v>
      </c>
      <c r="C310" s="1" t="n">
        <v>46160</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32127-2025</t>
        </is>
      </c>
      <c r="B311" s="1" t="n">
        <v>45835.49930555555</v>
      </c>
      <c r="C311" s="1" t="n">
        <v>46160</v>
      </c>
      <c r="D311" t="inlineStr">
        <is>
          <t>NORRBOTTENS LÄN</t>
        </is>
      </c>
      <c r="E311" t="inlineStr">
        <is>
          <t>LULEÅ</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34910-2023</t>
        </is>
      </c>
      <c r="B312" s="1" t="n">
        <v>45142.4560300926</v>
      </c>
      <c r="C312" s="1" t="n">
        <v>46160</v>
      </c>
      <c r="D312" t="inlineStr">
        <is>
          <t>NORRBOTTENS LÄN</t>
        </is>
      </c>
      <c r="E312" t="inlineStr">
        <is>
          <t>LULEÅ</t>
        </is>
      </c>
      <c r="G312" t="n">
        <v>18.9</v>
      </c>
      <c r="H312" t="n">
        <v>0</v>
      </c>
      <c r="I312" t="n">
        <v>0</v>
      </c>
      <c r="J312" t="n">
        <v>0</v>
      </c>
      <c r="K312" t="n">
        <v>0</v>
      </c>
      <c r="L312" t="n">
        <v>0</v>
      </c>
      <c r="M312" t="n">
        <v>0</v>
      </c>
      <c r="N312" t="n">
        <v>0</v>
      </c>
      <c r="O312" t="n">
        <v>0</v>
      </c>
      <c r="P312" t="n">
        <v>0</v>
      </c>
      <c r="Q312" t="n">
        <v>0</v>
      </c>
      <c r="R312" s="2" t="inlineStr"/>
    </row>
    <row r="313" ht="15" customHeight="1">
      <c r="A313" t="inlineStr">
        <is>
          <t>A 46060-2025</t>
        </is>
      </c>
      <c r="B313" s="1" t="n">
        <v>45924</v>
      </c>
      <c r="C313" s="1" t="n">
        <v>46160</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46314-2025</t>
        </is>
      </c>
      <c r="B314" s="1" t="n">
        <v>45925</v>
      </c>
      <c r="C314" s="1" t="n">
        <v>46160</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4316-2026</t>
        </is>
      </c>
      <c r="B315" s="1" t="n">
        <v>46045.44876157407</v>
      </c>
      <c r="C315" s="1" t="n">
        <v>46160</v>
      </c>
      <c r="D315" t="inlineStr">
        <is>
          <t>NORRBOTTENS LÄN</t>
        </is>
      </c>
      <c r="E315" t="inlineStr">
        <is>
          <t>LULEÅ</t>
        </is>
      </c>
      <c r="G315" t="n">
        <v>9.6</v>
      </c>
      <c r="H315" t="n">
        <v>0</v>
      </c>
      <c r="I315" t="n">
        <v>0</v>
      </c>
      <c r="J315" t="n">
        <v>0</v>
      </c>
      <c r="K315" t="n">
        <v>0</v>
      </c>
      <c r="L315" t="n">
        <v>0</v>
      </c>
      <c r="M315" t="n">
        <v>0</v>
      </c>
      <c r="N315" t="n">
        <v>0</v>
      </c>
      <c r="O315" t="n">
        <v>0</v>
      </c>
      <c r="P315" t="n">
        <v>0</v>
      </c>
      <c r="Q315" t="n">
        <v>0</v>
      </c>
      <c r="R315" s="2" t="inlineStr"/>
    </row>
    <row r="316" ht="15" customHeight="1">
      <c r="A316" t="inlineStr">
        <is>
          <t>A 63910-2025</t>
        </is>
      </c>
      <c r="B316" s="1" t="n">
        <v>46010</v>
      </c>
      <c r="C316" s="1" t="n">
        <v>46160</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32253-2025</t>
        </is>
      </c>
      <c r="B317" s="1" t="n">
        <v>45835.63008101852</v>
      </c>
      <c r="C317" s="1" t="n">
        <v>46160</v>
      </c>
      <c r="D317" t="inlineStr">
        <is>
          <t>NORRBOTTENS LÄN</t>
        </is>
      </c>
      <c r="E317" t="inlineStr">
        <is>
          <t>LULEÅ</t>
        </is>
      </c>
      <c r="G317" t="n">
        <v>7.4</v>
      </c>
      <c r="H317" t="n">
        <v>0</v>
      </c>
      <c r="I317" t="n">
        <v>0</v>
      </c>
      <c r="J317" t="n">
        <v>0</v>
      </c>
      <c r="K317" t="n">
        <v>0</v>
      </c>
      <c r="L317" t="n">
        <v>0</v>
      </c>
      <c r="M317" t="n">
        <v>0</v>
      </c>
      <c r="N317" t="n">
        <v>0</v>
      </c>
      <c r="O317" t="n">
        <v>0</v>
      </c>
      <c r="P317" t="n">
        <v>0</v>
      </c>
      <c r="Q317" t="n">
        <v>0</v>
      </c>
      <c r="R317" s="2" t="inlineStr"/>
    </row>
    <row r="318" ht="15" customHeight="1">
      <c r="A318" t="inlineStr">
        <is>
          <t>A 32260-2025</t>
        </is>
      </c>
      <c r="B318" s="1" t="n">
        <v>45835.64260416666</v>
      </c>
      <c r="C318" s="1" t="n">
        <v>46160</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32255-2025</t>
        </is>
      </c>
      <c r="B319" s="1" t="n">
        <v>45835.63332175926</v>
      </c>
      <c r="C319" s="1" t="n">
        <v>46160</v>
      </c>
      <c r="D319" t="inlineStr">
        <is>
          <t>NORRBOTTENS LÄN</t>
        </is>
      </c>
      <c r="E319" t="inlineStr">
        <is>
          <t>LULEÅ</t>
        </is>
      </c>
      <c r="G319" t="n">
        <v>1.6</v>
      </c>
      <c r="H319" t="n">
        <v>0</v>
      </c>
      <c r="I319" t="n">
        <v>0</v>
      </c>
      <c r="J319" t="n">
        <v>0</v>
      </c>
      <c r="K319" t="n">
        <v>0</v>
      </c>
      <c r="L319" t="n">
        <v>0</v>
      </c>
      <c r="M319" t="n">
        <v>0</v>
      </c>
      <c r="N319" t="n">
        <v>0</v>
      </c>
      <c r="O319" t="n">
        <v>0</v>
      </c>
      <c r="P319" t="n">
        <v>0</v>
      </c>
      <c r="Q319" t="n">
        <v>0</v>
      </c>
      <c r="R319" s="2" t="inlineStr"/>
    </row>
    <row r="320" ht="15" customHeight="1">
      <c r="A320" t="inlineStr">
        <is>
          <t>A 32264-2025</t>
        </is>
      </c>
      <c r="B320" s="1" t="n">
        <v>45835.64934027778</v>
      </c>
      <c r="C320" s="1" t="n">
        <v>46160</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46430-2025</t>
        </is>
      </c>
      <c r="B321" s="1" t="n">
        <v>45925.61494212963</v>
      </c>
      <c r="C321" s="1" t="n">
        <v>46160</v>
      </c>
      <c r="D321" t="inlineStr">
        <is>
          <t>NORRBOTTENS LÄN</t>
        </is>
      </c>
      <c r="E321" t="inlineStr">
        <is>
          <t>LULEÅ</t>
        </is>
      </c>
      <c r="G321" t="n">
        <v>1.7</v>
      </c>
      <c r="H321" t="n">
        <v>0</v>
      </c>
      <c r="I321" t="n">
        <v>0</v>
      </c>
      <c r="J321" t="n">
        <v>0</v>
      </c>
      <c r="K321" t="n">
        <v>0</v>
      </c>
      <c r="L321" t="n">
        <v>0</v>
      </c>
      <c r="M321" t="n">
        <v>0</v>
      </c>
      <c r="N321" t="n">
        <v>0</v>
      </c>
      <c r="O321" t="n">
        <v>0</v>
      </c>
      <c r="P321" t="n">
        <v>0</v>
      </c>
      <c r="Q321" t="n">
        <v>0</v>
      </c>
      <c r="R321" s="2" t="inlineStr"/>
    </row>
    <row r="322" ht="15" customHeight="1">
      <c r="A322" t="inlineStr">
        <is>
          <t>A 46572-2025</t>
        </is>
      </c>
      <c r="B322" s="1" t="n">
        <v>45926.3683912037</v>
      </c>
      <c r="C322" s="1" t="n">
        <v>46160</v>
      </c>
      <c r="D322" t="inlineStr">
        <is>
          <t>NORRBOTTENS LÄN</t>
        </is>
      </c>
      <c r="E322" t="inlineStr">
        <is>
          <t>LULEÅ</t>
        </is>
      </c>
      <c r="G322" t="n">
        <v>15.1</v>
      </c>
      <c r="H322" t="n">
        <v>0</v>
      </c>
      <c r="I322" t="n">
        <v>0</v>
      </c>
      <c r="J322" t="n">
        <v>0</v>
      </c>
      <c r="K322" t="n">
        <v>0</v>
      </c>
      <c r="L322" t="n">
        <v>0</v>
      </c>
      <c r="M322" t="n">
        <v>0</v>
      </c>
      <c r="N322" t="n">
        <v>0</v>
      </c>
      <c r="O322" t="n">
        <v>0</v>
      </c>
      <c r="P322" t="n">
        <v>0</v>
      </c>
      <c r="Q322" t="n">
        <v>0</v>
      </c>
      <c r="R322" s="2" t="inlineStr"/>
    </row>
    <row r="323" ht="15" customHeight="1">
      <c r="A323" t="inlineStr">
        <is>
          <t>A 32458-2025</t>
        </is>
      </c>
      <c r="B323" s="1" t="n">
        <v>45838.41445601852</v>
      </c>
      <c r="C323" s="1" t="n">
        <v>46160</v>
      </c>
      <c r="D323" t="inlineStr">
        <is>
          <t>NORRBOTTENS LÄN</t>
        </is>
      </c>
      <c r="E323" t="inlineStr">
        <is>
          <t>LULEÅ</t>
        </is>
      </c>
      <c r="G323" t="n">
        <v>10.8</v>
      </c>
      <c r="H323" t="n">
        <v>0</v>
      </c>
      <c r="I323" t="n">
        <v>0</v>
      </c>
      <c r="J323" t="n">
        <v>0</v>
      </c>
      <c r="K323" t="n">
        <v>0</v>
      </c>
      <c r="L323" t="n">
        <v>0</v>
      </c>
      <c r="M323" t="n">
        <v>0</v>
      </c>
      <c r="N323" t="n">
        <v>0</v>
      </c>
      <c r="O323" t="n">
        <v>0</v>
      </c>
      <c r="P323" t="n">
        <v>0</v>
      </c>
      <c r="Q323" t="n">
        <v>0</v>
      </c>
      <c r="R323" s="2" t="inlineStr"/>
    </row>
    <row r="324" ht="15" customHeight="1">
      <c r="A324" t="inlineStr">
        <is>
          <t>A 46469-2025</t>
        </is>
      </c>
      <c r="B324" s="1" t="n">
        <v>45925.68186342593</v>
      </c>
      <c r="C324" s="1" t="n">
        <v>46160</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26253-2023</t>
        </is>
      </c>
      <c r="B325" s="1" t="n">
        <v>45091</v>
      </c>
      <c r="C325" s="1" t="n">
        <v>46160</v>
      </c>
      <c r="D325" t="inlineStr">
        <is>
          <t>NORRBOTTENS LÄN</t>
        </is>
      </c>
      <c r="E325" t="inlineStr">
        <is>
          <t>LULEÅ</t>
        </is>
      </c>
      <c r="G325" t="n">
        <v>4.9</v>
      </c>
      <c r="H325" t="n">
        <v>0</v>
      </c>
      <c r="I325" t="n">
        <v>0</v>
      </c>
      <c r="J325" t="n">
        <v>0</v>
      </c>
      <c r="K325" t="n">
        <v>0</v>
      </c>
      <c r="L325" t="n">
        <v>0</v>
      </c>
      <c r="M325" t="n">
        <v>0</v>
      </c>
      <c r="N325" t="n">
        <v>0</v>
      </c>
      <c r="O325" t="n">
        <v>0</v>
      </c>
      <c r="P325" t="n">
        <v>0</v>
      </c>
      <c r="Q325" t="n">
        <v>0</v>
      </c>
      <c r="R325" s="2" t="inlineStr"/>
    </row>
    <row r="326" ht="15" customHeight="1">
      <c r="A326" t="inlineStr">
        <is>
          <t>A 40899-2024</t>
        </is>
      </c>
      <c r="B326" s="1" t="n">
        <v>45558.62070601852</v>
      </c>
      <c r="C326" s="1" t="n">
        <v>46160</v>
      </c>
      <c r="D326" t="inlineStr">
        <is>
          <t>NORRBOTTENS LÄN</t>
        </is>
      </c>
      <c r="E326" t="inlineStr">
        <is>
          <t>LULEÅ</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32460-2025</t>
        </is>
      </c>
      <c r="B327" s="1" t="n">
        <v>45838.41540509259</v>
      </c>
      <c r="C327" s="1" t="n">
        <v>46160</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46344-2025</t>
        </is>
      </c>
      <c r="B328" s="1" t="n">
        <v>45925</v>
      </c>
      <c r="C328" s="1" t="n">
        <v>46160</v>
      </c>
      <c r="D328" t="inlineStr">
        <is>
          <t>NORRBOTTENS LÄN</t>
        </is>
      </c>
      <c r="E328" t="inlineStr">
        <is>
          <t>LULEÅ</t>
        </is>
      </c>
      <c r="F328" t="inlineStr">
        <is>
          <t>SCA</t>
        </is>
      </c>
      <c r="G328" t="n">
        <v>13.9</v>
      </c>
      <c r="H328" t="n">
        <v>0</v>
      </c>
      <c r="I328" t="n">
        <v>0</v>
      </c>
      <c r="J328" t="n">
        <v>0</v>
      </c>
      <c r="K328" t="n">
        <v>0</v>
      </c>
      <c r="L328" t="n">
        <v>0</v>
      </c>
      <c r="M328" t="n">
        <v>0</v>
      </c>
      <c r="N328" t="n">
        <v>0</v>
      </c>
      <c r="O328" t="n">
        <v>0</v>
      </c>
      <c r="P328" t="n">
        <v>0</v>
      </c>
      <c r="Q328" t="n">
        <v>0</v>
      </c>
      <c r="R328" s="2" t="inlineStr"/>
    </row>
    <row r="329" ht="15" customHeight="1">
      <c r="A329" t="inlineStr">
        <is>
          <t>A 32462-2025</t>
        </is>
      </c>
      <c r="B329" s="1" t="n">
        <v>45838.41660879629</v>
      </c>
      <c r="C329" s="1" t="n">
        <v>46160</v>
      </c>
      <c r="D329" t="inlineStr">
        <is>
          <t>NORRBOTTENS LÄN</t>
        </is>
      </c>
      <c r="E329" t="inlineStr">
        <is>
          <t>LULEÅ</t>
        </is>
      </c>
      <c r="G329" t="n">
        <v>2.6</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46160</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33692-2025</t>
        </is>
      </c>
      <c r="B331" s="1" t="n">
        <v>45841.69819444444</v>
      </c>
      <c r="C331" s="1" t="n">
        <v>46160</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47937-2025</t>
        </is>
      </c>
      <c r="B332" s="1" t="n">
        <v>45932.56042824074</v>
      </c>
      <c r="C332" s="1" t="n">
        <v>46160</v>
      </c>
      <c r="D332" t="inlineStr">
        <is>
          <t>NORRBOTTENS LÄN</t>
        </is>
      </c>
      <c r="E332" t="inlineStr">
        <is>
          <t>LULEÅ</t>
        </is>
      </c>
      <c r="G332" t="n">
        <v>7</v>
      </c>
      <c r="H332" t="n">
        <v>0</v>
      </c>
      <c r="I332" t="n">
        <v>0</v>
      </c>
      <c r="J332" t="n">
        <v>0</v>
      </c>
      <c r="K332" t="n">
        <v>0</v>
      </c>
      <c r="L332" t="n">
        <v>0</v>
      </c>
      <c r="M332" t="n">
        <v>0</v>
      </c>
      <c r="N332" t="n">
        <v>0</v>
      </c>
      <c r="O332" t="n">
        <v>0</v>
      </c>
      <c r="P332" t="n">
        <v>0</v>
      </c>
      <c r="Q332" t="n">
        <v>0</v>
      </c>
      <c r="R332" s="2" t="inlineStr"/>
    </row>
    <row r="333" ht="15" customHeight="1">
      <c r="A333" t="inlineStr">
        <is>
          <t>A 47928-2025</t>
        </is>
      </c>
      <c r="B333" s="1" t="n">
        <v>45932.54988425926</v>
      </c>
      <c r="C333" s="1" t="n">
        <v>46160</v>
      </c>
      <c r="D333" t="inlineStr">
        <is>
          <t>NORRBOTTENS LÄN</t>
        </is>
      </c>
      <c r="E333" t="inlineStr">
        <is>
          <t>LULEÅ</t>
        </is>
      </c>
      <c r="G333" t="n">
        <v>4.4</v>
      </c>
      <c r="H333" t="n">
        <v>0</v>
      </c>
      <c r="I333" t="n">
        <v>0</v>
      </c>
      <c r="J333" t="n">
        <v>0</v>
      </c>
      <c r="K333" t="n">
        <v>0</v>
      </c>
      <c r="L333" t="n">
        <v>0</v>
      </c>
      <c r="M333" t="n">
        <v>0</v>
      </c>
      <c r="N333" t="n">
        <v>0</v>
      </c>
      <c r="O333" t="n">
        <v>0</v>
      </c>
      <c r="P333" t="n">
        <v>0</v>
      </c>
      <c r="Q333" t="n">
        <v>0</v>
      </c>
      <c r="R333" s="2" t="inlineStr"/>
    </row>
    <row r="334" ht="15" customHeight="1">
      <c r="A334" t="inlineStr">
        <is>
          <t>A 47849-2025</t>
        </is>
      </c>
      <c r="B334" s="1" t="n">
        <v>45932.38608796296</v>
      </c>
      <c r="C334" s="1" t="n">
        <v>46160</v>
      </c>
      <c r="D334" t="inlineStr">
        <is>
          <t>NORRBOTTENS LÄN</t>
        </is>
      </c>
      <c r="E334" t="inlineStr">
        <is>
          <t>LULEÅ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47888-2025</t>
        </is>
      </c>
      <c r="B335" s="1" t="n">
        <v>45932.46949074074</v>
      </c>
      <c r="C335" s="1" t="n">
        <v>46160</v>
      </c>
      <c r="D335" t="inlineStr">
        <is>
          <t>NORRBOTTENS LÄN</t>
        </is>
      </c>
      <c r="E335" t="inlineStr">
        <is>
          <t>LULEÅ</t>
        </is>
      </c>
      <c r="G335" t="n">
        <v>3.5</v>
      </c>
      <c r="H335" t="n">
        <v>0</v>
      </c>
      <c r="I335" t="n">
        <v>0</v>
      </c>
      <c r="J335" t="n">
        <v>0</v>
      </c>
      <c r="K335" t="n">
        <v>0</v>
      </c>
      <c r="L335" t="n">
        <v>0</v>
      </c>
      <c r="M335" t="n">
        <v>0</v>
      </c>
      <c r="N335" t="n">
        <v>0</v>
      </c>
      <c r="O335" t="n">
        <v>0</v>
      </c>
      <c r="P335" t="n">
        <v>0</v>
      </c>
      <c r="Q335" t="n">
        <v>0</v>
      </c>
      <c r="R335" s="2" t="inlineStr"/>
    </row>
    <row r="336" ht="15" customHeight="1">
      <c r="A336" t="inlineStr">
        <is>
          <t>A 33608-2025</t>
        </is>
      </c>
      <c r="B336" s="1" t="n">
        <v>45841.61747685185</v>
      </c>
      <c r="C336" s="1" t="n">
        <v>46160</v>
      </c>
      <c r="D336" t="inlineStr">
        <is>
          <t>NORRBOTTENS LÄN</t>
        </is>
      </c>
      <c r="E336" t="inlineStr">
        <is>
          <t>LULEÅ</t>
        </is>
      </c>
      <c r="G336" t="n">
        <v>3.8</v>
      </c>
      <c r="H336" t="n">
        <v>0</v>
      </c>
      <c r="I336" t="n">
        <v>0</v>
      </c>
      <c r="J336" t="n">
        <v>0</v>
      </c>
      <c r="K336" t="n">
        <v>0</v>
      </c>
      <c r="L336" t="n">
        <v>0</v>
      </c>
      <c r="M336" t="n">
        <v>0</v>
      </c>
      <c r="N336" t="n">
        <v>0</v>
      </c>
      <c r="O336" t="n">
        <v>0</v>
      </c>
      <c r="P336" t="n">
        <v>0</v>
      </c>
      <c r="Q336" t="n">
        <v>0</v>
      </c>
      <c r="R336" s="2" t="inlineStr"/>
    </row>
    <row r="337" ht="15" customHeight="1">
      <c r="A337" t="inlineStr">
        <is>
          <t>A 45182-2024</t>
        </is>
      </c>
      <c r="B337" s="1" t="n">
        <v>45575.66403935185</v>
      </c>
      <c r="C337" s="1" t="n">
        <v>46160</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51668-2022</t>
        </is>
      </c>
      <c r="B338" s="1" t="n">
        <v>44867</v>
      </c>
      <c r="C338" s="1" t="n">
        <v>46160</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33651-2025</t>
        </is>
      </c>
      <c r="B339" s="1" t="n">
        <v>45841.65722222222</v>
      </c>
      <c r="C339" s="1" t="n">
        <v>46160</v>
      </c>
      <c r="D339" t="inlineStr">
        <is>
          <t>NORRBOTTENS LÄN</t>
        </is>
      </c>
      <c r="E339" t="inlineStr">
        <is>
          <t>LULEÅ</t>
        </is>
      </c>
      <c r="G339" t="n">
        <v>15.5</v>
      </c>
      <c r="H339" t="n">
        <v>0</v>
      </c>
      <c r="I339" t="n">
        <v>0</v>
      </c>
      <c r="J339" t="n">
        <v>0</v>
      </c>
      <c r="K339" t="n">
        <v>0</v>
      </c>
      <c r="L339" t="n">
        <v>0</v>
      </c>
      <c r="M339" t="n">
        <v>0</v>
      </c>
      <c r="N339" t="n">
        <v>0</v>
      </c>
      <c r="O339" t="n">
        <v>0</v>
      </c>
      <c r="P339" t="n">
        <v>0</v>
      </c>
      <c r="Q339" t="n">
        <v>0</v>
      </c>
      <c r="R339" s="2" t="inlineStr"/>
    </row>
    <row r="340" ht="15" customHeight="1">
      <c r="A340" t="inlineStr">
        <is>
          <t>A 8022-2024</t>
        </is>
      </c>
      <c r="B340" s="1" t="n">
        <v>45350</v>
      </c>
      <c r="C340" s="1" t="n">
        <v>46160</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48547-2025</t>
        </is>
      </c>
      <c r="B341" s="1" t="n">
        <v>45936.42197916667</v>
      </c>
      <c r="C341" s="1" t="n">
        <v>46160</v>
      </c>
      <c r="D341" t="inlineStr">
        <is>
          <t>NORRBOTTENS LÄN</t>
        </is>
      </c>
      <c r="E341" t="inlineStr">
        <is>
          <t>LULEÅ</t>
        </is>
      </c>
      <c r="G341" t="n">
        <v>2.5</v>
      </c>
      <c r="H341" t="n">
        <v>0</v>
      </c>
      <c r="I341" t="n">
        <v>0</v>
      </c>
      <c r="J341" t="n">
        <v>0</v>
      </c>
      <c r="K341" t="n">
        <v>0</v>
      </c>
      <c r="L341" t="n">
        <v>0</v>
      </c>
      <c r="M341" t="n">
        <v>0</v>
      </c>
      <c r="N341" t="n">
        <v>0</v>
      </c>
      <c r="O341" t="n">
        <v>0</v>
      </c>
      <c r="P341" t="n">
        <v>0</v>
      </c>
      <c r="Q341" t="n">
        <v>0</v>
      </c>
      <c r="R341" s="2" t="inlineStr"/>
    </row>
    <row r="342" ht="15" customHeight="1">
      <c r="A342" t="inlineStr">
        <is>
          <t>A 48692-2025</t>
        </is>
      </c>
      <c r="B342" s="1" t="n">
        <v>45936.61344907407</v>
      </c>
      <c r="C342" s="1" t="n">
        <v>46160</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48726-2025</t>
        </is>
      </c>
      <c r="B343" s="1" t="n">
        <v>45936.65599537037</v>
      </c>
      <c r="C343" s="1" t="n">
        <v>46160</v>
      </c>
      <c r="D343" t="inlineStr">
        <is>
          <t>NORRBOTTENS LÄN</t>
        </is>
      </c>
      <c r="E343" t="inlineStr">
        <is>
          <t>LULEÅ</t>
        </is>
      </c>
      <c r="G343" t="n">
        <v>4.9</v>
      </c>
      <c r="H343" t="n">
        <v>0</v>
      </c>
      <c r="I343" t="n">
        <v>0</v>
      </c>
      <c r="J343" t="n">
        <v>0</v>
      </c>
      <c r="K343" t="n">
        <v>0</v>
      </c>
      <c r="L343" t="n">
        <v>0</v>
      </c>
      <c r="M343" t="n">
        <v>0</v>
      </c>
      <c r="N343" t="n">
        <v>0</v>
      </c>
      <c r="O343" t="n">
        <v>0</v>
      </c>
      <c r="P343" t="n">
        <v>0</v>
      </c>
      <c r="Q343" t="n">
        <v>0</v>
      </c>
      <c r="R343" s="2" t="inlineStr"/>
    </row>
    <row r="344" ht="15" customHeight="1">
      <c r="A344" t="inlineStr">
        <is>
          <t>A 28498-2024</t>
        </is>
      </c>
      <c r="B344" s="1" t="n">
        <v>45477.92725694444</v>
      </c>
      <c r="C344" s="1" t="n">
        <v>46160</v>
      </c>
      <c r="D344" t="inlineStr">
        <is>
          <t>NORRBOTTENS LÄN</t>
        </is>
      </c>
      <c r="E344" t="inlineStr">
        <is>
          <t>LULEÅ</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34565-2025</t>
        </is>
      </c>
      <c r="B345" s="1" t="n">
        <v>45847</v>
      </c>
      <c r="C345" s="1" t="n">
        <v>46160</v>
      </c>
      <c r="D345" t="inlineStr">
        <is>
          <t>NORRBOTTENS LÄN</t>
        </is>
      </c>
      <c r="E345" t="inlineStr">
        <is>
          <t>LULEÅ</t>
        </is>
      </c>
      <c r="G345" t="n">
        <v>10.2</v>
      </c>
      <c r="H345" t="n">
        <v>0</v>
      </c>
      <c r="I345" t="n">
        <v>0</v>
      </c>
      <c r="J345" t="n">
        <v>0</v>
      </c>
      <c r="K345" t="n">
        <v>0</v>
      </c>
      <c r="L345" t="n">
        <v>0</v>
      </c>
      <c r="M345" t="n">
        <v>0</v>
      </c>
      <c r="N345" t="n">
        <v>0</v>
      </c>
      <c r="O345" t="n">
        <v>0</v>
      </c>
      <c r="P345" t="n">
        <v>0</v>
      </c>
      <c r="Q345" t="n">
        <v>0</v>
      </c>
      <c r="R345" s="2" t="inlineStr"/>
    </row>
    <row r="346" ht="15" customHeight="1">
      <c r="A346" t="inlineStr">
        <is>
          <t>A 34655-2025</t>
        </is>
      </c>
      <c r="B346" s="1" t="n">
        <v>45847</v>
      </c>
      <c r="C346" s="1" t="n">
        <v>46160</v>
      </c>
      <c r="D346" t="inlineStr">
        <is>
          <t>NORRBOTTENS LÄN</t>
        </is>
      </c>
      <c r="E346" t="inlineStr">
        <is>
          <t>LULEÅ</t>
        </is>
      </c>
      <c r="G346" t="n">
        <v>2.7</v>
      </c>
      <c r="H346" t="n">
        <v>0</v>
      </c>
      <c r="I346" t="n">
        <v>0</v>
      </c>
      <c r="J346" t="n">
        <v>0</v>
      </c>
      <c r="K346" t="n">
        <v>0</v>
      </c>
      <c r="L346" t="n">
        <v>0</v>
      </c>
      <c r="M346" t="n">
        <v>0</v>
      </c>
      <c r="N346" t="n">
        <v>0</v>
      </c>
      <c r="O346" t="n">
        <v>0</v>
      </c>
      <c r="P346" t="n">
        <v>0</v>
      </c>
      <c r="Q346" t="n">
        <v>0</v>
      </c>
      <c r="R346" s="2" t="inlineStr"/>
    </row>
    <row r="347" ht="15" customHeight="1">
      <c r="A347" t="inlineStr">
        <is>
          <t>A 44324-2024</t>
        </is>
      </c>
      <c r="B347" s="1" t="n">
        <v>45573.59376157408</v>
      </c>
      <c r="C347" s="1" t="n">
        <v>46160</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48714-2025</t>
        </is>
      </c>
      <c r="B348" s="1" t="n">
        <v>45936.63619212963</v>
      </c>
      <c r="C348" s="1" t="n">
        <v>46160</v>
      </c>
      <c r="D348" t="inlineStr">
        <is>
          <t>NORRBOTTENS LÄN</t>
        </is>
      </c>
      <c r="E348" t="inlineStr">
        <is>
          <t>LULEÅ</t>
        </is>
      </c>
      <c r="G348" t="n">
        <v>3.3</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46160</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4347-2025</t>
        </is>
      </c>
      <c r="B350" s="1" t="n">
        <v>45685.92931712963</v>
      </c>
      <c r="C350" s="1" t="n">
        <v>46160</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51108-2024</t>
        </is>
      </c>
      <c r="B351" s="1" t="n">
        <v>45603.49142361111</v>
      </c>
      <c r="C351" s="1" t="n">
        <v>46160</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49194-2025</t>
        </is>
      </c>
      <c r="B352" s="1" t="n">
        <v>45938.40929398148</v>
      </c>
      <c r="C352" s="1" t="n">
        <v>46160</v>
      </c>
      <c r="D352" t="inlineStr">
        <is>
          <t>NORRBOTTENS LÄN</t>
        </is>
      </c>
      <c r="E352" t="inlineStr">
        <is>
          <t>LULEÅ</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54738-2024</t>
        </is>
      </c>
      <c r="B353" s="1" t="n">
        <v>45618.44334490741</v>
      </c>
      <c r="C353" s="1" t="n">
        <v>46160</v>
      </c>
      <c r="D353" t="inlineStr">
        <is>
          <t>NORRBOTTENS LÄN</t>
        </is>
      </c>
      <c r="E353" t="inlineStr">
        <is>
          <t>LULEÅ</t>
        </is>
      </c>
      <c r="G353" t="n">
        <v>4.7</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46160</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6386-2023</t>
        </is>
      </c>
      <c r="B355" s="1" t="n">
        <v>44960</v>
      </c>
      <c r="C355" s="1" t="n">
        <v>46160</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49448-2025</t>
        </is>
      </c>
      <c r="B356" s="1" t="n">
        <v>45938.95688657407</v>
      </c>
      <c r="C356" s="1" t="n">
        <v>46160</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54739-2024</t>
        </is>
      </c>
      <c r="B357" s="1" t="n">
        <v>45618.44335648148</v>
      </c>
      <c r="C357" s="1" t="n">
        <v>46160</v>
      </c>
      <c r="D357" t="inlineStr">
        <is>
          <t>NORRBOTTENS LÄN</t>
        </is>
      </c>
      <c r="E357" t="inlineStr">
        <is>
          <t>LULEÅ</t>
        </is>
      </c>
      <c r="G357" t="n">
        <v>4.8</v>
      </c>
      <c r="H357" t="n">
        <v>0</v>
      </c>
      <c r="I357" t="n">
        <v>0</v>
      </c>
      <c r="J357" t="n">
        <v>0</v>
      </c>
      <c r="K357" t="n">
        <v>0</v>
      </c>
      <c r="L357" t="n">
        <v>0</v>
      </c>
      <c r="M357" t="n">
        <v>0</v>
      </c>
      <c r="N357" t="n">
        <v>0</v>
      </c>
      <c r="O357" t="n">
        <v>0</v>
      </c>
      <c r="P357" t="n">
        <v>0</v>
      </c>
      <c r="Q357" t="n">
        <v>0</v>
      </c>
      <c r="R357" s="2" t="inlineStr"/>
    </row>
    <row r="358" ht="15" customHeight="1">
      <c r="A358" t="inlineStr">
        <is>
          <t>A 35682-2025</t>
        </is>
      </c>
      <c r="B358" s="1" t="n">
        <v>45859</v>
      </c>
      <c r="C358" s="1" t="n">
        <v>46160</v>
      </c>
      <c r="D358" t="inlineStr">
        <is>
          <t>NORRBOTTENS LÄN</t>
        </is>
      </c>
      <c r="E358" t="inlineStr">
        <is>
          <t>LULEÅ</t>
        </is>
      </c>
      <c r="G358" t="n">
        <v>5.2</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46160</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14447-2023</t>
        </is>
      </c>
      <c r="B360" s="1" t="n">
        <v>45012</v>
      </c>
      <c r="C360" s="1" t="n">
        <v>46160</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60121-2024</t>
        </is>
      </c>
      <c r="B361" s="1" t="n">
        <v>45642.58465277778</v>
      </c>
      <c r="C361" s="1" t="n">
        <v>46160</v>
      </c>
      <c r="D361" t="inlineStr">
        <is>
          <t>NORRBOTTENS LÄN</t>
        </is>
      </c>
      <c r="E361" t="inlineStr">
        <is>
          <t>LULEÅ</t>
        </is>
      </c>
      <c r="G361" t="n">
        <v>1.6</v>
      </c>
      <c r="H361" t="n">
        <v>0</v>
      </c>
      <c r="I361" t="n">
        <v>0</v>
      </c>
      <c r="J361" t="n">
        <v>0</v>
      </c>
      <c r="K361" t="n">
        <v>0</v>
      </c>
      <c r="L361" t="n">
        <v>0</v>
      </c>
      <c r="M361" t="n">
        <v>0</v>
      </c>
      <c r="N361" t="n">
        <v>0</v>
      </c>
      <c r="O361" t="n">
        <v>0</v>
      </c>
      <c r="P361" t="n">
        <v>0</v>
      </c>
      <c r="Q361" t="n">
        <v>0</v>
      </c>
      <c r="R361" s="2" t="inlineStr"/>
    </row>
    <row r="362" ht="15" customHeight="1">
      <c r="A362" t="inlineStr">
        <is>
          <t>A 50223-2025</t>
        </is>
      </c>
      <c r="B362" s="1" t="n">
        <v>45943.68868055556</v>
      </c>
      <c r="C362" s="1" t="n">
        <v>46160</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50099-2025</t>
        </is>
      </c>
      <c r="B363" s="1" t="n">
        <v>45943</v>
      </c>
      <c r="C363" s="1" t="n">
        <v>46160</v>
      </c>
      <c r="D363" t="inlineStr">
        <is>
          <t>NORRBOTTENS LÄN</t>
        </is>
      </c>
      <c r="E363" t="inlineStr">
        <is>
          <t>LULEÅ</t>
        </is>
      </c>
      <c r="G363" t="n">
        <v>11.6</v>
      </c>
      <c r="H363" t="n">
        <v>0</v>
      </c>
      <c r="I363" t="n">
        <v>0</v>
      </c>
      <c r="J363" t="n">
        <v>0</v>
      </c>
      <c r="K363" t="n">
        <v>0</v>
      </c>
      <c r="L363" t="n">
        <v>0</v>
      </c>
      <c r="M363" t="n">
        <v>0</v>
      </c>
      <c r="N363" t="n">
        <v>0</v>
      </c>
      <c r="O363" t="n">
        <v>0</v>
      </c>
      <c r="P363" t="n">
        <v>0</v>
      </c>
      <c r="Q363" t="n">
        <v>0</v>
      </c>
      <c r="R363" s="2" t="inlineStr"/>
    </row>
    <row r="364" ht="15" customHeight="1">
      <c r="A364" t="inlineStr">
        <is>
          <t>A 57518-2024</t>
        </is>
      </c>
      <c r="B364" s="1" t="n">
        <v>45629</v>
      </c>
      <c r="C364" s="1" t="n">
        <v>46160</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46160</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46160</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50867-2025</t>
        </is>
      </c>
      <c r="B367" s="1" t="n">
        <v>45946.59561342592</v>
      </c>
      <c r="C367" s="1" t="n">
        <v>46160</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row>
    <row r="368" ht="15" customHeight="1">
      <c r="A368" t="inlineStr">
        <is>
          <t>A 50518-2025</t>
        </is>
      </c>
      <c r="B368" s="1" t="n">
        <v>45945.4567824074</v>
      </c>
      <c r="C368" s="1" t="n">
        <v>46160</v>
      </c>
      <c r="D368" t="inlineStr">
        <is>
          <t>NORRBOTTENS LÄN</t>
        </is>
      </c>
      <c r="E368" t="inlineStr">
        <is>
          <t>LULEÅ</t>
        </is>
      </c>
      <c r="G368" t="n">
        <v>4.1</v>
      </c>
      <c r="H368" t="n">
        <v>0</v>
      </c>
      <c r="I368" t="n">
        <v>0</v>
      </c>
      <c r="J368" t="n">
        <v>0</v>
      </c>
      <c r="K368" t="n">
        <v>0</v>
      </c>
      <c r="L368" t="n">
        <v>0</v>
      </c>
      <c r="M368" t="n">
        <v>0</v>
      </c>
      <c r="N368" t="n">
        <v>0</v>
      </c>
      <c r="O368" t="n">
        <v>0</v>
      </c>
      <c r="P368" t="n">
        <v>0</v>
      </c>
      <c r="Q368" t="n">
        <v>0</v>
      </c>
      <c r="R368" s="2" t="inlineStr"/>
    </row>
    <row r="369" ht="15" customHeight="1">
      <c r="A369" t="inlineStr">
        <is>
          <t>A 50866-2025</t>
        </is>
      </c>
      <c r="B369" s="1" t="n">
        <v>45946.59548611111</v>
      </c>
      <c r="C369" s="1" t="n">
        <v>46160</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50914-2025</t>
        </is>
      </c>
      <c r="B370" s="1" t="n">
        <v>45946.65719907408</v>
      </c>
      <c r="C370" s="1" t="n">
        <v>46160</v>
      </c>
      <c r="D370" t="inlineStr">
        <is>
          <t>NORRBOTTENS LÄN</t>
        </is>
      </c>
      <c r="E370" t="inlineStr">
        <is>
          <t>LULEÅ</t>
        </is>
      </c>
      <c r="G370" t="n">
        <v>6.9</v>
      </c>
      <c r="H370" t="n">
        <v>0</v>
      </c>
      <c r="I370" t="n">
        <v>0</v>
      </c>
      <c r="J370" t="n">
        <v>0</v>
      </c>
      <c r="K370" t="n">
        <v>0</v>
      </c>
      <c r="L370" t="n">
        <v>0</v>
      </c>
      <c r="M370" t="n">
        <v>0</v>
      </c>
      <c r="N370" t="n">
        <v>0</v>
      </c>
      <c r="O370" t="n">
        <v>0</v>
      </c>
      <c r="P370" t="n">
        <v>0</v>
      </c>
      <c r="Q370" t="n">
        <v>0</v>
      </c>
      <c r="R370" s="2" t="inlineStr"/>
    </row>
    <row r="371" ht="15" customHeight="1">
      <c r="A371" t="inlineStr">
        <is>
          <t>A 50845-2025</t>
        </is>
      </c>
      <c r="B371" s="1" t="n">
        <v>45946.5737037037</v>
      </c>
      <c r="C371" s="1" t="n">
        <v>46160</v>
      </c>
      <c r="D371" t="inlineStr">
        <is>
          <t>NORRBOTTENS LÄN</t>
        </is>
      </c>
      <c r="E371" t="inlineStr">
        <is>
          <t>LULEÅ</t>
        </is>
      </c>
      <c r="G371" t="n">
        <v>11.7</v>
      </c>
      <c r="H371" t="n">
        <v>0</v>
      </c>
      <c r="I371" t="n">
        <v>0</v>
      </c>
      <c r="J371" t="n">
        <v>0</v>
      </c>
      <c r="K371" t="n">
        <v>0</v>
      </c>
      <c r="L371" t="n">
        <v>0</v>
      </c>
      <c r="M371" t="n">
        <v>0</v>
      </c>
      <c r="N371" t="n">
        <v>0</v>
      </c>
      <c r="O371" t="n">
        <v>0</v>
      </c>
      <c r="P371" t="n">
        <v>0</v>
      </c>
      <c r="Q371" t="n">
        <v>0</v>
      </c>
      <c r="R371" s="2" t="inlineStr"/>
    </row>
    <row r="372" ht="15" customHeight="1">
      <c r="A372" t="inlineStr">
        <is>
          <t>A 3185-2025</t>
        </is>
      </c>
      <c r="B372" s="1" t="n">
        <v>45679.40358796297</v>
      </c>
      <c r="C372" s="1" t="n">
        <v>46160</v>
      </c>
      <c r="D372" t="inlineStr">
        <is>
          <t>NORRBOTTENS LÄN</t>
        </is>
      </c>
      <c r="E372" t="inlineStr">
        <is>
          <t>LULEÅ</t>
        </is>
      </c>
      <c r="G372" t="n">
        <v>3.2</v>
      </c>
      <c r="H372" t="n">
        <v>0</v>
      </c>
      <c r="I372" t="n">
        <v>0</v>
      </c>
      <c r="J372" t="n">
        <v>0</v>
      </c>
      <c r="K372" t="n">
        <v>0</v>
      </c>
      <c r="L372" t="n">
        <v>0</v>
      </c>
      <c r="M372" t="n">
        <v>0</v>
      </c>
      <c r="N372" t="n">
        <v>0</v>
      </c>
      <c r="O372" t="n">
        <v>0</v>
      </c>
      <c r="P372" t="n">
        <v>0</v>
      </c>
      <c r="Q372" t="n">
        <v>0</v>
      </c>
      <c r="R372" s="2" t="inlineStr"/>
    </row>
    <row r="373" ht="15" customHeight="1">
      <c r="A373" t="inlineStr">
        <is>
          <t>A 50524-2025</t>
        </is>
      </c>
      <c r="B373" s="1" t="n">
        <v>45945.46797453704</v>
      </c>
      <c r="C373" s="1" t="n">
        <v>46160</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23730-2023</t>
        </is>
      </c>
      <c r="B374" s="1" t="n">
        <v>45077</v>
      </c>
      <c r="C374" s="1" t="n">
        <v>46160</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50912-2025</t>
        </is>
      </c>
      <c r="B375" s="1" t="n">
        <v>45946.65706018519</v>
      </c>
      <c r="C375" s="1" t="n">
        <v>46160</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50527-2025</t>
        </is>
      </c>
      <c r="B376" s="1" t="n">
        <v>45945.47056712963</v>
      </c>
      <c r="C376" s="1" t="n">
        <v>46160</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50572-2025</t>
        </is>
      </c>
      <c r="B377" s="1" t="n">
        <v>45945.57474537037</v>
      </c>
      <c r="C377" s="1" t="n">
        <v>46160</v>
      </c>
      <c r="D377" t="inlineStr">
        <is>
          <t>NORRBOTTENS LÄN</t>
        </is>
      </c>
      <c r="E377" t="inlineStr">
        <is>
          <t>LULEÅ</t>
        </is>
      </c>
      <c r="G377" t="n">
        <v>4</v>
      </c>
      <c r="H377" t="n">
        <v>0</v>
      </c>
      <c r="I377" t="n">
        <v>0</v>
      </c>
      <c r="J377" t="n">
        <v>0</v>
      </c>
      <c r="K377" t="n">
        <v>0</v>
      </c>
      <c r="L377" t="n">
        <v>0</v>
      </c>
      <c r="M377" t="n">
        <v>0</v>
      </c>
      <c r="N377" t="n">
        <v>0</v>
      </c>
      <c r="O377" t="n">
        <v>0</v>
      </c>
      <c r="P377" t="n">
        <v>0</v>
      </c>
      <c r="Q377" t="n">
        <v>0</v>
      </c>
      <c r="R377" s="2" t="inlineStr"/>
    </row>
    <row r="378" ht="15" customHeight="1">
      <c r="A378" t="inlineStr">
        <is>
          <t>A 51391-2025</t>
        </is>
      </c>
      <c r="B378" s="1" t="n">
        <v>45950.46918981482</v>
      </c>
      <c r="C378" s="1" t="n">
        <v>46160</v>
      </c>
      <c r="D378" t="inlineStr">
        <is>
          <t>NORRBOTTENS LÄN</t>
        </is>
      </c>
      <c r="E378" t="inlineStr">
        <is>
          <t>LULEÅ</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61488-2024</t>
        </is>
      </c>
      <c r="B379" s="1" t="n">
        <v>45646.54873842592</v>
      </c>
      <c r="C379" s="1" t="n">
        <v>46160</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50989-2025</t>
        </is>
      </c>
      <c r="B380" s="1" t="n">
        <v>45947.34578703704</v>
      </c>
      <c r="C380" s="1" t="n">
        <v>46160</v>
      </c>
      <c r="D380" t="inlineStr">
        <is>
          <t>NORRBOTTENS LÄN</t>
        </is>
      </c>
      <c r="E380" t="inlineStr">
        <is>
          <t>LULEÅ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822-2025</t>
        </is>
      </c>
      <c r="B381" s="1" t="n">
        <v>45664</v>
      </c>
      <c r="C381" s="1" t="n">
        <v>46160</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656-2025</t>
        </is>
      </c>
      <c r="B382" s="1" t="n">
        <v>45661</v>
      </c>
      <c r="C382" s="1" t="n">
        <v>46160</v>
      </c>
      <c r="D382" t="inlineStr">
        <is>
          <t>NORRBOTTENS LÄN</t>
        </is>
      </c>
      <c r="E382" t="inlineStr">
        <is>
          <t>LULEÅ</t>
        </is>
      </c>
      <c r="G382" t="n">
        <v>0.8</v>
      </c>
      <c r="H382" t="n">
        <v>0</v>
      </c>
      <c r="I382" t="n">
        <v>0</v>
      </c>
      <c r="J382" t="n">
        <v>0</v>
      </c>
      <c r="K382" t="n">
        <v>0</v>
      </c>
      <c r="L382" t="n">
        <v>0</v>
      </c>
      <c r="M382" t="n">
        <v>0</v>
      </c>
      <c r="N382" t="n">
        <v>0</v>
      </c>
      <c r="O382" t="n">
        <v>0</v>
      </c>
      <c r="P382" t="n">
        <v>0</v>
      </c>
      <c r="Q382" t="n">
        <v>0</v>
      </c>
      <c r="R382" s="2" t="inlineStr"/>
    </row>
    <row r="383" ht="15" customHeight="1">
      <c r="A383" t="inlineStr">
        <is>
          <t>A 17898-2025</t>
        </is>
      </c>
      <c r="B383" s="1" t="n">
        <v>45758</v>
      </c>
      <c r="C383" s="1" t="n">
        <v>46160</v>
      </c>
      <c r="D383" t="inlineStr">
        <is>
          <t>NORRBOTTENS LÄN</t>
        </is>
      </c>
      <c r="E383" t="inlineStr">
        <is>
          <t>LULEÅ</t>
        </is>
      </c>
      <c r="G383" t="n">
        <v>2.1</v>
      </c>
      <c r="H383" t="n">
        <v>0</v>
      </c>
      <c r="I383" t="n">
        <v>0</v>
      </c>
      <c r="J383" t="n">
        <v>0</v>
      </c>
      <c r="K383" t="n">
        <v>0</v>
      </c>
      <c r="L383" t="n">
        <v>0</v>
      </c>
      <c r="M383" t="n">
        <v>0</v>
      </c>
      <c r="N383" t="n">
        <v>0</v>
      </c>
      <c r="O383" t="n">
        <v>0</v>
      </c>
      <c r="P383" t="n">
        <v>0</v>
      </c>
      <c r="Q383" t="n">
        <v>0</v>
      </c>
      <c r="R383" s="2" t="inlineStr"/>
    </row>
    <row r="384" ht="15" customHeight="1">
      <c r="A384" t="inlineStr">
        <is>
          <t>A 31347-2023</t>
        </is>
      </c>
      <c r="B384" s="1" t="n">
        <v>45104</v>
      </c>
      <c r="C384" s="1" t="n">
        <v>46160</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46160</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23632-2021</t>
        </is>
      </c>
      <c r="B386" s="1" t="n">
        <v>44334</v>
      </c>
      <c r="C386" s="1" t="n">
        <v>46160</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35686-2025</t>
        </is>
      </c>
      <c r="B387" s="1" t="n">
        <v>45859.92579861111</v>
      </c>
      <c r="C387" s="1" t="n">
        <v>46160</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51136-2025</t>
        </is>
      </c>
      <c r="B388" s="1" t="n">
        <v>45947.55820601852</v>
      </c>
      <c r="C388" s="1" t="n">
        <v>46160</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50988-2025</t>
        </is>
      </c>
      <c r="B389" s="1" t="n">
        <v>45947.34571759259</v>
      </c>
      <c r="C389" s="1" t="n">
        <v>46160</v>
      </c>
      <c r="D389" t="inlineStr">
        <is>
          <t>NORRBOTTENS LÄN</t>
        </is>
      </c>
      <c r="E389" t="inlineStr">
        <is>
          <t>LULEÅ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61504-2024</t>
        </is>
      </c>
      <c r="B390" s="1" t="n">
        <v>45646.56238425926</v>
      </c>
      <c r="C390" s="1" t="n">
        <v>46160</v>
      </c>
      <c r="D390" t="inlineStr">
        <is>
          <t>NORRBOTTENS LÄN</t>
        </is>
      </c>
      <c r="E390" t="inlineStr">
        <is>
          <t>LULEÅ</t>
        </is>
      </c>
      <c r="G390" t="n">
        <v>3.1</v>
      </c>
      <c r="H390" t="n">
        <v>0</v>
      </c>
      <c r="I390" t="n">
        <v>0</v>
      </c>
      <c r="J390" t="n">
        <v>0</v>
      </c>
      <c r="K390" t="n">
        <v>0</v>
      </c>
      <c r="L390" t="n">
        <v>0</v>
      </c>
      <c r="M390" t="n">
        <v>0</v>
      </c>
      <c r="N390" t="n">
        <v>0</v>
      </c>
      <c r="O390" t="n">
        <v>0</v>
      </c>
      <c r="P390" t="n">
        <v>0</v>
      </c>
      <c r="Q390" t="n">
        <v>0</v>
      </c>
      <c r="R390" s="2" t="inlineStr"/>
    </row>
    <row r="391" ht="15" customHeight="1">
      <c r="A391" t="inlineStr">
        <is>
          <t>A 51465-2025</t>
        </is>
      </c>
      <c r="B391" s="1" t="n">
        <v>45950.61075231482</v>
      </c>
      <c r="C391" s="1" t="n">
        <v>46160</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8764-2025</t>
        </is>
      </c>
      <c r="B392" s="1" t="n">
        <v>45712.58021990741</v>
      </c>
      <c r="C392" s="1" t="n">
        <v>46160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31067-2023</t>
        </is>
      </c>
      <c r="B393" s="1" t="n">
        <v>45113</v>
      </c>
      <c r="C393" s="1" t="n">
        <v>46160</v>
      </c>
      <c r="D393" t="inlineStr">
        <is>
          <t>NORRBOTTENS LÄN</t>
        </is>
      </c>
      <c r="E393" t="inlineStr">
        <is>
          <t>LULEÅ</t>
        </is>
      </c>
      <c r="G393" t="n">
        <v>0.7</v>
      </c>
      <c r="H393" t="n">
        <v>0</v>
      </c>
      <c r="I393" t="n">
        <v>0</v>
      </c>
      <c r="J393" t="n">
        <v>0</v>
      </c>
      <c r="K393" t="n">
        <v>0</v>
      </c>
      <c r="L393" t="n">
        <v>0</v>
      </c>
      <c r="M393" t="n">
        <v>0</v>
      </c>
      <c r="N393" t="n">
        <v>0</v>
      </c>
      <c r="O393" t="n">
        <v>0</v>
      </c>
      <c r="P393" t="n">
        <v>0</v>
      </c>
      <c r="Q393" t="n">
        <v>0</v>
      </c>
      <c r="R393" s="2" t="inlineStr"/>
    </row>
    <row r="394" ht="15" customHeight="1">
      <c r="A394" t="inlineStr">
        <is>
          <t>A 12549-2024</t>
        </is>
      </c>
      <c r="B394" s="1" t="n">
        <v>45379</v>
      </c>
      <c r="C394" s="1" t="n">
        <v>46160</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4123-2024</t>
        </is>
      </c>
      <c r="B395" s="1" t="n">
        <v>45323</v>
      </c>
      <c r="C395" s="1" t="n">
        <v>46160</v>
      </c>
      <c r="D395" t="inlineStr">
        <is>
          <t>NORRBOTTENS LÄN</t>
        </is>
      </c>
      <c r="E395" t="inlineStr">
        <is>
          <t>LULEÅ</t>
        </is>
      </c>
      <c r="G395" t="n">
        <v>5.3</v>
      </c>
      <c r="H395" t="n">
        <v>0</v>
      </c>
      <c r="I395" t="n">
        <v>0</v>
      </c>
      <c r="J395" t="n">
        <v>0</v>
      </c>
      <c r="K395" t="n">
        <v>0</v>
      </c>
      <c r="L395" t="n">
        <v>0</v>
      </c>
      <c r="M395" t="n">
        <v>0</v>
      </c>
      <c r="N395" t="n">
        <v>0</v>
      </c>
      <c r="O395" t="n">
        <v>0</v>
      </c>
      <c r="P395" t="n">
        <v>0</v>
      </c>
      <c r="Q395" t="n">
        <v>0</v>
      </c>
      <c r="R395" s="2" t="inlineStr"/>
    </row>
    <row r="396" ht="15" customHeight="1">
      <c r="A396" t="inlineStr">
        <is>
          <t>A 55076-2024</t>
        </is>
      </c>
      <c r="B396" s="1" t="n">
        <v>45621.42574074074</v>
      </c>
      <c r="C396" s="1" t="n">
        <v>46160</v>
      </c>
      <c r="D396" t="inlineStr">
        <is>
          <t>NORRBOTTENS LÄN</t>
        </is>
      </c>
      <c r="E396" t="inlineStr">
        <is>
          <t>LULEÅ</t>
        </is>
      </c>
      <c r="G396" t="n">
        <v>6.2</v>
      </c>
      <c r="H396" t="n">
        <v>0</v>
      </c>
      <c r="I396" t="n">
        <v>0</v>
      </c>
      <c r="J396" t="n">
        <v>0</v>
      </c>
      <c r="K396" t="n">
        <v>0</v>
      </c>
      <c r="L396" t="n">
        <v>0</v>
      </c>
      <c r="M396" t="n">
        <v>0</v>
      </c>
      <c r="N396" t="n">
        <v>0</v>
      </c>
      <c r="O396" t="n">
        <v>0</v>
      </c>
      <c r="P396" t="n">
        <v>0</v>
      </c>
      <c r="Q396" t="n">
        <v>0</v>
      </c>
      <c r="R396" s="2" t="inlineStr"/>
    </row>
    <row r="397" ht="15" customHeight="1">
      <c r="A397" t="inlineStr">
        <is>
          <t>A 51902-2025</t>
        </is>
      </c>
      <c r="B397" s="1" t="n">
        <v>45952.44763888889</v>
      </c>
      <c r="C397" s="1" t="n">
        <v>46160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51981-2025</t>
        </is>
      </c>
      <c r="B398" s="1" t="n">
        <v>45952</v>
      </c>
      <c r="C398" s="1" t="n">
        <v>46160</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5342-2025</t>
        </is>
      </c>
      <c r="B399" s="1" t="n">
        <v>45692.55262731481</v>
      </c>
      <c r="C399" s="1" t="n">
        <v>46160</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17439-2023</t>
        </is>
      </c>
      <c r="B400" s="1" t="n">
        <v>45035.92714120371</v>
      </c>
      <c r="C400" s="1" t="n">
        <v>46160</v>
      </c>
      <c r="D400" t="inlineStr">
        <is>
          <t>NORRBOTTENS LÄN</t>
        </is>
      </c>
      <c r="E400" t="inlineStr">
        <is>
          <t>LULEÅ</t>
        </is>
      </c>
      <c r="G400" t="n">
        <v>1.5</v>
      </c>
      <c r="H400" t="n">
        <v>0</v>
      </c>
      <c r="I400" t="n">
        <v>0</v>
      </c>
      <c r="J400" t="n">
        <v>0</v>
      </c>
      <c r="K400" t="n">
        <v>0</v>
      </c>
      <c r="L400" t="n">
        <v>0</v>
      </c>
      <c r="M400" t="n">
        <v>0</v>
      </c>
      <c r="N400" t="n">
        <v>0</v>
      </c>
      <c r="O400" t="n">
        <v>0</v>
      </c>
      <c r="P400" t="n">
        <v>0</v>
      </c>
      <c r="Q400" t="n">
        <v>0</v>
      </c>
      <c r="R400" s="2" t="inlineStr"/>
    </row>
    <row r="401" ht="15" customHeight="1">
      <c r="A401" t="inlineStr">
        <is>
          <t>A 6957-2025</t>
        </is>
      </c>
      <c r="B401" s="1" t="n">
        <v>45701.49048611111</v>
      </c>
      <c r="C401" s="1" t="n">
        <v>46160</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46160</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38885-2023</t>
        </is>
      </c>
      <c r="B403" s="1" t="n">
        <v>45161</v>
      </c>
      <c r="C403" s="1" t="n">
        <v>46160</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52549-2025</t>
        </is>
      </c>
      <c r="B404" s="1" t="n">
        <v>45954.55297453704</v>
      </c>
      <c r="C404" s="1" t="n">
        <v>46160</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46869-2024</t>
        </is>
      </c>
      <c r="B405" s="1" t="n">
        <v>45583</v>
      </c>
      <c r="C405" s="1" t="n">
        <v>46160</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46160</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52318-2025</t>
        </is>
      </c>
      <c r="B407" s="1" t="n">
        <v>45953.65693287037</v>
      </c>
      <c r="C407" s="1" t="n">
        <v>46160</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731-2025</t>
        </is>
      </c>
      <c r="B408" s="1" t="n">
        <v>45664</v>
      </c>
      <c r="C408" s="1" t="n">
        <v>46160</v>
      </c>
      <c r="D408" t="inlineStr">
        <is>
          <t>NORRBOTTENS LÄN</t>
        </is>
      </c>
      <c r="E408" t="inlineStr">
        <is>
          <t>LULEÅ</t>
        </is>
      </c>
      <c r="G408" t="n">
        <v>0.4</v>
      </c>
      <c r="H408" t="n">
        <v>0</v>
      </c>
      <c r="I408" t="n">
        <v>0</v>
      </c>
      <c r="J408" t="n">
        <v>0</v>
      </c>
      <c r="K408" t="n">
        <v>0</v>
      </c>
      <c r="L408" t="n">
        <v>0</v>
      </c>
      <c r="M408" t="n">
        <v>0</v>
      </c>
      <c r="N408" t="n">
        <v>0</v>
      </c>
      <c r="O408" t="n">
        <v>0</v>
      </c>
      <c r="P408" t="n">
        <v>0</v>
      </c>
      <c r="Q408" t="n">
        <v>0</v>
      </c>
      <c r="R408" s="2" t="inlineStr"/>
    </row>
    <row r="409" ht="15" customHeight="1">
      <c r="A409" t="inlineStr">
        <is>
          <t>A 53002-2025</t>
        </is>
      </c>
      <c r="B409" s="1" t="n">
        <v>45957</v>
      </c>
      <c r="C409" s="1" t="n">
        <v>46160</v>
      </c>
      <c r="D409" t="inlineStr">
        <is>
          <t>NORRBOTTENS LÄN</t>
        </is>
      </c>
      <c r="E409" t="inlineStr">
        <is>
          <t>LULEÅ</t>
        </is>
      </c>
      <c r="G409" t="n">
        <v>19.7</v>
      </c>
      <c r="H409" t="n">
        <v>0</v>
      </c>
      <c r="I409" t="n">
        <v>0</v>
      </c>
      <c r="J409" t="n">
        <v>0</v>
      </c>
      <c r="K409" t="n">
        <v>0</v>
      </c>
      <c r="L409" t="n">
        <v>0</v>
      </c>
      <c r="M409" t="n">
        <v>0</v>
      </c>
      <c r="N409" t="n">
        <v>0</v>
      </c>
      <c r="O409" t="n">
        <v>0</v>
      </c>
      <c r="P409" t="n">
        <v>0</v>
      </c>
      <c r="Q409" t="n">
        <v>0</v>
      </c>
      <c r="R409" s="2" t="inlineStr"/>
    </row>
    <row r="410" ht="15" customHeight="1">
      <c r="A410" t="inlineStr">
        <is>
          <t>A 53003-2025</t>
        </is>
      </c>
      <c r="B410" s="1" t="n">
        <v>45957</v>
      </c>
      <c r="C410" s="1" t="n">
        <v>46160</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52684-2025</t>
        </is>
      </c>
      <c r="B411" s="1" t="n">
        <v>45956.34519675926</v>
      </c>
      <c r="C411" s="1" t="n">
        <v>46160</v>
      </c>
      <c r="D411" t="inlineStr">
        <is>
          <t>NORRBOTTENS LÄN</t>
        </is>
      </c>
      <c r="E411" t="inlineStr">
        <is>
          <t>LULEÅ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52687-2025</t>
        </is>
      </c>
      <c r="B412" s="1" t="n">
        <v>45956.36496527777</v>
      </c>
      <c r="C412" s="1" t="n">
        <v>46160</v>
      </c>
      <c r="D412" t="inlineStr">
        <is>
          <t>NORRBOTTENS LÄN</t>
        </is>
      </c>
      <c r="E412" t="inlineStr">
        <is>
          <t>LULEÅ</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53264-2025</t>
        </is>
      </c>
      <c r="B413" s="1" t="n">
        <v>45958.67831018518</v>
      </c>
      <c r="C413" s="1" t="n">
        <v>46160</v>
      </c>
      <c r="D413" t="inlineStr">
        <is>
          <t>NORRBOTTENS LÄN</t>
        </is>
      </c>
      <c r="E413" t="inlineStr">
        <is>
          <t>LULEÅ</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46160</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52677-2025</t>
        </is>
      </c>
      <c r="B415" s="1" t="n">
        <v>45956.34443287037</v>
      </c>
      <c r="C415" s="1" t="n">
        <v>46160</v>
      </c>
      <c r="D415" t="inlineStr">
        <is>
          <t>NORRBOTTENS LÄN</t>
        </is>
      </c>
      <c r="E415" t="inlineStr">
        <is>
          <t>LULEÅ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46160</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52678-2025</t>
        </is>
      </c>
      <c r="B417" s="1" t="n">
        <v>45956.34459490741</v>
      </c>
      <c r="C417" s="1" t="n">
        <v>46160</v>
      </c>
      <c r="D417" t="inlineStr">
        <is>
          <t>NORRBOTTENS LÄN</t>
        </is>
      </c>
      <c r="E417" t="inlineStr">
        <is>
          <t>LULEÅ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52953-2025</t>
        </is>
      </c>
      <c r="B418" s="1" t="n">
        <v>45957.65459490741</v>
      </c>
      <c r="C418" s="1" t="n">
        <v>46160</v>
      </c>
      <c r="D418" t="inlineStr">
        <is>
          <t>NORRBOTTENS LÄN</t>
        </is>
      </c>
      <c r="E418" t="inlineStr">
        <is>
          <t>LULEÅ</t>
        </is>
      </c>
      <c r="G418" t="n">
        <v>11.8</v>
      </c>
      <c r="H418" t="n">
        <v>0</v>
      </c>
      <c r="I418" t="n">
        <v>0</v>
      </c>
      <c r="J418" t="n">
        <v>0</v>
      </c>
      <c r="K418" t="n">
        <v>0</v>
      </c>
      <c r="L418" t="n">
        <v>0</v>
      </c>
      <c r="M418" t="n">
        <v>0</v>
      </c>
      <c r="N418" t="n">
        <v>0</v>
      </c>
      <c r="O418" t="n">
        <v>0</v>
      </c>
      <c r="P418" t="n">
        <v>0</v>
      </c>
      <c r="Q418" t="n">
        <v>0</v>
      </c>
      <c r="R418" s="2" t="inlineStr"/>
    </row>
    <row r="419" ht="15" customHeight="1">
      <c r="A419" t="inlineStr">
        <is>
          <t>A 35962-2021</t>
        </is>
      </c>
      <c r="B419" s="1" t="n">
        <v>44385</v>
      </c>
      <c r="C419" s="1" t="n">
        <v>46160</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53704-2025</t>
        </is>
      </c>
      <c r="B420" s="1" t="n">
        <v>45960.60210648148</v>
      </c>
      <c r="C420" s="1" t="n">
        <v>46160</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53780-2025</t>
        </is>
      </c>
      <c r="B421" s="1" t="n">
        <v>45960.6988425926</v>
      </c>
      <c r="C421" s="1" t="n">
        <v>46160</v>
      </c>
      <c r="D421" t="inlineStr">
        <is>
          <t>NORRBOTTENS LÄN</t>
        </is>
      </c>
      <c r="E421" t="inlineStr">
        <is>
          <t>LULEÅ</t>
        </is>
      </c>
      <c r="G421" t="n">
        <v>5.2</v>
      </c>
      <c r="H421" t="n">
        <v>0</v>
      </c>
      <c r="I421" t="n">
        <v>0</v>
      </c>
      <c r="J421" t="n">
        <v>0</v>
      </c>
      <c r="K421" t="n">
        <v>0</v>
      </c>
      <c r="L421" t="n">
        <v>0</v>
      </c>
      <c r="M421" t="n">
        <v>0</v>
      </c>
      <c r="N421" t="n">
        <v>0</v>
      </c>
      <c r="O421" t="n">
        <v>0</v>
      </c>
      <c r="P421" t="n">
        <v>0</v>
      </c>
      <c r="Q421" t="n">
        <v>0</v>
      </c>
      <c r="R421" s="2" t="inlineStr"/>
    </row>
    <row r="422" ht="15" customHeight="1">
      <c r="A422" t="inlineStr">
        <is>
          <t>A 7505-2026</t>
        </is>
      </c>
      <c r="B422" s="1" t="n">
        <v>46059.57208333333</v>
      </c>
      <c r="C422" s="1" t="n">
        <v>46160</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37783-2025</t>
        </is>
      </c>
      <c r="B423" s="1" t="n">
        <v>45880.94430555555</v>
      </c>
      <c r="C423" s="1" t="n">
        <v>46160</v>
      </c>
      <c r="D423" t="inlineStr">
        <is>
          <t>NORRBOTTENS LÄN</t>
        </is>
      </c>
      <c r="E423" t="inlineStr">
        <is>
          <t>LULEÅ</t>
        </is>
      </c>
      <c r="G423" t="n">
        <v>7.2</v>
      </c>
      <c r="H423" t="n">
        <v>0</v>
      </c>
      <c r="I423" t="n">
        <v>0</v>
      </c>
      <c r="J423" t="n">
        <v>0</v>
      </c>
      <c r="K423" t="n">
        <v>0</v>
      </c>
      <c r="L423" t="n">
        <v>0</v>
      </c>
      <c r="M423" t="n">
        <v>0</v>
      </c>
      <c r="N423" t="n">
        <v>0</v>
      </c>
      <c r="O423" t="n">
        <v>0</v>
      </c>
      <c r="P423" t="n">
        <v>0</v>
      </c>
      <c r="Q423" t="n">
        <v>0</v>
      </c>
      <c r="R423" s="2" t="inlineStr"/>
    </row>
    <row r="424" ht="15" customHeight="1">
      <c r="A424" t="inlineStr">
        <is>
          <t>A 54879-2021</t>
        </is>
      </c>
      <c r="B424" s="1" t="n">
        <v>44473</v>
      </c>
      <c r="C424" s="1" t="n">
        <v>46160</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5131-2025</t>
        </is>
      </c>
      <c r="B425" s="1" t="n">
        <v>45691.57331018519</v>
      </c>
      <c r="C425" s="1" t="n">
        <v>46160</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37948-2025</t>
        </is>
      </c>
      <c r="B426" s="1" t="n">
        <v>45881.61543981481</v>
      </c>
      <c r="C426" s="1" t="n">
        <v>46160</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54280-2025</t>
        </is>
      </c>
      <c r="B427" s="1" t="n">
        <v>45964.70950231481</v>
      </c>
      <c r="C427" s="1" t="n">
        <v>46160</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37784-2025</t>
        </is>
      </c>
      <c r="B428" s="1" t="n">
        <v>45880.95241898148</v>
      </c>
      <c r="C428" s="1" t="n">
        <v>46160</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46160</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54279-2025</t>
        </is>
      </c>
      <c r="B430" s="1" t="n">
        <v>45964.70471064815</v>
      </c>
      <c r="C430" s="1" t="n">
        <v>46160</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30120-2025</t>
        </is>
      </c>
      <c r="B431" s="1" t="n">
        <v>45826</v>
      </c>
      <c r="C431" s="1" t="n">
        <v>46160</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c r="U431">
        <f>HYPERLINK("https://klasma.github.io/Logging_2580/knärot/A 30120-2025 karta knärot.png", "A 30120-2025")</f>
        <v/>
      </c>
      <c r="V431">
        <f>HYPERLINK("https://klasma.github.io/Logging_2580/klagomål/A 30120-2025 FSC-klagomål.docx", "A 30120-2025")</f>
        <v/>
      </c>
      <c r="W431">
        <f>HYPERLINK("https://klasma.github.io/Logging_2580/klagomålsmail/A 30120-2025 FSC-klagomål mail.docx", "A 30120-2025")</f>
        <v/>
      </c>
      <c r="X431">
        <f>HYPERLINK("https://klasma.github.io/Logging_2580/tillsyn/A 30120-2025 tillsynsbegäran.docx", "A 30120-2025")</f>
        <v/>
      </c>
      <c r="Y431">
        <f>HYPERLINK("https://klasma.github.io/Logging_2580/tillsynsmail/A 30120-2025 tillsynsbegäran mail.docx", "A 30120-2025")</f>
        <v/>
      </c>
    </row>
    <row r="432" ht="15" customHeight="1">
      <c r="A432" t="inlineStr">
        <is>
          <t>A 28150-2024</t>
        </is>
      </c>
      <c r="B432" s="1" t="n">
        <v>45476.76228009259</v>
      </c>
      <c r="C432" s="1" t="n">
        <v>46160</v>
      </c>
      <c r="D432" t="inlineStr">
        <is>
          <t>NORRBOTTENS LÄN</t>
        </is>
      </c>
      <c r="E432" t="inlineStr">
        <is>
          <t>LULEÅ</t>
        </is>
      </c>
      <c r="G432" t="n">
        <v>4</v>
      </c>
      <c r="H432" t="n">
        <v>0</v>
      </c>
      <c r="I432" t="n">
        <v>0</v>
      </c>
      <c r="J432" t="n">
        <v>0</v>
      </c>
      <c r="K432" t="n">
        <v>0</v>
      </c>
      <c r="L432" t="n">
        <v>0</v>
      </c>
      <c r="M432" t="n">
        <v>0</v>
      </c>
      <c r="N432" t="n">
        <v>0</v>
      </c>
      <c r="O432" t="n">
        <v>0</v>
      </c>
      <c r="P432" t="n">
        <v>0</v>
      </c>
      <c r="Q432" t="n">
        <v>0</v>
      </c>
      <c r="R432" s="2" t="inlineStr"/>
    </row>
    <row r="433" ht="15" customHeight="1">
      <c r="A433" t="inlineStr">
        <is>
          <t>A 4286-2025</t>
        </is>
      </c>
      <c r="B433" s="1" t="n">
        <v>45685</v>
      </c>
      <c r="C433" s="1" t="n">
        <v>46160</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54274-2025</t>
        </is>
      </c>
      <c r="B434" s="1" t="n">
        <v>45964.6821875</v>
      </c>
      <c r="C434" s="1" t="n">
        <v>46160</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5038-2025</t>
        </is>
      </c>
      <c r="B435" s="1" t="n">
        <v>45691.42896990741</v>
      </c>
      <c r="C435" s="1" t="n">
        <v>46160</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5051-2025</t>
        </is>
      </c>
      <c r="B436" s="1" t="n">
        <v>45691.45101851852</v>
      </c>
      <c r="C436" s="1" t="n">
        <v>46160</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17438-2023</t>
        </is>
      </c>
      <c r="B437" s="1" t="n">
        <v>45035.92709490741</v>
      </c>
      <c r="C437" s="1" t="n">
        <v>46160</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54436-2025</t>
        </is>
      </c>
      <c r="B438" s="1" t="n">
        <v>45965.50042824074</v>
      </c>
      <c r="C438" s="1" t="n">
        <v>46160</v>
      </c>
      <c r="D438" t="inlineStr">
        <is>
          <t>NORRBOTTENS LÄN</t>
        </is>
      </c>
      <c r="E438" t="inlineStr">
        <is>
          <t>LULEÅ</t>
        </is>
      </c>
      <c r="G438" t="n">
        <v>4.8</v>
      </c>
      <c r="H438" t="n">
        <v>0</v>
      </c>
      <c r="I438" t="n">
        <v>0</v>
      </c>
      <c r="J438" t="n">
        <v>0</v>
      </c>
      <c r="K438" t="n">
        <v>0</v>
      </c>
      <c r="L438" t="n">
        <v>0</v>
      </c>
      <c r="M438" t="n">
        <v>0</v>
      </c>
      <c r="N438" t="n">
        <v>0</v>
      </c>
      <c r="O438" t="n">
        <v>0</v>
      </c>
      <c r="P438" t="n">
        <v>0</v>
      </c>
      <c r="Q438" t="n">
        <v>0</v>
      </c>
      <c r="R438" s="2" t="inlineStr"/>
    </row>
    <row r="439" ht="15" customHeight="1">
      <c r="A439" t="inlineStr">
        <is>
          <t>A 54428-2025</t>
        </is>
      </c>
      <c r="B439" s="1" t="n">
        <v>45965.49263888889</v>
      </c>
      <c r="C439" s="1" t="n">
        <v>46160</v>
      </c>
      <c r="D439" t="inlineStr">
        <is>
          <t>NORRBOTTENS LÄN</t>
        </is>
      </c>
      <c r="E439" t="inlineStr">
        <is>
          <t>LULEÅ</t>
        </is>
      </c>
      <c r="G439" t="n">
        <v>0.5</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46160</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54398-2025</t>
        </is>
      </c>
      <c r="B441" s="1" t="n">
        <v>45965.44887731481</v>
      </c>
      <c r="C441" s="1" t="n">
        <v>46160</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54442-2025</t>
        </is>
      </c>
      <c r="B442" s="1" t="n">
        <v>45965.50621527778</v>
      </c>
      <c r="C442" s="1" t="n">
        <v>46160</v>
      </c>
      <c r="D442" t="inlineStr">
        <is>
          <t>NORRBOTTENS LÄN</t>
        </is>
      </c>
      <c r="E442" t="inlineStr">
        <is>
          <t>LULEÅ</t>
        </is>
      </c>
      <c r="G442" t="n">
        <v>6.6</v>
      </c>
      <c r="H442" t="n">
        <v>0</v>
      </c>
      <c r="I442" t="n">
        <v>0</v>
      </c>
      <c r="J442" t="n">
        <v>0</v>
      </c>
      <c r="K442" t="n">
        <v>0</v>
      </c>
      <c r="L442" t="n">
        <v>0</v>
      </c>
      <c r="M442" t="n">
        <v>0</v>
      </c>
      <c r="N442" t="n">
        <v>0</v>
      </c>
      <c r="O442" t="n">
        <v>0</v>
      </c>
      <c r="P442" t="n">
        <v>0</v>
      </c>
      <c r="Q442" t="n">
        <v>0</v>
      </c>
      <c r="R442" s="2" t="inlineStr"/>
    </row>
    <row r="443" ht="15" customHeight="1">
      <c r="A443" t="inlineStr">
        <is>
          <t>A 54479-2025</t>
        </is>
      </c>
      <c r="B443" s="1" t="n">
        <v>45965.58432870371</v>
      </c>
      <c r="C443" s="1" t="n">
        <v>46160</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54531-2025</t>
        </is>
      </c>
      <c r="B444" s="1" t="n">
        <v>45965</v>
      </c>
      <c r="C444" s="1" t="n">
        <v>46160</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54558-2025</t>
        </is>
      </c>
      <c r="B445" s="1" t="n">
        <v>45965.66197916667</v>
      </c>
      <c r="C445" s="1" t="n">
        <v>46160</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54559-2025</t>
        </is>
      </c>
      <c r="B446" s="1" t="n">
        <v>45965.66282407408</v>
      </c>
      <c r="C446" s="1" t="n">
        <v>46160</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8494-2026</t>
        </is>
      </c>
      <c r="B447" s="1" t="n">
        <v>46065.48962962963</v>
      </c>
      <c r="C447" s="1" t="n">
        <v>46160</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37765-2021</t>
        </is>
      </c>
      <c r="B448" s="1" t="n">
        <v>44400</v>
      </c>
      <c r="C448" s="1" t="n">
        <v>46160</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9502-2025</t>
        </is>
      </c>
      <c r="B449" s="1" t="n">
        <v>45714</v>
      </c>
      <c r="C449" s="1" t="n">
        <v>46160</v>
      </c>
      <c r="D449" t="inlineStr">
        <is>
          <t>NORRBOTTENS LÄN</t>
        </is>
      </c>
      <c r="E449" t="inlineStr">
        <is>
          <t>LULEÅ</t>
        </is>
      </c>
      <c r="G449" t="n">
        <v>5.6</v>
      </c>
      <c r="H449" t="n">
        <v>0</v>
      </c>
      <c r="I449" t="n">
        <v>0</v>
      </c>
      <c r="J449" t="n">
        <v>0</v>
      </c>
      <c r="K449" t="n">
        <v>0</v>
      </c>
      <c r="L449" t="n">
        <v>0</v>
      </c>
      <c r="M449" t="n">
        <v>0</v>
      </c>
      <c r="N449" t="n">
        <v>0</v>
      </c>
      <c r="O449" t="n">
        <v>0</v>
      </c>
      <c r="P449" t="n">
        <v>0</v>
      </c>
      <c r="Q449" t="n">
        <v>0</v>
      </c>
      <c r="R449" s="2" t="inlineStr"/>
    </row>
    <row r="450" ht="15" customHeight="1">
      <c r="A450" t="inlineStr">
        <is>
          <t>A 55090-2025</t>
        </is>
      </c>
      <c r="B450" s="1" t="n">
        <v>45968.34435185185</v>
      </c>
      <c r="C450" s="1" t="n">
        <v>46160</v>
      </c>
      <c r="D450" t="inlineStr">
        <is>
          <t>NORRBOTTENS LÄN</t>
        </is>
      </c>
      <c r="E450" t="inlineStr">
        <is>
          <t>LULEÅ</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8501-2026</t>
        </is>
      </c>
      <c r="B451" s="1" t="n">
        <v>46065.50854166667</v>
      </c>
      <c r="C451" s="1" t="n">
        <v>46160</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8504-2026</t>
        </is>
      </c>
      <c r="B452" s="1" t="n">
        <v>46065.5119212963</v>
      </c>
      <c r="C452" s="1" t="n">
        <v>46160</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7390-2023</t>
        </is>
      </c>
      <c r="B453" s="1" t="n">
        <v>44966</v>
      </c>
      <c r="C453" s="1" t="n">
        <v>46160</v>
      </c>
      <c r="D453" t="inlineStr">
        <is>
          <t>NORRBOTTENS LÄN</t>
        </is>
      </c>
      <c r="E453" t="inlineStr">
        <is>
          <t>LULEÅ</t>
        </is>
      </c>
      <c r="G453" t="n">
        <v>3</v>
      </c>
      <c r="H453" t="n">
        <v>0</v>
      </c>
      <c r="I453" t="n">
        <v>0</v>
      </c>
      <c r="J453" t="n">
        <v>0</v>
      </c>
      <c r="K453" t="n">
        <v>0</v>
      </c>
      <c r="L453" t="n">
        <v>0</v>
      </c>
      <c r="M453" t="n">
        <v>0</v>
      </c>
      <c r="N453" t="n">
        <v>0</v>
      </c>
      <c r="O453" t="n">
        <v>0</v>
      </c>
      <c r="P453" t="n">
        <v>0</v>
      </c>
      <c r="Q453" t="n">
        <v>0</v>
      </c>
      <c r="R453" s="2" t="inlineStr"/>
    </row>
    <row r="454" ht="15" customHeight="1">
      <c r="A454" t="inlineStr">
        <is>
          <t>A 8502-2026</t>
        </is>
      </c>
      <c r="B454" s="1" t="n">
        <v>46065.51049768519</v>
      </c>
      <c r="C454" s="1" t="n">
        <v>46160</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10815-2024</t>
        </is>
      </c>
      <c r="B455" s="1" t="n">
        <v>45369</v>
      </c>
      <c r="C455" s="1" t="n">
        <v>46160</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9706-2022</t>
        </is>
      </c>
      <c r="B456" s="1" t="n">
        <v>44617</v>
      </c>
      <c r="C456" s="1" t="n">
        <v>46160</v>
      </c>
      <c r="D456" t="inlineStr">
        <is>
          <t>NORRBOTTENS LÄN</t>
        </is>
      </c>
      <c r="E456" t="inlineStr">
        <is>
          <t>LULEÅ</t>
        </is>
      </c>
      <c r="G456" t="n">
        <v>1.7</v>
      </c>
      <c r="H456" t="n">
        <v>0</v>
      </c>
      <c r="I456" t="n">
        <v>0</v>
      </c>
      <c r="J456" t="n">
        <v>0</v>
      </c>
      <c r="K456" t="n">
        <v>0</v>
      </c>
      <c r="L456" t="n">
        <v>0</v>
      </c>
      <c r="M456" t="n">
        <v>0</v>
      </c>
      <c r="N456" t="n">
        <v>0</v>
      </c>
      <c r="O456" t="n">
        <v>0</v>
      </c>
      <c r="P456" t="n">
        <v>0</v>
      </c>
      <c r="Q456" t="n">
        <v>0</v>
      </c>
      <c r="R456" s="2" t="inlineStr"/>
    </row>
    <row r="457" ht="15" customHeight="1">
      <c r="A457" t="inlineStr">
        <is>
          <t>A 18208-2023</t>
        </is>
      </c>
      <c r="B457" s="1" t="n">
        <v>45040</v>
      </c>
      <c r="C457" s="1" t="n">
        <v>46160</v>
      </c>
      <c r="D457" t="inlineStr">
        <is>
          <t>NORRBOTTENS LÄN</t>
        </is>
      </c>
      <c r="E457" t="inlineStr">
        <is>
          <t>LULEÅ</t>
        </is>
      </c>
      <c r="G457" t="n">
        <v>2.6</v>
      </c>
      <c r="H457" t="n">
        <v>0</v>
      </c>
      <c r="I457" t="n">
        <v>0</v>
      </c>
      <c r="J457" t="n">
        <v>0</v>
      </c>
      <c r="K457" t="n">
        <v>0</v>
      </c>
      <c r="L457" t="n">
        <v>0</v>
      </c>
      <c r="M457" t="n">
        <v>0</v>
      </c>
      <c r="N457" t="n">
        <v>0</v>
      </c>
      <c r="O457" t="n">
        <v>0</v>
      </c>
      <c r="P457" t="n">
        <v>0</v>
      </c>
      <c r="Q457" t="n">
        <v>0</v>
      </c>
      <c r="R457" s="2" t="inlineStr"/>
    </row>
    <row r="458" ht="15" customHeight="1">
      <c r="A458" t="inlineStr">
        <is>
          <t>A 14803-2023</t>
        </is>
      </c>
      <c r="B458" s="1" t="n">
        <v>45013</v>
      </c>
      <c r="C458" s="1" t="n">
        <v>46160</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30358-2023</t>
        </is>
      </c>
      <c r="B459" s="1" t="n">
        <v>45111</v>
      </c>
      <c r="C459" s="1" t="n">
        <v>46160</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19238-2025</t>
        </is>
      </c>
      <c r="B460" s="1" t="n">
        <v>45769.47217592593</v>
      </c>
      <c r="C460" s="1" t="n">
        <v>46160</v>
      </c>
      <c r="D460" t="inlineStr">
        <is>
          <t>NORRBOTTENS LÄN</t>
        </is>
      </c>
      <c r="E460" t="inlineStr">
        <is>
          <t>LULEÅ</t>
        </is>
      </c>
      <c r="G460" t="n">
        <v>4.9</v>
      </c>
      <c r="H460" t="n">
        <v>0</v>
      </c>
      <c r="I460" t="n">
        <v>0</v>
      </c>
      <c r="J460" t="n">
        <v>0</v>
      </c>
      <c r="K460" t="n">
        <v>0</v>
      </c>
      <c r="L460" t="n">
        <v>0</v>
      </c>
      <c r="M460" t="n">
        <v>0</v>
      </c>
      <c r="N460" t="n">
        <v>0</v>
      </c>
      <c r="O460" t="n">
        <v>0</v>
      </c>
      <c r="P460" t="n">
        <v>0</v>
      </c>
      <c r="Q460" t="n">
        <v>0</v>
      </c>
      <c r="R460" s="2" t="inlineStr"/>
    </row>
    <row r="461" ht="15" customHeight="1">
      <c r="A461" t="inlineStr">
        <is>
          <t>A 56142-2025</t>
        </is>
      </c>
      <c r="B461" s="1" t="n">
        <v>45974.34443287037</v>
      </c>
      <c r="C461" s="1" t="n">
        <v>46160</v>
      </c>
      <c r="D461" t="inlineStr">
        <is>
          <t>NORRBOTTENS LÄN</t>
        </is>
      </c>
      <c r="E461" t="inlineStr">
        <is>
          <t>LULEÅ</t>
        </is>
      </c>
      <c r="F461" t="inlineStr">
        <is>
          <t>Naturvårdsverket</t>
        </is>
      </c>
      <c r="G461" t="n">
        <v>2.5</v>
      </c>
      <c r="H461" t="n">
        <v>0</v>
      </c>
      <c r="I461" t="n">
        <v>0</v>
      </c>
      <c r="J461" t="n">
        <v>0</v>
      </c>
      <c r="K461" t="n">
        <v>0</v>
      </c>
      <c r="L461" t="n">
        <v>0</v>
      </c>
      <c r="M461" t="n">
        <v>0</v>
      </c>
      <c r="N461" t="n">
        <v>0</v>
      </c>
      <c r="O461" t="n">
        <v>0</v>
      </c>
      <c r="P461" t="n">
        <v>0</v>
      </c>
      <c r="Q461" t="n">
        <v>0</v>
      </c>
      <c r="R461" s="2" t="inlineStr"/>
    </row>
    <row r="462" ht="15" customHeight="1">
      <c r="A462" t="inlineStr">
        <is>
          <t>A 57264-2022</t>
        </is>
      </c>
      <c r="B462" s="1" t="n">
        <v>44895</v>
      </c>
      <c r="C462" s="1" t="n">
        <v>46160</v>
      </c>
      <c r="D462" t="inlineStr">
        <is>
          <t>NORRBOTTENS LÄN</t>
        </is>
      </c>
      <c r="E462" t="inlineStr">
        <is>
          <t>LULEÅ</t>
        </is>
      </c>
      <c r="G462" t="n">
        <v>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46160</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54824-2022</t>
        </is>
      </c>
      <c r="B464" s="1" t="n">
        <v>44883.92393518519</v>
      </c>
      <c r="C464" s="1" t="n">
        <v>46160</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30784-2024</t>
        </is>
      </c>
      <c r="B465" s="1" t="n">
        <v>45496</v>
      </c>
      <c r="C465" s="1" t="n">
        <v>46160</v>
      </c>
      <c r="D465" t="inlineStr">
        <is>
          <t>NORRBOTTENS LÄN</t>
        </is>
      </c>
      <c r="E465" t="inlineStr">
        <is>
          <t>LULEÅ</t>
        </is>
      </c>
      <c r="F465" t="inlineStr">
        <is>
          <t>Naturvårdsverket</t>
        </is>
      </c>
      <c r="G465" t="n">
        <v>13.2</v>
      </c>
      <c r="H465" t="n">
        <v>0</v>
      </c>
      <c r="I465" t="n">
        <v>0</v>
      </c>
      <c r="J465" t="n">
        <v>0</v>
      </c>
      <c r="K465" t="n">
        <v>0</v>
      </c>
      <c r="L465" t="n">
        <v>0</v>
      </c>
      <c r="M465" t="n">
        <v>0</v>
      </c>
      <c r="N465" t="n">
        <v>0</v>
      </c>
      <c r="O465" t="n">
        <v>0</v>
      </c>
      <c r="P465" t="n">
        <v>0</v>
      </c>
      <c r="Q465" t="n">
        <v>0</v>
      </c>
      <c r="R465" s="2" t="inlineStr"/>
    </row>
    <row r="466" ht="15" customHeight="1">
      <c r="A466" t="inlineStr">
        <is>
          <t>A 30788-2024</t>
        </is>
      </c>
      <c r="B466" s="1" t="n">
        <v>45496</v>
      </c>
      <c r="C466" s="1" t="n">
        <v>46160</v>
      </c>
      <c r="D466" t="inlineStr">
        <is>
          <t>NORRBOTTENS LÄN</t>
        </is>
      </c>
      <c r="E466" t="inlineStr">
        <is>
          <t>LULEÅ</t>
        </is>
      </c>
      <c r="F466" t="inlineStr">
        <is>
          <t>Naturvårdsverket</t>
        </is>
      </c>
      <c r="G466" t="n">
        <v>6.7</v>
      </c>
      <c r="H466" t="n">
        <v>0</v>
      </c>
      <c r="I466" t="n">
        <v>0</v>
      </c>
      <c r="J466" t="n">
        <v>0</v>
      </c>
      <c r="K466" t="n">
        <v>0</v>
      </c>
      <c r="L466" t="n">
        <v>0</v>
      </c>
      <c r="M466" t="n">
        <v>0</v>
      </c>
      <c r="N466" t="n">
        <v>0</v>
      </c>
      <c r="O466" t="n">
        <v>0</v>
      </c>
      <c r="P466" t="n">
        <v>0</v>
      </c>
      <c r="Q466" t="n">
        <v>0</v>
      </c>
      <c r="R466" s="2" t="inlineStr"/>
    </row>
    <row r="467" ht="15" customHeight="1">
      <c r="A467" t="inlineStr">
        <is>
          <t>A 56677-2025</t>
        </is>
      </c>
      <c r="B467" s="1" t="n">
        <v>45975.72868055556</v>
      </c>
      <c r="C467" s="1" t="n">
        <v>46160</v>
      </c>
      <c r="D467" t="inlineStr">
        <is>
          <t>NORRBOTTENS LÄN</t>
        </is>
      </c>
      <c r="E467" t="inlineStr">
        <is>
          <t>LULEÅ</t>
        </is>
      </c>
      <c r="G467" t="n">
        <v>5.9</v>
      </c>
      <c r="H467" t="n">
        <v>0</v>
      </c>
      <c r="I467" t="n">
        <v>0</v>
      </c>
      <c r="J467" t="n">
        <v>0</v>
      </c>
      <c r="K467" t="n">
        <v>0</v>
      </c>
      <c r="L467" t="n">
        <v>0</v>
      </c>
      <c r="M467" t="n">
        <v>0</v>
      </c>
      <c r="N467" t="n">
        <v>0</v>
      </c>
      <c r="O467" t="n">
        <v>0</v>
      </c>
      <c r="P467" t="n">
        <v>0</v>
      </c>
      <c r="Q467" t="n">
        <v>0</v>
      </c>
      <c r="R467" s="2" t="inlineStr"/>
    </row>
    <row r="468" ht="15" customHeight="1">
      <c r="A468" t="inlineStr">
        <is>
          <t>A 56860-2025</t>
        </is>
      </c>
      <c r="B468" s="1" t="n">
        <v>45978.50525462963</v>
      </c>
      <c r="C468" s="1" t="n">
        <v>46160</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57142-2025</t>
        </is>
      </c>
      <c r="B469" s="1" t="n">
        <v>45978</v>
      </c>
      <c r="C469" s="1" t="n">
        <v>46160</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10611-2025</t>
        </is>
      </c>
      <c r="B470" s="1" t="n">
        <v>45721</v>
      </c>
      <c r="C470" s="1" t="n">
        <v>46160</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56852-2025</t>
        </is>
      </c>
      <c r="B471" s="1" t="n">
        <v>45978</v>
      </c>
      <c r="C471" s="1" t="n">
        <v>46160</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46160</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56853-2025</t>
        </is>
      </c>
      <c r="B473" s="1" t="n">
        <v>45978.49459490741</v>
      </c>
      <c r="C473" s="1" t="n">
        <v>46160</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49720-2024</t>
        </is>
      </c>
      <c r="B474" s="1" t="n">
        <v>45596.72625</v>
      </c>
      <c r="C474" s="1" t="n">
        <v>46160</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4940-2025</t>
        </is>
      </c>
      <c r="B475" s="1" t="n">
        <v>45688.69949074074</v>
      </c>
      <c r="C475" s="1" t="n">
        <v>46160</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57143-2025</t>
        </is>
      </c>
      <c r="B476" s="1" t="n">
        <v>45978</v>
      </c>
      <c r="C476" s="1" t="n">
        <v>46160</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8235-2025</t>
        </is>
      </c>
      <c r="B477" s="1" t="n">
        <v>45708</v>
      </c>
      <c r="C477" s="1" t="n">
        <v>46160</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8243-2025</t>
        </is>
      </c>
      <c r="B478" s="1" t="n">
        <v>45708</v>
      </c>
      <c r="C478" s="1" t="n">
        <v>46160</v>
      </c>
      <c r="D478" t="inlineStr">
        <is>
          <t>NORRBOTTENS LÄN</t>
        </is>
      </c>
      <c r="E478" t="inlineStr">
        <is>
          <t>LULEÅ</t>
        </is>
      </c>
      <c r="G478" t="n">
        <v>5.8</v>
      </c>
      <c r="H478" t="n">
        <v>0</v>
      </c>
      <c r="I478" t="n">
        <v>0</v>
      </c>
      <c r="J478" t="n">
        <v>0</v>
      </c>
      <c r="K478" t="n">
        <v>0</v>
      </c>
      <c r="L478" t="n">
        <v>0</v>
      </c>
      <c r="M478" t="n">
        <v>0</v>
      </c>
      <c r="N478" t="n">
        <v>0</v>
      </c>
      <c r="O478" t="n">
        <v>0</v>
      </c>
      <c r="P478" t="n">
        <v>0</v>
      </c>
      <c r="Q478" t="n">
        <v>0</v>
      </c>
      <c r="R478" s="2" t="inlineStr"/>
    </row>
    <row r="479" ht="15" customHeight="1">
      <c r="A479" t="inlineStr">
        <is>
          <t>A 8247-2025</t>
        </is>
      </c>
      <c r="B479" s="1" t="n">
        <v>45708</v>
      </c>
      <c r="C479" s="1" t="n">
        <v>46160</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56643-2025</t>
        </is>
      </c>
      <c r="B480" s="1" t="n">
        <v>45975.62664351852</v>
      </c>
      <c r="C480" s="1" t="n">
        <v>46160</v>
      </c>
      <c r="D480" t="inlineStr">
        <is>
          <t>NORRBOTTENS LÄN</t>
        </is>
      </c>
      <c r="E480" t="inlineStr">
        <is>
          <t>LULEÅ</t>
        </is>
      </c>
      <c r="G480" t="n">
        <v>4.4</v>
      </c>
      <c r="H480" t="n">
        <v>0</v>
      </c>
      <c r="I480" t="n">
        <v>0</v>
      </c>
      <c r="J480" t="n">
        <v>0</v>
      </c>
      <c r="K480" t="n">
        <v>0</v>
      </c>
      <c r="L480" t="n">
        <v>0</v>
      </c>
      <c r="M480" t="n">
        <v>0</v>
      </c>
      <c r="N480" t="n">
        <v>0</v>
      </c>
      <c r="O480" t="n">
        <v>0</v>
      </c>
      <c r="P480" t="n">
        <v>0</v>
      </c>
      <c r="Q480" t="n">
        <v>0</v>
      </c>
      <c r="R480" s="2" t="inlineStr"/>
    </row>
    <row r="481" ht="15" customHeight="1">
      <c r="A481" t="inlineStr">
        <is>
          <t>A 8214-2025</t>
        </is>
      </c>
      <c r="B481" s="1" t="n">
        <v>45708</v>
      </c>
      <c r="C481" s="1" t="n">
        <v>46160</v>
      </c>
      <c r="D481" t="inlineStr">
        <is>
          <t>NORRBOTTENS LÄN</t>
        </is>
      </c>
      <c r="E481" t="inlineStr">
        <is>
          <t>LULEÅ</t>
        </is>
      </c>
      <c r="G481" t="n">
        <v>9.9</v>
      </c>
      <c r="H481" t="n">
        <v>0</v>
      </c>
      <c r="I481" t="n">
        <v>0</v>
      </c>
      <c r="J481" t="n">
        <v>0</v>
      </c>
      <c r="K481" t="n">
        <v>0</v>
      </c>
      <c r="L481" t="n">
        <v>0</v>
      </c>
      <c r="M481" t="n">
        <v>0</v>
      </c>
      <c r="N481" t="n">
        <v>0</v>
      </c>
      <c r="O481" t="n">
        <v>0</v>
      </c>
      <c r="P481" t="n">
        <v>0</v>
      </c>
      <c r="Q481" t="n">
        <v>0</v>
      </c>
      <c r="R481" s="2" t="inlineStr"/>
    </row>
    <row r="482" ht="15" customHeight="1">
      <c r="A482" t="inlineStr">
        <is>
          <t>A 56862-2025</t>
        </is>
      </c>
      <c r="B482" s="1" t="n">
        <v>45978.50950231482</v>
      </c>
      <c r="C482" s="1" t="n">
        <v>46160</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14216-2025</t>
        </is>
      </c>
      <c r="B483" s="1" t="n">
        <v>45740</v>
      </c>
      <c r="C483" s="1" t="n">
        <v>46160</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56932-2025</t>
        </is>
      </c>
      <c r="B484" s="1" t="n">
        <v>45978.61122685186</v>
      </c>
      <c r="C484" s="1" t="n">
        <v>46160</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17176-2024</t>
        </is>
      </c>
      <c r="B485" s="1" t="n">
        <v>45412</v>
      </c>
      <c r="C485" s="1" t="n">
        <v>46160</v>
      </c>
      <c r="D485" t="inlineStr">
        <is>
          <t>NORRBOTTENS LÄN</t>
        </is>
      </c>
      <c r="E485" t="inlineStr">
        <is>
          <t>LULEÅ</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57826-2022</t>
        </is>
      </c>
      <c r="B486" s="1" t="n">
        <v>44897</v>
      </c>
      <c r="C486" s="1" t="n">
        <v>46160</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7168-2025</t>
        </is>
      </c>
      <c r="B487" s="1" t="n">
        <v>45702.40306712963</v>
      </c>
      <c r="C487" s="1" t="n">
        <v>46160</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57230-2025</t>
        </is>
      </c>
      <c r="B488" s="1" t="n">
        <v>45979.61831018519</v>
      </c>
      <c r="C488" s="1" t="n">
        <v>46160</v>
      </c>
      <c r="D488" t="inlineStr">
        <is>
          <t>NORRBOTTENS LÄN</t>
        </is>
      </c>
      <c r="E488" t="inlineStr">
        <is>
          <t>LULEÅ</t>
        </is>
      </c>
      <c r="G488" t="n">
        <v>2.7</v>
      </c>
      <c r="H488" t="n">
        <v>0</v>
      </c>
      <c r="I488" t="n">
        <v>0</v>
      </c>
      <c r="J488" t="n">
        <v>0</v>
      </c>
      <c r="K488" t="n">
        <v>0</v>
      </c>
      <c r="L488" t="n">
        <v>0</v>
      </c>
      <c r="M488" t="n">
        <v>0</v>
      </c>
      <c r="N488" t="n">
        <v>0</v>
      </c>
      <c r="O488" t="n">
        <v>0</v>
      </c>
      <c r="P488" t="n">
        <v>0</v>
      </c>
      <c r="Q488" t="n">
        <v>0</v>
      </c>
      <c r="R488" s="2" t="inlineStr"/>
    </row>
    <row r="489" ht="15" customHeight="1">
      <c r="A489" t="inlineStr">
        <is>
          <t>A 10163-2026</t>
        </is>
      </c>
      <c r="B489" s="1" t="n">
        <v>46076</v>
      </c>
      <c r="C489" s="1" t="n">
        <v>46160</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57076-2025</t>
        </is>
      </c>
      <c r="B490" s="1" t="n">
        <v>45979.40319444444</v>
      </c>
      <c r="C490" s="1" t="n">
        <v>46160</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57723-2025</t>
        </is>
      </c>
      <c r="B491" s="1" t="n">
        <v>45981.49033564814</v>
      </c>
      <c r="C491" s="1" t="n">
        <v>46160</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57751-2025</t>
        </is>
      </c>
      <c r="B492" s="1" t="n">
        <v>45981.54108796296</v>
      </c>
      <c r="C492" s="1" t="n">
        <v>46160</v>
      </c>
      <c r="D492" t="inlineStr">
        <is>
          <t>NORRBOTTENS LÄN</t>
        </is>
      </c>
      <c r="E492" t="inlineStr">
        <is>
          <t>LULEÅ</t>
        </is>
      </c>
      <c r="G492" t="n">
        <v>1.7</v>
      </c>
      <c r="H492" t="n">
        <v>0</v>
      </c>
      <c r="I492" t="n">
        <v>0</v>
      </c>
      <c r="J492" t="n">
        <v>0</v>
      </c>
      <c r="K492" t="n">
        <v>0</v>
      </c>
      <c r="L492" t="n">
        <v>0</v>
      </c>
      <c r="M492" t="n">
        <v>0</v>
      </c>
      <c r="N492" t="n">
        <v>0</v>
      </c>
      <c r="O492" t="n">
        <v>0</v>
      </c>
      <c r="P492" t="n">
        <v>0</v>
      </c>
      <c r="Q492" t="n">
        <v>0</v>
      </c>
      <c r="R492" s="2" t="inlineStr"/>
    </row>
    <row r="493" ht="15" customHeight="1">
      <c r="A493" t="inlineStr">
        <is>
          <t>A 20063-2023</t>
        </is>
      </c>
      <c r="B493" s="1" t="n">
        <v>45054</v>
      </c>
      <c r="C493" s="1" t="n">
        <v>46160</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58049-2025</t>
        </is>
      </c>
      <c r="B494" s="1" t="n">
        <v>45982.51090277778</v>
      </c>
      <c r="C494" s="1" t="n">
        <v>46160</v>
      </c>
      <c r="D494" t="inlineStr">
        <is>
          <t>NORRBOTTENS LÄN</t>
        </is>
      </c>
      <c r="E494" t="inlineStr">
        <is>
          <t>LULEÅ</t>
        </is>
      </c>
      <c r="G494" t="n">
        <v>4.4</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46160</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46160</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10156-2026</t>
        </is>
      </c>
      <c r="B497" s="1" t="n">
        <v>46076.3806712963</v>
      </c>
      <c r="C497" s="1" t="n">
        <v>46160</v>
      </c>
      <c r="D497" t="inlineStr">
        <is>
          <t>NORRBOTTENS LÄN</t>
        </is>
      </c>
      <c r="E497" t="inlineStr">
        <is>
          <t>LULEÅ</t>
        </is>
      </c>
      <c r="F497" t="inlineStr">
        <is>
          <t>Övriga Aktiebolag</t>
        </is>
      </c>
      <c r="G497" t="n">
        <v>9.1</v>
      </c>
      <c r="H497" t="n">
        <v>0</v>
      </c>
      <c r="I497" t="n">
        <v>0</v>
      </c>
      <c r="J497" t="n">
        <v>0</v>
      </c>
      <c r="K497" t="n">
        <v>0</v>
      </c>
      <c r="L497" t="n">
        <v>0</v>
      </c>
      <c r="M497" t="n">
        <v>0</v>
      </c>
      <c r="N497" t="n">
        <v>0</v>
      </c>
      <c r="O497" t="n">
        <v>0</v>
      </c>
      <c r="P497" t="n">
        <v>0</v>
      </c>
      <c r="Q497" t="n">
        <v>0</v>
      </c>
      <c r="R497" s="2" t="inlineStr"/>
    </row>
    <row r="498" ht="15" customHeight="1">
      <c r="A498" t="inlineStr">
        <is>
          <t>A 10166-2026</t>
        </is>
      </c>
      <c r="B498" s="1" t="n">
        <v>46076.41243055555</v>
      </c>
      <c r="C498" s="1" t="n">
        <v>46160</v>
      </c>
      <c r="D498" t="inlineStr">
        <is>
          <t>NORRBOTTENS LÄN</t>
        </is>
      </c>
      <c r="E498" t="inlineStr">
        <is>
          <t>LULEÅ</t>
        </is>
      </c>
      <c r="F498" t="inlineStr">
        <is>
          <t>Övriga Aktiebolag</t>
        </is>
      </c>
      <c r="G498" t="n">
        <v>4.2</v>
      </c>
      <c r="H498" t="n">
        <v>0</v>
      </c>
      <c r="I498" t="n">
        <v>0</v>
      </c>
      <c r="J498" t="n">
        <v>0</v>
      </c>
      <c r="K498" t="n">
        <v>0</v>
      </c>
      <c r="L498" t="n">
        <v>0</v>
      </c>
      <c r="M498" t="n">
        <v>0</v>
      </c>
      <c r="N498" t="n">
        <v>0</v>
      </c>
      <c r="O498" t="n">
        <v>0</v>
      </c>
      <c r="P498" t="n">
        <v>0</v>
      </c>
      <c r="Q498" t="n">
        <v>0</v>
      </c>
      <c r="R498" s="2" t="inlineStr"/>
    </row>
    <row r="499" ht="15" customHeight="1">
      <c r="A499" t="inlineStr">
        <is>
          <t>A 57815-2022</t>
        </is>
      </c>
      <c r="B499" s="1" t="n">
        <v>44897.92459490741</v>
      </c>
      <c r="C499" s="1" t="n">
        <v>46160</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25791-2024</t>
        </is>
      </c>
      <c r="B500" s="1" t="n">
        <v>45463</v>
      </c>
      <c r="C500" s="1" t="n">
        <v>46160</v>
      </c>
      <c r="D500" t="inlineStr">
        <is>
          <t>NORRBOTTENS LÄN</t>
        </is>
      </c>
      <c r="E500" t="inlineStr">
        <is>
          <t>LULEÅ</t>
        </is>
      </c>
      <c r="G500" t="n">
        <v>3.6</v>
      </c>
      <c r="H500" t="n">
        <v>0</v>
      </c>
      <c r="I500" t="n">
        <v>0</v>
      </c>
      <c r="J500" t="n">
        <v>0</v>
      </c>
      <c r="K500" t="n">
        <v>0</v>
      </c>
      <c r="L500" t="n">
        <v>0</v>
      </c>
      <c r="M500" t="n">
        <v>0</v>
      </c>
      <c r="N500" t="n">
        <v>0</v>
      </c>
      <c r="O500" t="n">
        <v>0</v>
      </c>
      <c r="P500" t="n">
        <v>0</v>
      </c>
      <c r="Q500" t="n">
        <v>0</v>
      </c>
      <c r="R500" s="2" t="inlineStr"/>
    </row>
    <row r="501" ht="15" customHeight="1">
      <c r="A501" t="inlineStr">
        <is>
          <t>A 10192-2026</t>
        </is>
      </c>
      <c r="B501" s="1" t="n">
        <v>46076.45981481481</v>
      </c>
      <c r="C501" s="1" t="n">
        <v>46160</v>
      </c>
      <c r="D501" t="inlineStr">
        <is>
          <t>NORRBOTTENS LÄN</t>
        </is>
      </c>
      <c r="E501" t="inlineStr">
        <is>
          <t>LULEÅ</t>
        </is>
      </c>
      <c r="G501" t="n">
        <v>6.4</v>
      </c>
      <c r="H501" t="n">
        <v>0</v>
      </c>
      <c r="I501" t="n">
        <v>0</v>
      </c>
      <c r="J501" t="n">
        <v>0</v>
      </c>
      <c r="K501" t="n">
        <v>0</v>
      </c>
      <c r="L501" t="n">
        <v>0</v>
      </c>
      <c r="M501" t="n">
        <v>0</v>
      </c>
      <c r="N501" t="n">
        <v>0</v>
      </c>
      <c r="O501" t="n">
        <v>0</v>
      </c>
      <c r="P501" t="n">
        <v>0</v>
      </c>
      <c r="Q501" t="n">
        <v>0</v>
      </c>
      <c r="R501" s="2" t="inlineStr"/>
    </row>
    <row r="502" ht="15" customHeight="1">
      <c r="A502" t="inlineStr">
        <is>
          <t>A 42822-2024</t>
        </is>
      </c>
      <c r="B502" s="1" t="n">
        <v>45566.59611111111</v>
      </c>
      <c r="C502" s="1" t="n">
        <v>46160</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59239-2025</t>
        </is>
      </c>
      <c r="B503" s="1" t="n">
        <v>45988.63575231482</v>
      </c>
      <c r="C503" s="1" t="n">
        <v>46160</v>
      </c>
      <c r="D503" t="inlineStr">
        <is>
          <t>NORRBOTTENS LÄN</t>
        </is>
      </c>
      <c r="E503" t="inlineStr">
        <is>
          <t>LULEÅ</t>
        </is>
      </c>
      <c r="G503" t="n">
        <v>5.3</v>
      </c>
      <c r="H503" t="n">
        <v>0</v>
      </c>
      <c r="I503" t="n">
        <v>0</v>
      </c>
      <c r="J503" t="n">
        <v>0</v>
      </c>
      <c r="K503" t="n">
        <v>0</v>
      </c>
      <c r="L503" t="n">
        <v>0</v>
      </c>
      <c r="M503" t="n">
        <v>0</v>
      </c>
      <c r="N503" t="n">
        <v>0</v>
      </c>
      <c r="O503" t="n">
        <v>0</v>
      </c>
      <c r="P503" t="n">
        <v>0</v>
      </c>
      <c r="Q503" t="n">
        <v>0</v>
      </c>
      <c r="R503" s="2" t="inlineStr"/>
    </row>
    <row r="504" ht="15" customHeight="1">
      <c r="A504" t="inlineStr">
        <is>
          <t>A 17900-2025</t>
        </is>
      </c>
      <c r="B504" s="1" t="n">
        <v>45758.69837962963</v>
      </c>
      <c r="C504" s="1" t="n">
        <v>46160</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59670-2025</t>
        </is>
      </c>
      <c r="B505" s="1" t="n">
        <v>45992.45686342593</v>
      </c>
      <c r="C505" s="1" t="n">
        <v>46160</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26234-2023</t>
        </is>
      </c>
      <c r="B506" s="1" t="n">
        <v>45086</v>
      </c>
      <c r="C506" s="1" t="n">
        <v>46160</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61557-2024</t>
        </is>
      </c>
      <c r="B507" s="1" t="n">
        <v>45646.61081018519</v>
      </c>
      <c r="C507" s="1" t="n">
        <v>46160</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52698-2024</t>
        </is>
      </c>
      <c r="B508" s="1" t="n">
        <v>45610</v>
      </c>
      <c r="C508" s="1" t="n">
        <v>46160</v>
      </c>
      <c r="D508" t="inlineStr">
        <is>
          <t>NORRBOTTENS LÄN</t>
        </is>
      </c>
      <c r="E508" t="inlineStr">
        <is>
          <t>LULEÅ</t>
        </is>
      </c>
      <c r="G508" t="n">
        <v>8.9</v>
      </c>
      <c r="H508" t="n">
        <v>0</v>
      </c>
      <c r="I508" t="n">
        <v>0</v>
      </c>
      <c r="J508" t="n">
        <v>0</v>
      </c>
      <c r="K508" t="n">
        <v>0</v>
      </c>
      <c r="L508" t="n">
        <v>0</v>
      </c>
      <c r="M508" t="n">
        <v>0</v>
      </c>
      <c r="N508" t="n">
        <v>0</v>
      </c>
      <c r="O508" t="n">
        <v>0</v>
      </c>
      <c r="P508" t="n">
        <v>0</v>
      </c>
      <c r="Q508" t="n">
        <v>0</v>
      </c>
      <c r="R508" s="2" t="inlineStr"/>
    </row>
    <row r="509" ht="15" customHeight="1">
      <c r="A509" t="inlineStr">
        <is>
          <t>A 59502-2025</t>
        </is>
      </c>
      <c r="B509" s="1" t="n">
        <v>45989</v>
      </c>
      <c r="C509" s="1" t="n">
        <v>46160</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59514-2025</t>
        </is>
      </c>
      <c r="B510" s="1" t="n">
        <v>45989.64967592592</v>
      </c>
      <c r="C510" s="1" t="n">
        <v>46160</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59731-2025</t>
        </is>
      </c>
      <c r="B511" s="1" t="n">
        <v>45992.56959490741</v>
      </c>
      <c r="C511" s="1" t="n">
        <v>46160</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46160</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59586-2025</t>
        </is>
      </c>
      <c r="B513" s="1" t="n">
        <v>45992</v>
      </c>
      <c r="C513" s="1" t="n">
        <v>46160</v>
      </c>
      <c r="D513" t="inlineStr">
        <is>
          <t>NORRBOTTENS LÄN</t>
        </is>
      </c>
      <c r="E513" t="inlineStr">
        <is>
          <t>LULEÅ</t>
        </is>
      </c>
      <c r="G513" t="n">
        <v>3.4</v>
      </c>
      <c r="H513" t="n">
        <v>0</v>
      </c>
      <c r="I513" t="n">
        <v>0</v>
      </c>
      <c r="J513" t="n">
        <v>0</v>
      </c>
      <c r="K513" t="n">
        <v>0</v>
      </c>
      <c r="L513" t="n">
        <v>0</v>
      </c>
      <c r="M513" t="n">
        <v>0</v>
      </c>
      <c r="N513" t="n">
        <v>0</v>
      </c>
      <c r="O513" t="n">
        <v>0</v>
      </c>
      <c r="P513" t="n">
        <v>0</v>
      </c>
      <c r="Q513" t="n">
        <v>0</v>
      </c>
      <c r="R513" s="2" t="inlineStr"/>
    </row>
    <row r="514" ht="15" customHeight="1">
      <c r="A514" t="inlineStr">
        <is>
          <t>A 59596-2025</t>
        </is>
      </c>
      <c r="B514" s="1" t="n">
        <v>45992</v>
      </c>
      <c r="C514" s="1" t="n">
        <v>46160</v>
      </c>
      <c r="D514" t="inlineStr">
        <is>
          <t>NORRBOTTENS LÄN</t>
        </is>
      </c>
      <c r="E514" t="inlineStr">
        <is>
          <t>LULEÅ</t>
        </is>
      </c>
      <c r="G514" t="n">
        <v>1.8</v>
      </c>
      <c r="H514" t="n">
        <v>0</v>
      </c>
      <c r="I514" t="n">
        <v>0</v>
      </c>
      <c r="J514" t="n">
        <v>0</v>
      </c>
      <c r="K514" t="n">
        <v>0</v>
      </c>
      <c r="L514" t="n">
        <v>0</v>
      </c>
      <c r="M514" t="n">
        <v>0</v>
      </c>
      <c r="N514" t="n">
        <v>0</v>
      </c>
      <c r="O514" t="n">
        <v>0</v>
      </c>
      <c r="P514" t="n">
        <v>0</v>
      </c>
      <c r="Q514" t="n">
        <v>0</v>
      </c>
      <c r="R514" s="2" t="inlineStr"/>
    </row>
    <row r="515" ht="15" customHeight="1">
      <c r="A515" t="inlineStr">
        <is>
          <t>A 29332-2025</t>
        </is>
      </c>
      <c r="B515" s="1" t="n">
        <v>45824</v>
      </c>
      <c r="C515" s="1" t="n">
        <v>46160</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59660-2025</t>
        </is>
      </c>
      <c r="B516" s="1" t="n">
        <v>45992.44833333333</v>
      </c>
      <c r="C516" s="1" t="n">
        <v>46160</v>
      </c>
      <c r="D516" t="inlineStr">
        <is>
          <t>NORRBOTTENS LÄN</t>
        </is>
      </c>
      <c r="E516" t="inlineStr">
        <is>
          <t>LULEÅ</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59671-2025</t>
        </is>
      </c>
      <c r="B517" s="1" t="n">
        <v>45992.45798611111</v>
      </c>
      <c r="C517" s="1" t="n">
        <v>46160</v>
      </c>
      <c r="D517" t="inlineStr">
        <is>
          <t>NORRBOTTENS LÄN</t>
        </is>
      </c>
      <c r="E517" t="inlineStr">
        <is>
          <t>LULEÅ</t>
        </is>
      </c>
      <c r="G517" t="n">
        <v>3</v>
      </c>
      <c r="H517" t="n">
        <v>0</v>
      </c>
      <c r="I517" t="n">
        <v>0</v>
      </c>
      <c r="J517" t="n">
        <v>0</v>
      </c>
      <c r="K517" t="n">
        <v>0</v>
      </c>
      <c r="L517" t="n">
        <v>0</v>
      </c>
      <c r="M517" t="n">
        <v>0</v>
      </c>
      <c r="N517" t="n">
        <v>0</v>
      </c>
      <c r="O517" t="n">
        <v>0</v>
      </c>
      <c r="P517" t="n">
        <v>0</v>
      </c>
      <c r="Q517" t="n">
        <v>0</v>
      </c>
      <c r="R517" s="2" t="inlineStr"/>
    </row>
    <row r="518" ht="15" customHeight="1">
      <c r="A518" t="inlineStr">
        <is>
          <t>A 59605-2025</t>
        </is>
      </c>
      <c r="B518" s="1" t="n">
        <v>45992</v>
      </c>
      <c r="C518" s="1" t="n">
        <v>46160</v>
      </c>
      <c r="D518" t="inlineStr">
        <is>
          <t>NORRBOTTENS LÄN</t>
        </is>
      </c>
      <c r="E518" t="inlineStr">
        <is>
          <t>LULEÅ</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59599-2025</t>
        </is>
      </c>
      <c r="B519" s="1" t="n">
        <v>45992</v>
      </c>
      <c r="C519" s="1" t="n">
        <v>46160</v>
      </c>
      <c r="D519" t="inlineStr">
        <is>
          <t>NORRBOTTENS LÄN</t>
        </is>
      </c>
      <c r="E519" t="inlineStr">
        <is>
          <t>LULEÅ</t>
        </is>
      </c>
      <c r="G519" t="n">
        <v>5</v>
      </c>
      <c r="H519" t="n">
        <v>0</v>
      </c>
      <c r="I519" t="n">
        <v>0</v>
      </c>
      <c r="J519" t="n">
        <v>0</v>
      </c>
      <c r="K519" t="n">
        <v>0</v>
      </c>
      <c r="L519" t="n">
        <v>0</v>
      </c>
      <c r="M519" t="n">
        <v>0</v>
      </c>
      <c r="N519" t="n">
        <v>0</v>
      </c>
      <c r="O519" t="n">
        <v>0</v>
      </c>
      <c r="P519" t="n">
        <v>0</v>
      </c>
      <c r="Q519" t="n">
        <v>0</v>
      </c>
      <c r="R519" s="2" t="inlineStr"/>
    </row>
    <row r="520" ht="15" customHeight="1">
      <c r="A520" t="inlineStr">
        <is>
          <t>A 8204-2025</t>
        </is>
      </c>
      <c r="B520" s="1" t="n">
        <v>45708</v>
      </c>
      <c r="C520" s="1" t="n">
        <v>46160</v>
      </c>
      <c r="D520" t="inlineStr">
        <is>
          <t>NORRBOTTENS LÄN</t>
        </is>
      </c>
      <c r="E520" t="inlineStr">
        <is>
          <t>LULEÅ</t>
        </is>
      </c>
      <c r="G520" t="n">
        <v>10.7</v>
      </c>
      <c r="H520" t="n">
        <v>0</v>
      </c>
      <c r="I520" t="n">
        <v>0</v>
      </c>
      <c r="J520" t="n">
        <v>0</v>
      </c>
      <c r="K520" t="n">
        <v>0</v>
      </c>
      <c r="L520" t="n">
        <v>0</v>
      </c>
      <c r="M520" t="n">
        <v>0</v>
      </c>
      <c r="N520" t="n">
        <v>0</v>
      </c>
      <c r="O520" t="n">
        <v>0</v>
      </c>
      <c r="P520" t="n">
        <v>0</v>
      </c>
      <c r="Q520" t="n">
        <v>0</v>
      </c>
      <c r="R520" s="2" t="inlineStr"/>
    </row>
    <row r="521" ht="15" customHeight="1">
      <c r="A521" t="inlineStr">
        <is>
          <t>A 14187-2025</t>
        </is>
      </c>
      <c r="B521" s="1" t="n">
        <v>45740</v>
      </c>
      <c r="C521" s="1" t="n">
        <v>46160</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59437-2025</t>
        </is>
      </c>
      <c r="B522" s="1" t="n">
        <v>45989.556875</v>
      </c>
      <c r="C522" s="1" t="n">
        <v>46160</v>
      </c>
      <c r="D522" t="inlineStr">
        <is>
          <t>NORRBOTTENS LÄN</t>
        </is>
      </c>
      <c r="E522" t="inlineStr">
        <is>
          <t>LULEÅ</t>
        </is>
      </c>
      <c r="G522" t="n">
        <v>1.9</v>
      </c>
      <c r="H522" t="n">
        <v>0</v>
      </c>
      <c r="I522" t="n">
        <v>0</v>
      </c>
      <c r="J522" t="n">
        <v>0</v>
      </c>
      <c r="K522" t="n">
        <v>0</v>
      </c>
      <c r="L522" t="n">
        <v>0</v>
      </c>
      <c r="M522" t="n">
        <v>0</v>
      </c>
      <c r="N522" t="n">
        <v>0</v>
      </c>
      <c r="O522" t="n">
        <v>0</v>
      </c>
      <c r="P522" t="n">
        <v>0</v>
      </c>
      <c r="Q522" t="n">
        <v>0</v>
      </c>
      <c r="R522" s="2" t="inlineStr"/>
    </row>
    <row r="523" ht="15" customHeight="1">
      <c r="A523" t="inlineStr">
        <is>
          <t>A 59554-2025</t>
        </is>
      </c>
      <c r="B523" s="1" t="n">
        <v>45990.65666666667</v>
      </c>
      <c r="C523" s="1" t="n">
        <v>46160</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59616-2025</t>
        </is>
      </c>
      <c r="B524" s="1" t="n">
        <v>45992</v>
      </c>
      <c r="C524" s="1" t="n">
        <v>46160</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14193-2025</t>
        </is>
      </c>
      <c r="B525" s="1" t="n">
        <v>45740</v>
      </c>
      <c r="C525" s="1" t="n">
        <v>46160</v>
      </c>
      <c r="D525" t="inlineStr">
        <is>
          <t>NORRBOTTENS LÄN</t>
        </is>
      </c>
      <c r="E525" t="inlineStr">
        <is>
          <t>LULEÅ</t>
        </is>
      </c>
      <c r="G525" t="n">
        <v>0.9</v>
      </c>
      <c r="H525" t="n">
        <v>0</v>
      </c>
      <c r="I525" t="n">
        <v>0</v>
      </c>
      <c r="J525" t="n">
        <v>0</v>
      </c>
      <c r="K525" t="n">
        <v>0</v>
      </c>
      <c r="L525" t="n">
        <v>0</v>
      </c>
      <c r="M525" t="n">
        <v>0</v>
      </c>
      <c r="N525" t="n">
        <v>0</v>
      </c>
      <c r="O525" t="n">
        <v>0</v>
      </c>
      <c r="P525" t="n">
        <v>0</v>
      </c>
      <c r="Q525" t="n">
        <v>0</v>
      </c>
      <c r="R525" s="2" t="inlineStr"/>
    </row>
    <row r="526" ht="15" customHeight="1">
      <c r="A526" t="inlineStr">
        <is>
          <t>A 14195-2025</t>
        </is>
      </c>
      <c r="B526" s="1" t="n">
        <v>45740</v>
      </c>
      <c r="C526" s="1" t="n">
        <v>46160</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60245-2025</t>
        </is>
      </c>
      <c r="B527" s="1" t="n">
        <v>45993</v>
      </c>
      <c r="C527" s="1" t="n">
        <v>46160</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60056-2025</t>
        </is>
      </c>
      <c r="B528" s="1" t="n">
        <v>45993</v>
      </c>
      <c r="C528" s="1" t="n">
        <v>46160</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8229-2024</t>
        </is>
      </c>
      <c r="B529" s="1" t="n">
        <v>45351</v>
      </c>
      <c r="C529" s="1" t="n">
        <v>46160</v>
      </c>
      <c r="D529" t="inlineStr">
        <is>
          <t>NORRBOTTENS LÄN</t>
        </is>
      </c>
      <c r="E529" t="inlineStr">
        <is>
          <t>LULEÅ</t>
        </is>
      </c>
      <c r="G529" t="n">
        <v>14.8</v>
      </c>
      <c r="H529" t="n">
        <v>0</v>
      </c>
      <c r="I529" t="n">
        <v>0</v>
      </c>
      <c r="J529" t="n">
        <v>0</v>
      </c>
      <c r="K529" t="n">
        <v>0</v>
      </c>
      <c r="L529" t="n">
        <v>0</v>
      </c>
      <c r="M529" t="n">
        <v>0</v>
      </c>
      <c r="N529" t="n">
        <v>0</v>
      </c>
      <c r="O529" t="n">
        <v>0</v>
      </c>
      <c r="P529" t="n">
        <v>0</v>
      </c>
      <c r="Q529" t="n">
        <v>0</v>
      </c>
      <c r="R529" s="2" t="inlineStr"/>
    </row>
    <row r="530" ht="15" customHeight="1">
      <c r="A530" t="inlineStr">
        <is>
          <t>A 60706-2025</t>
        </is>
      </c>
      <c r="B530" s="1" t="n">
        <v>45996.60962962963</v>
      </c>
      <c r="C530" s="1" t="n">
        <v>46160</v>
      </c>
      <c r="D530" t="inlineStr">
        <is>
          <t>NORRBOTTENS LÄN</t>
        </is>
      </c>
      <c r="E530" t="inlineStr">
        <is>
          <t>LULEÅ</t>
        </is>
      </c>
      <c r="G530" t="n">
        <v>1.5</v>
      </c>
      <c r="H530" t="n">
        <v>0</v>
      </c>
      <c r="I530" t="n">
        <v>0</v>
      </c>
      <c r="J530" t="n">
        <v>0</v>
      </c>
      <c r="K530" t="n">
        <v>0</v>
      </c>
      <c r="L530" t="n">
        <v>0</v>
      </c>
      <c r="M530" t="n">
        <v>0</v>
      </c>
      <c r="N530" t="n">
        <v>0</v>
      </c>
      <c r="O530" t="n">
        <v>0</v>
      </c>
      <c r="P530" t="n">
        <v>0</v>
      </c>
      <c r="Q530" t="n">
        <v>0</v>
      </c>
      <c r="R530" s="2" t="inlineStr"/>
    </row>
    <row r="531" ht="15" customHeight="1">
      <c r="A531" t="inlineStr">
        <is>
          <t>A 60695-2025</t>
        </is>
      </c>
      <c r="B531" s="1" t="n">
        <v>45996.59778935185</v>
      </c>
      <c r="C531" s="1" t="n">
        <v>46160</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60702-2025</t>
        </is>
      </c>
      <c r="B532" s="1" t="n">
        <v>45996.60475694444</v>
      </c>
      <c r="C532" s="1" t="n">
        <v>46160</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60369-2025</t>
        </is>
      </c>
      <c r="B533" s="1" t="n">
        <v>45995.34258101852</v>
      </c>
      <c r="C533" s="1" t="n">
        <v>46160</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46160</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60732-2025</t>
        </is>
      </c>
      <c r="B535" s="1" t="n">
        <v>45995</v>
      </c>
      <c r="C535" s="1" t="n">
        <v>46160</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60690-2025</t>
        </is>
      </c>
      <c r="B536" s="1" t="n">
        <v>45996</v>
      </c>
      <c r="C536" s="1" t="n">
        <v>46160</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30787-2024</t>
        </is>
      </c>
      <c r="B537" s="1" t="n">
        <v>45496.95108796296</v>
      </c>
      <c r="C537" s="1" t="n">
        <v>46160</v>
      </c>
      <c r="D537" t="inlineStr">
        <is>
          <t>NORRBOTTENS LÄN</t>
        </is>
      </c>
      <c r="E537" t="inlineStr">
        <is>
          <t>LULEÅ</t>
        </is>
      </c>
      <c r="F537" t="inlineStr">
        <is>
          <t>Naturvårdsverket</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11049-2026</t>
        </is>
      </c>
      <c r="B538" s="1" t="n">
        <v>46079.58974537037</v>
      </c>
      <c r="C538" s="1" t="n">
        <v>46160</v>
      </c>
      <c r="D538" t="inlineStr">
        <is>
          <t>NORRBOTTENS LÄN</t>
        </is>
      </c>
      <c r="E538" t="inlineStr">
        <is>
          <t>LULEÅ</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42854-2024</t>
        </is>
      </c>
      <c r="B539" s="1" t="n">
        <v>45566.64958333333</v>
      </c>
      <c r="C539" s="1" t="n">
        <v>46160</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19533-2025</t>
        </is>
      </c>
      <c r="B540" s="1" t="n">
        <v>45770.47331018518</v>
      </c>
      <c r="C540" s="1" t="n">
        <v>46160</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15848-2022</t>
        </is>
      </c>
      <c r="B541" s="1" t="n">
        <v>44664</v>
      </c>
      <c r="C541" s="1" t="n">
        <v>46160</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61146-2025</t>
        </is>
      </c>
      <c r="B542" s="1" t="n">
        <v>45999</v>
      </c>
      <c r="C542" s="1" t="n">
        <v>46160</v>
      </c>
      <c r="D542" t="inlineStr">
        <is>
          <t>NORRBOTTENS LÄN</t>
        </is>
      </c>
      <c r="E542" t="inlineStr">
        <is>
          <t>LULEÅ</t>
        </is>
      </c>
      <c r="G542" t="n">
        <v>2</v>
      </c>
      <c r="H542" t="n">
        <v>0</v>
      </c>
      <c r="I542" t="n">
        <v>0</v>
      </c>
      <c r="J542" t="n">
        <v>0</v>
      </c>
      <c r="K542" t="n">
        <v>0</v>
      </c>
      <c r="L542" t="n">
        <v>0</v>
      </c>
      <c r="M542" t="n">
        <v>0</v>
      </c>
      <c r="N542" t="n">
        <v>0</v>
      </c>
      <c r="O542" t="n">
        <v>0</v>
      </c>
      <c r="P542" t="n">
        <v>0</v>
      </c>
      <c r="Q542" t="n">
        <v>0</v>
      </c>
      <c r="R542" s="2" t="inlineStr"/>
    </row>
    <row r="543" ht="15" customHeight="1">
      <c r="A543" t="inlineStr">
        <is>
          <t>A 14196-2025</t>
        </is>
      </c>
      <c r="B543" s="1" t="n">
        <v>45740</v>
      </c>
      <c r="C543" s="1" t="n">
        <v>46160</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61104-2025</t>
        </is>
      </c>
      <c r="B544" s="1" t="n">
        <v>46000.44612268519</v>
      </c>
      <c r="C544" s="1" t="n">
        <v>46160</v>
      </c>
      <c r="D544" t="inlineStr">
        <is>
          <t>NORRBOTTENS LÄN</t>
        </is>
      </c>
      <c r="E544" t="inlineStr">
        <is>
          <t>LULEÅ</t>
        </is>
      </c>
      <c r="G544" t="n">
        <v>4.6</v>
      </c>
      <c r="H544" t="n">
        <v>0</v>
      </c>
      <c r="I544" t="n">
        <v>0</v>
      </c>
      <c r="J544" t="n">
        <v>0</v>
      </c>
      <c r="K544" t="n">
        <v>0</v>
      </c>
      <c r="L544" t="n">
        <v>0</v>
      </c>
      <c r="M544" t="n">
        <v>0</v>
      </c>
      <c r="N544" t="n">
        <v>0</v>
      </c>
      <c r="O544" t="n">
        <v>0</v>
      </c>
      <c r="P544" t="n">
        <v>0</v>
      </c>
      <c r="Q544" t="n">
        <v>0</v>
      </c>
      <c r="R544" s="2" t="inlineStr"/>
    </row>
    <row r="545" ht="15" customHeight="1">
      <c r="A545" t="inlineStr">
        <is>
          <t>A 61272-2025</t>
        </is>
      </c>
      <c r="B545" s="1" t="n">
        <v>46000.6856712963</v>
      </c>
      <c r="C545" s="1" t="n">
        <v>46160</v>
      </c>
      <c r="D545" t="inlineStr">
        <is>
          <t>NORRBOTTENS LÄN</t>
        </is>
      </c>
      <c r="E545" t="inlineStr">
        <is>
          <t>LULEÅ</t>
        </is>
      </c>
      <c r="G545" t="n">
        <v>3.3</v>
      </c>
      <c r="H545" t="n">
        <v>0</v>
      </c>
      <c r="I545" t="n">
        <v>0</v>
      </c>
      <c r="J545" t="n">
        <v>0</v>
      </c>
      <c r="K545" t="n">
        <v>0</v>
      </c>
      <c r="L545" t="n">
        <v>0</v>
      </c>
      <c r="M545" t="n">
        <v>0</v>
      </c>
      <c r="N545" t="n">
        <v>0</v>
      </c>
      <c r="O545" t="n">
        <v>0</v>
      </c>
      <c r="P545" t="n">
        <v>0</v>
      </c>
      <c r="Q545" t="n">
        <v>0</v>
      </c>
      <c r="R545" s="2" t="inlineStr"/>
    </row>
    <row r="546" ht="15" customHeight="1">
      <c r="A546" t="inlineStr">
        <is>
          <t>A 60106-2024</t>
        </is>
      </c>
      <c r="B546" s="1" t="n">
        <v>45642.56950231481</v>
      </c>
      <c r="C546" s="1" t="n">
        <v>46160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12685-2023</t>
        </is>
      </c>
      <c r="B547" s="1" t="n">
        <v>44999</v>
      </c>
      <c r="C547" s="1" t="n">
        <v>46160</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61520-2025</t>
        </is>
      </c>
      <c r="B548" s="1" t="n">
        <v>46001.68658564815</v>
      </c>
      <c r="C548" s="1" t="n">
        <v>46160</v>
      </c>
      <c r="D548" t="inlineStr">
        <is>
          <t>NORRBOTTENS LÄN</t>
        </is>
      </c>
      <c r="E548" t="inlineStr">
        <is>
          <t>LULEÅ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12602-2024</t>
        </is>
      </c>
      <c r="B549" s="1" t="n">
        <v>45381</v>
      </c>
      <c r="C549" s="1" t="n">
        <v>46160</v>
      </c>
      <c r="D549" t="inlineStr">
        <is>
          <t>NORRBOTTENS LÄN</t>
        </is>
      </c>
      <c r="E549" t="inlineStr">
        <is>
          <t>LULEÅ</t>
        </is>
      </c>
      <c r="G549" t="n">
        <v>5.6</v>
      </c>
      <c r="H549" t="n">
        <v>0</v>
      </c>
      <c r="I549" t="n">
        <v>0</v>
      </c>
      <c r="J549" t="n">
        <v>0</v>
      </c>
      <c r="K549" t="n">
        <v>0</v>
      </c>
      <c r="L549" t="n">
        <v>0</v>
      </c>
      <c r="M549" t="n">
        <v>0</v>
      </c>
      <c r="N549" t="n">
        <v>0</v>
      </c>
      <c r="O549" t="n">
        <v>0</v>
      </c>
      <c r="P549" t="n">
        <v>0</v>
      </c>
      <c r="Q549" t="n">
        <v>0</v>
      </c>
      <c r="R549" s="2" t="inlineStr"/>
    </row>
    <row r="550" ht="15" customHeight="1">
      <c r="A550" t="inlineStr">
        <is>
          <t>A 52854-2022</t>
        </is>
      </c>
      <c r="B550" s="1" t="n">
        <v>44872</v>
      </c>
      <c r="C550" s="1" t="n">
        <v>46160</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61634-2025</t>
        </is>
      </c>
      <c r="B551" s="1" t="n">
        <v>46002.41836805556</v>
      </c>
      <c r="C551" s="1" t="n">
        <v>46160</v>
      </c>
      <c r="D551" t="inlineStr">
        <is>
          <t>NORRBOTTENS LÄN</t>
        </is>
      </c>
      <c r="E551" t="inlineStr">
        <is>
          <t>LULEÅ</t>
        </is>
      </c>
      <c r="G551" t="n">
        <v>4.1</v>
      </c>
      <c r="H551" t="n">
        <v>0</v>
      </c>
      <c r="I551" t="n">
        <v>0</v>
      </c>
      <c r="J551" t="n">
        <v>0</v>
      </c>
      <c r="K551" t="n">
        <v>0</v>
      </c>
      <c r="L551" t="n">
        <v>0</v>
      </c>
      <c r="M551" t="n">
        <v>0</v>
      </c>
      <c r="N551" t="n">
        <v>0</v>
      </c>
      <c r="O551" t="n">
        <v>0</v>
      </c>
      <c r="P551" t="n">
        <v>0</v>
      </c>
      <c r="Q551" t="n">
        <v>0</v>
      </c>
      <c r="R551" s="2" t="inlineStr"/>
    </row>
    <row r="552" ht="15" customHeight="1">
      <c r="A552" t="inlineStr">
        <is>
          <t>A 59115-2021</t>
        </is>
      </c>
      <c r="B552" s="1" t="n">
        <v>44490.43877314815</v>
      </c>
      <c r="C552" s="1" t="n">
        <v>46160</v>
      </c>
      <c r="D552" t="inlineStr">
        <is>
          <t>NORRBOTTENS LÄN</t>
        </is>
      </c>
      <c r="E552" t="inlineStr">
        <is>
          <t>LULEÅ</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62188-2025</t>
        </is>
      </c>
      <c r="B553" s="1" t="n">
        <v>46006.5471412037</v>
      </c>
      <c r="C553" s="1" t="n">
        <v>46160</v>
      </c>
      <c r="D553" t="inlineStr">
        <is>
          <t>NORRBOTTENS LÄN</t>
        </is>
      </c>
      <c r="E553" t="inlineStr">
        <is>
          <t>LULEÅ</t>
        </is>
      </c>
      <c r="G553" t="n">
        <v>2.8</v>
      </c>
      <c r="H553" t="n">
        <v>0</v>
      </c>
      <c r="I553" t="n">
        <v>0</v>
      </c>
      <c r="J553" t="n">
        <v>0</v>
      </c>
      <c r="K553" t="n">
        <v>0</v>
      </c>
      <c r="L553" t="n">
        <v>0</v>
      </c>
      <c r="M553" t="n">
        <v>0</v>
      </c>
      <c r="N553" t="n">
        <v>0</v>
      </c>
      <c r="O553" t="n">
        <v>0</v>
      </c>
      <c r="P553" t="n">
        <v>0</v>
      </c>
      <c r="Q553" t="n">
        <v>0</v>
      </c>
      <c r="R553" s="2" t="inlineStr"/>
    </row>
    <row r="554" ht="15" customHeight="1">
      <c r="A554" t="inlineStr">
        <is>
          <t>A 12551-2024</t>
        </is>
      </c>
      <c r="B554" s="1" t="n">
        <v>45379</v>
      </c>
      <c r="C554" s="1" t="n">
        <v>46160</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11298-2026</t>
        </is>
      </c>
      <c r="B555" s="1" t="n">
        <v>46080.62799768519</v>
      </c>
      <c r="C555" s="1" t="n">
        <v>46160</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62135-2025</t>
        </is>
      </c>
      <c r="B556" s="1" t="n">
        <v>46006</v>
      </c>
      <c r="C556" s="1" t="n">
        <v>46160</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62190-2025</t>
        </is>
      </c>
      <c r="B557" s="1" t="n">
        <v>46006.54785879629</v>
      </c>
      <c r="C557" s="1" t="n">
        <v>46160</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62191-2025</t>
        </is>
      </c>
      <c r="B558" s="1" t="n">
        <v>46006.54866898148</v>
      </c>
      <c r="C558" s="1" t="n">
        <v>46160</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60727-2024</t>
        </is>
      </c>
      <c r="B559" s="1" t="n">
        <v>45644.54008101852</v>
      </c>
      <c r="C559" s="1" t="n">
        <v>46160</v>
      </c>
      <c r="D559" t="inlineStr">
        <is>
          <t>NORRBOTTENS LÄN</t>
        </is>
      </c>
      <c r="E559" t="inlineStr">
        <is>
          <t>LULEÅ</t>
        </is>
      </c>
      <c r="G559" t="n">
        <v>18.7</v>
      </c>
      <c r="H559" t="n">
        <v>0</v>
      </c>
      <c r="I559" t="n">
        <v>0</v>
      </c>
      <c r="J559" t="n">
        <v>0</v>
      </c>
      <c r="K559" t="n">
        <v>0</v>
      </c>
      <c r="L559" t="n">
        <v>0</v>
      </c>
      <c r="M559" t="n">
        <v>0</v>
      </c>
      <c r="N559" t="n">
        <v>0</v>
      </c>
      <c r="O559" t="n">
        <v>0</v>
      </c>
      <c r="P559" t="n">
        <v>0</v>
      </c>
      <c r="Q559" t="n">
        <v>0</v>
      </c>
      <c r="R559" s="2" t="inlineStr"/>
    </row>
    <row r="560" ht="15" customHeight="1">
      <c r="A560" t="inlineStr">
        <is>
          <t>A 62783-2025</t>
        </is>
      </c>
      <c r="B560" s="1" t="n">
        <v>46008.61600694444</v>
      </c>
      <c r="C560" s="1" t="n">
        <v>46160</v>
      </c>
      <c r="D560" t="inlineStr">
        <is>
          <t>NORRBOTTENS LÄN</t>
        </is>
      </c>
      <c r="E560" t="inlineStr">
        <is>
          <t>LULEÅ</t>
        </is>
      </c>
      <c r="G560" t="n">
        <v>5.6</v>
      </c>
      <c r="H560" t="n">
        <v>0</v>
      </c>
      <c r="I560" t="n">
        <v>0</v>
      </c>
      <c r="J560" t="n">
        <v>0</v>
      </c>
      <c r="K560" t="n">
        <v>0</v>
      </c>
      <c r="L560" t="n">
        <v>0</v>
      </c>
      <c r="M560" t="n">
        <v>0</v>
      </c>
      <c r="N560" t="n">
        <v>0</v>
      </c>
      <c r="O560" t="n">
        <v>0</v>
      </c>
      <c r="P560" t="n">
        <v>0</v>
      </c>
      <c r="Q560" t="n">
        <v>0</v>
      </c>
      <c r="R560" s="2" t="inlineStr"/>
    </row>
    <row r="561" ht="15" customHeight="1">
      <c r="A561" t="inlineStr">
        <is>
          <t>A 62565-2025</t>
        </is>
      </c>
      <c r="B561" s="1" t="n">
        <v>46007.69832175926</v>
      </c>
      <c r="C561" s="1" t="n">
        <v>46160</v>
      </c>
      <c r="D561" t="inlineStr">
        <is>
          <t>NORRBOTTENS LÄN</t>
        </is>
      </c>
      <c r="E561" t="inlineStr">
        <is>
          <t>LULEÅ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14160-2024</t>
        </is>
      </c>
      <c r="B562" s="1" t="n">
        <v>45392</v>
      </c>
      <c r="C562" s="1" t="n">
        <v>46160</v>
      </c>
      <c r="D562" t="inlineStr">
        <is>
          <t>NORRBOTTENS LÄN</t>
        </is>
      </c>
      <c r="E562" t="inlineStr">
        <is>
          <t>LULEÅ</t>
        </is>
      </c>
      <c r="G562" t="n">
        <v>2.1</v>
      </c>
      <c r="H562" t="n">
        <v>0</v>
      </c>
      <c r="I562" t="n">
        <v>0</v>
      </c>
      <c r="J562" t="n">
        <v>0</v>
      </c>
      <c r="K562" t="n">
        <v>0</v>
      </c>
      <c r="L562" t="n">
        <v>0</v>
      </c>
      <c r="M562" t="n">
        <v>0</v>
      </c>
      <c r="N562" t="n">
        <v>0</v>
      </c>
      <c r="O562" t="n">
        <v>0</v>
      </c>
      <c r="P562" t="n">
        <v>0</v>
      </c>
      <c r="Q562" t="n">
        <v>0</v>
      </c>
      <c r="R562" s="2" t="inlineStr"/>
    </row>
    <row r="563" ht="15" customHeight="1">
      <c r="A563" t="inlineStr">
        <is>
          <t>A 63359-2025</t>
        </is>
      </c>
      <c r="B563" s="1" t="n">
        <v>46010.67465277778</v>
      </c>
      <c r="C563" s="1" t="n">
        <v>46160</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63941-2025</t>
        </is>
      </c>
      <c r="B564" s="1" t="n">
        <v>46010</v>
      </c>
      <c r="C564" s="1" t="n">
        <v>46160</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62993-2025</t>
        </is>
      </c>
      <c r="B565" s="1" t="n">
        <v>46009.53162037037</v>
      </c>
      <c r="C565" s="1" t="n">
        <v>46160</v>
      </c>
      <c r="D565" t="inlineStr">
        <is>
          <t>NORRBOTTENS LÄN</t>
        </is>
      </c>
      <c r="E565" t="inlineStr">
        <is>
          <t>LULEÅ</t>
        </is>
      </c>
      <c r="G565" t="n">
        <v>9.6</v>
      </c>
      <c r="H565" t="n">
        <v>0</v>
      </c>
      <c r="I565" t="n">
        <v>0</v>
      </c>
      <c r="J565" t="n">
        <v>0</v>
      </c>
      <c r="K565" t="n">
        <v>0</v>
      </c>
      <c r="L565" t="n">
        <v>0</v>
      </c>
      <c r="M565" t="n">
        <v>0</v>
      </c>
      <c r="N565" t="n">
        <v>0</v>
      </c>
      <c r="O565" t="n">
        <v>0</v>
      </c>
      <c r="P565" t="n">
        <v>0</v>
      </c>
      <c r="Q565" t="n">
        <v>0</v>
      </c>
      <c r="R565" s="2" t="inlineStr"/>
    </row>
    <row r="566" ht="15" customHeight="1">
      <c r="A566" t="inlineStr">
        <is>
          <t>A 42103-2024</t>
        </is>
      </c>
      <c r="B566" s="1" t="n">
        <v>45562</v>
      </c>
      <c r="C566" s="1" t="n">
        <v>46160</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44462-2025</t>
        </is>
      </c>
      <c r="B567" s="1" t="n">
        <v>45916</v>
      </c>
      <c r="C567" s="1" t="n">
        <v>46160</v>
      </c>
      <c r="D567" t="inlineStr">
        <is>
          <t>NORRBOTTENS LÄN</t>
        </is>
      </c>
      <c r="E567" t="inlineStr">
        <is>
          <t>LULEÅ</t>
        </is>
      </c>
      <c r="G567" t="n">
        <v>5</v>
      </c>
      <c r="H567" t="n">
        <v>0</v>
      </c>
      <c r="I567" t="n">
        <v>0</v>
      </c>
      <c r="J567" t="n">
        <v>0</v>
      </c>
      <c r="K567" t="n">
        <v>0</v>
      </c>
      <c r="L567" t="n">
        <v>0</v>
      </c>
      <c r="M567" t="n">
        <v>0</v>
      </c>
      <c r="N567" t="n">
        <v>0</v>
      </c>
      <c r="O567" t="n">
        <v>0</v>
      </c>
      <c r="P567" t="n">
        <v>0</v>
      </c>
      <c r="Q567" t="n">
        <v>0</v>
      </c>
      <c r="R567" s="2" t="inlineStr"/>
    </row>
    <row r="568" ht="15" customHeight="1">
      <c r="A568" t="inlineStr">
        <is>
          <t>A 11288-2026</t>
        </is>
      </c>
      <c r="B568" s="1" t="n">
        <v>46080.60869212963</v>
      </c>
      <c r="C568" s="1" t="n">
        <v>46160</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22007-2024</t>
        </is>
      </c>
      <c r="B569" s="1" t="n">
        <v>45443</v>
      </c>
      <c r="C569" s="1" t="n">
        <v>46160</v>
      </c>
      <c r="D569" t="inlineStr">
        <is>
          <t>NORRBOTTENS LÄN</t>
        </is>
      </c>
      <c r="E569" t="inlineStr">
        <is>
          <t>LULEÅ</t>
        </is>
      </c>
      <c r="G569" t="n">
        <v>1.4</v>
      </c>
      <c r="H569" t="n">
        <v>0</v>
      </c>
      <c r="I569" t="n">
        <v>0</v>
      </c>
      <c r="J569" t="n">
        <v>0</v>
      </c>
      <c r="K569" t="n">
        <v>0</v>
      </c>
      <c r="L569" t="n">
        <v>0</v>
      </c>
      <c r="M569" t="n">
        <v>0</v>
      </c>
      <c r="N569" t="n">
        <v>0</v>
      </c>
      <c r="O569" t="n">
        <v>0</v>
      </c>
      <c r="P569" t="n">
        <v>0</v>
      </c>
      <c r="Q569" t="n">
        <v>0</v>
      </c>
      <c r="R569" s="2" t="inlineStr"/>
    </row>
    <row r="570" ht="15" customHeight="1">
      <c r="A570" t="inlineStr">
        <is>
          <t>A 63211-2025</t>
        </is>
      </c>
      <c r="B570" s="1" t="n">
        <v>46010.47768518519</v>
      </c>
      <c r="C570" s="1" t="n">
        <v>46160</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63210-2025</t>
        </is>
      </c>
      <c r="B571" s="1" t="n">
        <v>46010.4771875</v>
      </c>
      <c r="C571" s="1" t="n">
        <v>46160</v>
      </c>
      <c r="D571" t="inlineStr">
        <is>
          <t>NORRBOTTENS LÄN</t>
        </is>
      </c>
      <c r="E571" t="inlineStr">
        <is>
          <t>LULEÅ</t>
        </is>
      </c>
      <c r="G571" t="n">
        <v>10</v>
      </c>
      <c r="H571" t="n">
        <v>0</v>
      </c>
      <c r="I571" t="n">
        <v>0</v>
      </c>
      <c r="J571" t="n">
        <v>0</v>
      </c>
      <c r="K571" t="n">
        <v>0</v>
      </c>
      <c r="L571" t="n">
        <v>0</v>
      </c>
      <c r="M571" t="n">
        <v>0</v>
      </c>
      <c r="N571" t="n">
        <v>0</v>
      </c>
      <c r="O571" t="n">
        <v>0</v>
      </c>
      <c r="P571" t="n">
        <v>0</v>
      </c>
      <c r="Q571" t="n">
        <v>0</v>
      </c>
      <c r="R571" s="2" t="inlineStr"/>
    </row>
    <row r="572" ht="15" customHeight="1">
      <c r="A572" t="inlineStr">
        <is>
          <t>A 30289-2023</t>
        </is>
      </c>
      <c r="B572" s="1" t="n">
        <v>45110</v>
      </c>
      <c r="C572" s="1" t="n">
        <v>46160</v>
      </c>
      <c r="D572" t="inlineStr">
        <is>
          <t>NORRBOTTENS LÄN</t>
        </is>
      </c>
      <c r="E572" t="inlineStr">
        <is>
          <t>LULEÅ</t>
        </is>
      </c>
      <c r="G572" t="n">
        <v>4.1</v>
      </c>
      <c r="H572" t="n">
        <v>0</v>
      </c>
      <c r="I572" t="n">
        <v>0</v>
      </c>
      <c r="J572" t="n">
        <v>0</v>
      </c>
      <c r="K572" t="n">
        <v>0</v>
      </c>
      <c r="L572" t="n">
        <v>0</v>
      </c>
      <c r="M572" t="n">
        <v>0</v>
      </c>
      <c r="N572" t="n">
        <v>0</v>
      </c>
      <c r="O572" t="n">
        <v>0</v>
      </c>
      <c r="P572" t="n">
        <v>0</v>
      </c>
      <c r="Q572" t="n">
        <v>0</v>
      </c>
      <c r="R572" s="2" t="inlineStr"/>
    </row>
    <row r="573" ht="15" customHeight="1">
      <c r="A573" t="inlineStr">
        <is>
          <t>A 63204-2025</t>
        </is>
      </c>
      <c r="B573" s="1" t="n">
        <v>46010.46950231482</v>
      </c>
      <c r="C573" s="1" t="n">
        <v>46160</v>
      </c>
      <c r="D573" t="inlineStr">
        <is>
          <t>NORRBOTTENS LÄN</t>
        </is>
      </c>
      <c r="E573" t="inlineStr">
        <is>
          <t>LULEÅ</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63725-2025</t>
        </is>
      </c>
      <c r="B574" s="1" t="n">
        <v>46010</v>
      </c>
      <c r="C574" s="1" t="n">
        <v>46160</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18608-2026</t>
        </is>
      </c>
      <c r="B575" s="1" t="n">
        <v>46127.65856481482</v>
      </c>
      <c r="C575" s="1" t="n">
        <v>46160</v>
      </c>
      <c r="D575" t="inlineStr">
        <is>
          <t>NORRBOTTENS LÄN</t>
        </is>
      </c>
      <c r="E575" t="inlineStr">
        <is>
          <t>LULEÅ</t>
        </is>
      </c>
      <c r="G575" t="n">
        <v>6.2</v>
      </c>
      <c r="H575" t="n">
        <v>0</v>
      </c>
      <c r="I575" t="n">
        <v>0</v>
      </c>
      <c r="J575" t="n">
        <v>0</v>
      </c>
      <c r="K575" t="n">
        <v>0</v>
      </c>
      <c r="L575" t="n">
        <v>0</v>
      </c>
      <c r="M575" t="n">
        <v>0</v>
      </c>
      <c r="N575" t="n">
        <v>0</v>
      </c>
      <c r="O575" t="n">
        <v>0</v>
      </c>
      <c r="P575" t="n">
        <v>0</v>
      </c>
      <c r="Q575" t="n">
        <v>0</v>
      </c>
      <c r="R575" s="2" t="inlineStr"/>
    </row>
    <row r="576" ht="15" customHeight="1">
      <c r="A576" t="inlineStr">
        <is>
          <t>A 58831-2024</t>
        </is>
      </c>
      <c r="B576" s="1" t="n">
        <v>45635</v>
      </c>
      <c r="C576" s="1" t="n">
        <v>46160</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63233-2025</t>
        </is>
      </c>
      <c r="B577" s="1" t="n">
        <v>46010.51313657407</v>
      </c>
      <c r="C577" s="1" t="n">
        <v>46160</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58823-2024</t>
        </is>
      </c>
      <c r="B578" s="1" t="n">
        <v>45635</v>
      </c>
      <c r="C578" s="1" t="n">
        <v>46160</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46160</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62947-2025</t>
        </is>
      </c>
      <c r="B580" s="1" t="n">
        <v>46009</v>
      </c>
      <c r="C580" s="1" t="n">
        <v>46160</v>
      </c>
      <c r="D580" t="inlineStr">
        <is>
          <t>NORRBOTTENS LÄN</t>
        </is>
      </c>
      <c r="E580" t="inlineStr">
        <is>
          <t>LULEÅ</t>
        </is>
      </c>
      <c r="G580" t="n">
        <v>2.9</v>
      </c>
      <c r="H580" t="n">
        <v>0</v>
      </c>
      <c r="I580" t="n">
        <v>0</v>
      </c>
      <c r="J580" t="n">
        <v>0</v>
      </c>
      <c r="K580" t="n">
        <v>0</v>
      </c>
      <c r="L580" t="n">
        <v>0</v>
      </c>
      <c r="M580" t="n">
        <v>0</v>
      </c>
      <c r="N580" t="n">
        <v>0</v>
      </c>
      <c r="O580" t="n">
        <v>0</v>
      </c>
      <c r="P580" t="n">
        <v>0</v>
      </c>
      <c r="Q580" t="n">
        <v>0</v>
      </c>
      <c r="R580" s="2" t="inlineStr"/>
    </row>
    <row r="581" ht="15" customHeight="1">
      <c r="A581" t="inlineStr">
        <is>
          <t>A 63942-2025</t>
        </is>
      </c>
      <c r="B581" s="1" t="n">
        <v>46010</v>
      </c>
      <c r="C581" s="1" t="n">
        <v>46160</v>
      </c>
      <c r="D581" t="inlineStr">
        <is>
          <t>NORRBOTTENS LÄN</t>
        </is>
      </c>
      <c r="E581" t="inlineStr">
        <is>
          <t>LULEÅ</t>
        </is>
      </c>
      <c r="G581" t="n">
        <v>5.7</v>
      </c>
      <c r="H581" t="n">
        <v>0</v>
      </c>
      <c r="I581" t="n">
        <v>0</v>
      </c>
      <c r="J581" t="n">
        <v>0</v>
      </c>
      <c r="K581" t="n">
        <v>0</v>
      </c>
      <c r="L581" t="n">
        <v>0</v>
      </c>
      <c r="M581" t="n">
        <v>0</v>
      </c>
      <c r="N581" t="n">
        <v>0</v>
      </c>
      <c r="O581" t="n">
        <v>0</v>
      </c>
      <c r="P581" t="n">
        <v>0</v>
      </c>
      <c r="Q581" t="n">
        <v>0</v>
      </c>
      <c r="R581" s="2" t="inlineStr"/>
    </row>
    <row r="582" ht="15" customHeight="1">
      <c r="A582" t="inlineStr">
        <is>
          <t>A 63943-2025</t>
        </is>
      </c>
      <c r="B582" s="1" t="n">
        <v>46010</v>
      </c>
      <c r="C582" s="1" t="n">
        <v>46160</v>
      </c>
      <c r="D582" t="inlineStr">
        <is>
          <t>NORRBOTTENS LÄN</t>
        </is>
      </c>
      <c r="E582" t="inlineStr">
        <is>
          <t>LULEÅ</t>
        </is>
      </c>
      <c r="G582" t="n">
        <v>2.3</v>
      </c>
      <c r="H582" t="n">
        <v>0</v>
      </c>
      <c r="I582" t="n">
        <v>0</v>
      </c>
      <c r="J582" t="n">
        <v>0</v>
      </c>
      <c r="K582" t="n">
        <v>0</v>
      </c>
      <c r="L582" t="n">
        <v>0</v>
      </c>
      <c r="M582" t="n">
        <v>0</v>
      </c>
      <c r="N582" t="n">
        <v>0</v>
      </c>
      <c r="O582" t="n">
        <v>0</v>
      </c>
      <c r="P582" t="n">
        <v>0</v>
      </c>
      <c r="Q582" t="n">
        <v>0</v>
      </c>
      <c r="R582" s="2" t="inlineStr"/>
    </row>
    <row r="583" ht="15" customHeight="1">
      <c r="A583" t="inlineStr">
        <is>
          <t>A 44443-2025</t>
        </is>
      </c>
      <c r="B583" s="1" t="n">
        <v>45916</v>
      </c>
      <c r="C583" s="1" t="n">
        <v>46160</v>
      </c>
      <c r="D583" t="inlineStr">
        <is>
          <t>NORRBOTTENS LÄN</t>
        </is>
      </c>
      <c r="E583" t="inlineStr">
        <is>
          <t>LULEÅ</t>
        </is>
      </c>
      <c r="G583" t="n">
        <v>8.9</v>
      </c>
      <c r="H583" t="n">
        <v>0</v>
      </c>
      <c r="I583" t="n">
        <v>0</v>
      </c>
      <c r="J583" t="n">
        <v>0</v>
      </c>
      <c r="K583" t="n">
        <v>0</v>
      </c>
      <c r="L583" t="n">
        <v>0</v>
      </c>
      <c r="M583" t="n">
        <v>0</v>
      </c>
      <c r="N583" t="n">
        <v>0</v>
      </c>
      <c r="O583" t="n">
        <v>0</v>
      </c>
      <c r="P583" t="n">
        <v>0</v>
      </c>
      <c r="Q583" t="n">
        <v>0</v>
      </c>
      <c r="R583" s="2" t="inlineStr"/>
    </row>
    <row r="584" ht="15" customHeight="1">
      <c r="A584" t="inlineStr">
        <is>
          <t>A 44463-2025</t>
        </is>
      </c>
      <c r="B584" s="1" t="n">
        <v>45916</v>
      </c>
      <c r="C584" s="1" t="n">
        <v>46160</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63208-2025</t>
        </is>
      </c>
      <c r="B585" s="1" t="n">
        <v>46010.47444444444</v>
      </c>
      <c r="C585" s="1" t="n">
        <v>46160</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63940-2025</t>
        </is>
      </c>
      <c r="B586" s="1" t="n">
        <v>46010</v>
      </c>
      <c r="C586" s="1" t="n">
        <v>46160</v>
      </c>
      <c r="D586" t="inlineStr">
        <is>
          <t>NORRBOTTENS LÄN</t>
        </is>
      </c>
      <c r="E586" t="inlineStr">
        <is>
          <t>LULEÅ</t>
        </is>
      </c>
      <c r="G586" t="n">
        <v>0.4</v>
      </c>
      <c r="H586" t="n">
        <v>0</v>
      </c>
      <c r="I586" t="n">
        <v>0</v>
      </c>
      <c r="J586" t="n">
        <v>0</v>
      </c>
      <c r="K586" t="n">
        <v>0</v>
      </c>
      <c r="L586" t="n">
        <v>0</v>
      </c>
      <c r="M586" t="n">
        <v>0</v>
      </c>
      <c r="N586" t="n">
        <v>0</v>
      </c>
      <c r="O586" t="n">
        <v>0</v>
      </c>
      <c r="P586" t="n">
        <v>0</v>
      </c>
      <c r="Q586" t="n">
        <v>0</v>
      </c>
      <c r="R586" s="2" t="inlineStr"/>
    </row>
    <row r="587" ht="15" customHeight="1">
      <c r="A587" t="inlineStr">
        <is>
          <t>A 22017-2024</t>
        </is>
      </c>
      <c r="B587" s="1" t="n">
        <v>45443</v>
      </c>
      <c r="C587" s="1" t="n">
        <v>46160</v>
      </c>
      <c r="D587" t="inlineStr">
        <is>
          <t>NORRBOTTENS LÄN</t>
        </is>
      </c>
      <c r="E587" t="inlineStr">
        <is>
          <t>LULEÅ</t>
        </is>
      </c>
      <c r="G587" t="n">
        <v>0.2</v>
      </c>
      <c r="H587" t="n">
        <v>0</v>
      </c>
      <c r="I587" t="n">
        <v>0</v>
      </c>
      <c r="J587" t="n">
        <v>0</v>
      </c>
      <c r="K587" t="n">
        <v>0</v>
      </c>
      <c r="L587" t="n">
        <v>0</v>
      </c>
      <c r="M587" t="n">
        <v>0</v>
      </c>
      <c r="N587" t="n">
        <v>0</v>
      </c>
      <c r="O587" t="n">
        <v>0</v>
      </c>
      <c r="P587" t="n">
        <v>0</v>
      </c>
      <c r="Q587" t="n">
        <v>0</v>
      </c>
      <c r="R587" s="2" t="inlineStr"/>
    </row>
    <row r="588" ht="15" customHeight="1">
      <c r="A588" t="inlineStr">
        <is>
          <t>A 62899-2025</t>
        </is>
      </c>
      <c r="B588" s="1" t="n">
        <v>46009.34431712963</v>
      </c>
      <c r="C588" s="1" t="n">
        <v>46160</v>
      </c>
      <c r="D588" t="inlineStr">
        <is>
          <t>NORRBOTTENS LÄN</t>
        </is>
      </c>
      <c r="E588" t="inlineStr">
        <is>
          <t>LULEÅ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46160</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64062-2025</t>
        </is>
      </c>
      <c r="B590" s="1" t="n">
        <v>46010</v>
      </c>
      <c r="C590" s="1" t="n">
        <v>46160</v>
      </c>
      <c r="D590" t="inlineStr">
        <is>
          <t>NORRBOTTENS LÄN</t>
        </is>
      </c>
      <c r="E590" t="inlineStr">
        <is>
          <t>LULEÅ</t>
        </is>
      </c>
      <c r="G590" t="n">
        <v>0.3</v>
      </c>
      <c r="H590" t="n">
        <v>0</v>
      </c>
      <c r="I590" t="n">
        <v>0</v>
      </c>
      <c r="J590" t="n">
        <v>0</v>
      </c>
      <c r="K590" t="n">
        <v>0</v>
      </c>
      <c r="L590" t="n">
        <v>0</v>
      </c>
      <c r="M590" t="n">
        <v>0</v>
      </c>
      <c r="N590" t="n">
        <v>0</v>
      </c>
      <c r="O590" t="n">
        <v>0</v>
      </c>
      <c r="P590" t="n">
        <v>0</v>
      </c>
      <c r="Q590" t="n">
        <v>0</v>
      </c>
      <c r="R590" s="2" t="inlineStr"/>
    </row>
    <row r="591" ht="15" customHeight="1">
      <c r="A591" t="inlineStr">
        <is>
          <t>A 23819-2023</t>
        </is>
      </c>
      <c r="B591" s="1" t="n">
        <v>45075</v>
      </c>
      <c r="C591" s="1" t="n">
        <v>46160</v>
      </c>
      <c r="D591" t="inlineStr">
        <is>
          <t>NORRBOTTENS LÄN</t>
        </is>
      </c>
      <c r="E591" t="inlineStr">
        <is>
          <t>LULEÅ</t>
        </is>
      </c>
      <c r="G591" t="n">
        <v>1.3</v>
      </c>
      <c r="H591" t="n">
        <v>0</v>
      </c>
      <c r="I591" t="n">
        <v>0</v>
      </c>
      <c r="J591" t="n">
        <v>0</v>
      </c>
      <c r="K591" t="n">
        <v>0</v>
      </c>
      <c r="L591" t="n">
        <v>0</v>
      </c>
      <c r="M591" t="n">
        <v>0</v>
      </c>
      <c r="N591" t="n">
        <v>0</v>
      </c>
      <c r="O591" t="n">
        <v>0</v>
      </c>
      <c r="P591" t="n">
        <v>0</v>
      </c>
      <c r="Q591" t="n">
        <v>0</v>
      </c>
      <c r="R591" s="2" t="inlineStr"/>
    </row>
    <row r="592" ht="15" customHeight="1">
      <c r="A592" t="inlineStr">
        <is>
          <t>A 18548-2026</t>
        </is>
      </c>
      <c r="B592" s="1" t="n">
        <v>46127.56789351852</v>
      </c>
      <c r="C592" s="1" t="n">
        <v>46160</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row>
    <row r="593" ht="15" customHeight="1">
      <c r="A593" t="inlineStr">
        <is>
          <t>A 9282-2023</t>
        </is>
      </c>
      <c r="B593" s="1" t="n">
        <v>44977</v>
      </c>
      <c r="C593" s="1" t="n">
        <v>46160</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1312-2024</t>
        </is>
      </c>
      <c r="B594" s="1" t="n">
        <v>45303</v>
      </c>
      <c r="C594" s="1" t="n">
        <v>46160</v>
      </c>
      <c r="D594" t="inlineStr">
        <is>
          <t>NORRBOTTENS LÄN</t>
        </is>
      </c>
      <c r="E594" t="inlineStr">
        <is>
          <t>LULEÅ</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25578-2024</t>
        </is>
      </c>
      <c r="B595" s="1" t="n">
        <v>45463</v>
      </c>
      <c r="C595" s="1" t="n">
        <v>46160</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12307-2026</t>
        </is>
      </c>
      <c r="B596" s="1" t="n">
        <v>46087.58144675926</v>
      </c>
      <c r="C596" s="1" t="n">
        <v>46160</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18166-2023</t>
        </is>
      </c>
      <c r="B597" s="1" t="n">
        <v>45040.94335648148</v>
      </c>
      <c r="C597" s="1" t="n">
        <v>46160</v>
      </c>
      <c r="D597" t="inlineStr">
        <is>
          <t>NORRBOTTENS LÄN</t>
        </is>
      </c>
      <c r="E597" t="inlineStr">
        <is>
          <t>LULEÅ</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30727-2023</t>
        </is>
      </c>
      <c r="B598" s="1" t="n">
        <v>45112</v>
      </c>
      <c r="C598" s="1" t="n">
        <v>46160</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72756-2021</t>
        </is>
      </c>
      <c r="B599" s="1" t="n">
        <v>44546.92277777778</v>
      </c>
      <c r="C599" s="1" t="n">
        <v>46160</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72752-2021</t>
        </is>
      </c>
      <c r="B600" s="1" t="n">
        <v>44546.92262731482</v>
      </c>
      <c r="C600" s="1" t="n">
        <v>46160</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19383-2026</t>
        </is>
      </c>
      <c r="B601" s="1" t="n">
        <v>46133.56925925926</v>
      </c>
      <c r="C601" s="1" t="n">
        <v>46160</v>
      </c>
      <c r="D601" t="inlineStr">
        <is>
          <t>NORRBOTTENS LÄN</t>
        </is>
      </c>
      <c r="E601" t="inlineStr">
        <is>
          <t>LULEÅ</t>
        </is>
      </c>
      <c r="F601" t="inlineStr">
        <is>
          <t>Sveaskog</t>
        </is>
      </c>
      <c r="G601" t="n">
        <v>6.4</v>
      </c>
      <c r="H601" t="n">
        <v>0</v>
      </c>
      <c r="I601" t="n">
        <v>0</v>
      </c>
      <c r="J601" t="n">
        <v>0</v>
      </c>
      <c r="K601" t="n">
        <v>0</v>
      </c>
      <c r="L601" t="n">
        <v>0</v>
      </c>
      <c r="M601" t="n">
        <v>0</v>
      </c>
      <c r="N601" t="n">
        <v>0</v>
      </c>
      <c r="O601" t="n">
        <v>0</v>
      </c>
      <c r="P601" t="n">
        <v>0</v>
      </c>
      <c r="Q601" t="n">
        <v>0</v>
      </c>
      <c r="R601" s="2" t="inlineStr"/>
    </row>
    <row r="602" ht="15" customHeight="1">
      <c r="A602" t="inlineStr">
        <is>
          <t>A 7880-2025</t>
        </is>
      </c>
      <c r="B602" s="1" t="n">
        <v>45706.785</v>
      </c>
      <c r="C602" s="1" t="n">
        <v>46160</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38358-2023</t>
        </is>
      </c>
      <c r="B603" s="1" t="n">
        <v>45161.94293981481</v>
      </c>
      <c r="C603" s="1" t="n">
        <v>46160</v>
      </c>
      <c r="D603" t="inlineStr">
        <is>
          <t>NORRBOTTENS LÄN</t>
        </is>
      </c>
      <c r="E603" t="inlineStr">
        <is>
          <t>LULEÅ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49208-2024</t>
        </is>
      </c>
      <c r="B604" s="1" t="n">
        <v>45595.37256944444</v>
      </c>
      <c r="C604" s="1" t="n">
        <v>46160</v>
      </c>
      <c r="D604" t="inlineStr">
        <is>
          <t>NORRBOTTENS LÄN</t>
        </is>
      </c>
      <c r="E604" t="inlineStr">
        <is>
          <t>LULEÅ</t>
        </is>
      </c>
      <c r="G604" t="n">
        <v>5.2</v>
      </c>
      <c r="H604" t="n">
        <v>0</v>
      </c>
      <c r="I604" t="n">
        <v>0</v>
      </c>
      <c r="J604" t="n">
        <v>0</v>
      </c>
      <c r="K604" t="n">
        <v>0</v>
      </c>
      <c r="L604" t="n">
        <v>0</v>
      </c>
      <c r="M604" t="n">
        <v>0</v>
      </c>
      <c r="N604" t="n">
        <v>0</v>
      </c>
      <c r="O604" t="n">
        <v>0</v>
      </c>
      <c r="P604" t="n">
        <v>0</v>
      </c>
      <c r="Q604" t="n">
        <v>0</v>
      </c>
      <c r="R604" s="2" t="inlineStr"/>
    </row>
    <row r="605" ht="15" customHeight="1">
      <c r="A605" t="inlineStr">
        <is>
          <t>A 12608-2026</t>
        </is>
      </c>
      <c r="B605" s="1" t="n">
        <v>46090</v>
      </c>
      <c r="C605" s="1" t="n">
        <v>46160</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12765-2026</t>
        </is>
      </c>
      <c r="B606" s="1" t="n">
        <v>46091.66613425926</v>
      </c>
      <c r="C606" s="1" t="n">
        <v>46160</v>
      </c>
      <c r="D606" t="inlineStr">
        <is>
          <t>NORRBOTTENS LÄN</t>
        </is>
      </c>
      <c r="E606" t="inlineStr">
        <is>
          <t>LULEÅ</t>
        </is>
      </c>
      <c r="G606" t="n">
        <v>13.1</v>
      </c>
      <c r="H606" t="n">
        <v>0</v>
      </c>
      <c r="I606" t="n">
        <v>0</v>
      </c>
      <c r="J606" t="n">
        <v>0</v>
      </c>
      <c r="K606" t="n">
        <v>0</v>
      </c>
      <c r="L606" t="n">
        <v>0</v>
      </c>
      <c r="M606" t="n">
        <v>0</v>
      </c>
      <c r="N606" t="n">
        <v>0</v>
      </c>
      <c r="O606" t="n">
        <v>0</v>
      </c>
      <c r="P606" t="n">
        <v>0</v>
      </c>
      <c r="Q606" t="n">
        <v>0</v>
      </c>
      <c r="R606" s="2" t="inlineStr"/>
    </row>
    <row r="607" ht="15" customHeight="1">
      <c r="A607" t="inlineStr">
        <is>
          <t>A 12408-2026</t>
        </is>
      </c>
      <c r="B607" s="1" t="n">
        <v>46090.41934027777</v>
      </c>
      <c r="C607" s="1" t="n">
        <v>46160</v>
      </c>
      <c r="D607" t="inlineStr">
        <is>
          <t>NORRBOTTENS LÄN</t>
        </is>
      </c>
      <c r="E607" t="inlineStr">
        <is>
          <t>LULEÅ</t>
        </is>
      </c>
      <c r="G607" t="n">
        <v>11.4</v>
      </c>
      <c r="H607" t="n">
        <v>0</v>
      </c>
      <c r="I607" t="n">
        <v>0</v>
      </c>
      <c r="J607" t="n">
        <v>0</v>
      </c>
      <c r="K607" t="n">
        <v>0</v>
      </c>
      <c r="L607" t="n">
        <v>0</v>
      </c>
      <c r="M607" t="n">
        <v>0</v>
      </c>
      <c r="N607" t="n">
        <v>0</v>
      </c>
      <c r="O607" t="n">
        <v>0</v>
      </c>
      <c r="P607" t="n">
        <v>0</v>
      </c>
      <c r="Q607" t="n">
        <v>0</v>
      </c>
      <c r="R607" s="2" t="inlineStr"/>
    </row>
    <row r="608" ht="15" customHeight="1">
      <c r="A608" t="inlineStr">
        <is>
          <t>A 8521-2022</t>
        </is>
      </c>
      <c r="B608" s="1" t="n">
        <v>44610</v>
      </c>
      <c r="C608" s="1" t="n">
        <v>46160</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62732-2021</t>
        </is>
      </c>
      <c r="B609" s="1" t="n">
        <v>44503</v>
      </c>
      <c r="C609" s="1" t="n">
        <v>46160</v>
      </c>
      <c r="D609" t="inlineStr">
        <is>
          <t>NORRBOTTENS LÄN</t>
        </is>
      </c>
      <c r="E609" t="inlineStr">
        <is>
          <t>LULEÅ</t>
        </is>
      </c>
      <c r="G609" t="n">
        <v>2.5</v>
      </c>
      <c r="H609" t="n">
        <v>0</v>
      </c>
      <c r="I609" t="n">
        <v>0</v>
      </c>
      <c r="J609" t="n">
        <v>0</v>
      </c>
      <c r="K609" t="n">
        <v>0</v>
      </c>
      <c r="L609" t="n">
        <v>0</v>
      </c>
      <c r="M609" t="n">
        <v>0</v>
      </c>
      <c r="N609" t="n">
        <v>0</v>
      </c>
      <c r="O609" t="n">
        <v>0</v>
      </c>
      <c r="P609" t="n">
        <v>0</v>
      </c>
      <c r="Q609" t="n">
        <v>0</v>
      </c>
      <c r="R609" s="2" t="inlineStr"/>
    </row>
    <row r="610" ht="15" customHeight="1">
      <c r="A610" t="inlineStr">
        <is>
          <t>A 29555-2024</t>
        </is>
      </c>
      <c r="B610" s="1" t="n">
        <v>45484</v>
      </c>
      <c r="C610" s="1" t="n">
        <v>46160</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59400-2024</t>
        </is>
      </c>
      <c r="B611" s="1" t="n">
        <v>45638</v>
      </c>
      <c r="C611" s="1" t="n">
        <v>46160</v>
      </c>
      <c r="D611" t="inlineStr">
        <is>
          <t>NORRBOTTENS LÄN</t>
        </is>
      </c>
      <c r="E611" t="inlineStr">
        <is>
          <t>LULEÅ</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19983-2025</t>
        </is>
      </c>
      <c r="B612" s="1" t="n">
        <v>45771.71908564815</v>
      </c>
      <c r="C612" s="1" t="n">
        <v>46160</v>
      </c>
      <c r="D612" t="inlineStr">
        <is>
          <t>NORRBOTTENS LÄN</t>
        </is>
      </c>
      <c r="E612" t="inlineStr">
        <is>
          <t>LULEÅ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11982-2023</t>
        </is>
      </c>
      <c r="B613" s="1" t="n">
        <v>44994</v>
      </c>
      <c r="C613" s="1" t="n">
        <v>46160</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14990-2024</t>
        </is>
      </c>
      <c r="B614" s="1" t="n">
        <v>45399.36019675926</v>
      </c>
      <c r="C614" s="1" t="n">
        <v>46160</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46160</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19986-2025</t>
        </is>
      </c>
      <c r="B616" s="1" t="n">
        <v>45771.71979166667</v>
      </c>
      <c r="C616" s="1" t="n">
        <v>46160</v>
      </c>
      <c r="D616" t="inlineStr">
        <is>
          <t>NORRBOTTENS LÄN</t>
        </is>
      </c>
      <c r="E616" t="inlineStr">
        <is>
          <t>LULEÅ</t>
        </is>
      </c>
      <c r="F616" t="inlineStr">
        <is>
          <t>Naturvårdsverket</t>
        </is>
      </c>
      <c r="G616" t="n">
        <v>1.3</v>
      </c>
      <c r="H616" t="n">
        <v>0</v>
      </c>
      <c r="I616" t="n">
        <v>0</v>
      </c>
      <c r="J616" t="n">
        <v>0</v>
      </c>
      <c r="K616" t="n">
        <v>0</v>
      </c>
      <c r="L616" t="n">
        <v>0</v>
      </c>
      <c r="M616" t="n">
        <v>0</v>
      </c>
      <c r="N616" t="n">
        <v>0</v>
      </c>
      <c r="O616" t="n">
        <v>0</v>
      </c>
      <c r="P616" t="n">
        <v>0</v>
      </c>
      <c r="Q616" t="n">
        <v>0</v>
      </c>
      <c r="R616" s="2" t="inlineStr"/>
    </row>
    <row r="617" ht="15" customHeight="1">
      <c r="A617" t="inlineStr">
        <is>
          <t>A 15127-2023</t>
        </is>
      </c>
      <c r="B617" s="1" t="n">
        <v>45016</v>
      </c>
      <c r="C617" s="1" t="n">
        <v>46160</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13695-2026</t>
        </is>
      </c>
      <c r="B618" s="1" t="n">
        <v>46097</v>
      </c>
      <c r="C618" s="1" t="n">
        <v>46160</v>
      </c>
      <c r="D618" t="inlineStr">
        <is>
          <t>NORRBOTTENS LÄN</t>
        </is>
      </c>
      <c r="E618" t="inlineStr">
        <is>
          <t>LULEÅ</t>
        </is>
      </c>
      <c r="G618" t="n">
        <v>5.5</v>
      </c>
      <c r="H618" t="n">
        <v>0</v>
      </c>
      <c r="I618" t="n">
        <v>0</v>
      </c>
      <c r="J618" t="n">
        <v>0</v>
      </c>
      <c r="K618" t="n">
        <v>0</v>
      </c>
      <c r="L618" t="n">
        <v>0</v>
      </c>
      <c r="M618" t="n">
        <v>0</v>
      </c>
      <c r="N618" t="n">
        <v>0</v>
      </c>
      <c r="O618" t="n">
        <v>0</v>
      </c>
      <c r="P618" t="n">
        <v>0</v>
      </c>
      <c r="Q618" t="n">
        <v>0</v>
      </c>
      <c r="R618" s="2" t="inlineStr"/>
    </row>
    <row r="619" ht="15" customHeight="1">
      <c r="A619" t="inlineStr">
        <is>
          <t>A 12323-2023</t>
        </is>
      </c>
      <c r="B619" s="1" t="n">
        <v>44995</v>
      </c>
      <c r="C619" s="1" t="n">
        <v>46160</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19973-2026</t>
        </is>
      </c>
      <c r="B620" s="1" t="n">
        <v>46136.43650462963</v>
      </c>
      <c r="C620" s="1" t="n">
        <v>46160</v>
      </c>
      <c r="D620" t="inlineStr">
        <is>
          <t>NORRBOTTENS LÄN</t>
        </is>
      </c>
      <c r="E620" t="inlineStr">
        <is>
          <t>LULEÅ</t>
        </is>
      </c>
      <c r="G620" t="n">
        <v>7.7</v>
      </c>
      <c r="H620" t="n">
        <v>0</v>
      </c>
      <c r="I620" t="n">
        <v>0</v>
      </c>
      <c r="J620" t="n">
        <v>0</v>
      </c>
      <c r="K620" t="n">
        <v>0</v>
      </c>
      <c r="L620" t="n">
        <v>0</v>
      </c>
      <c r="M620" t="n">
        <v>0</v>
      </c>
      <c r="N620" t="n">
        <v>0</v>
      </c>
      <c r="O620" t="n">
        <v>0</v>
      </c>
      <c r="P620" t="n">
        <v>0</v>
      </c>
      <c r="Q620" t="n">
        <v>0</v>
      </c>
      <c r="R620" s="2" t="inlineStr"/>
    </row>
    <row r="621" ht="15" customHeight="1">
      <c r="A621" t="inlineStr">
        <is>
          <t>A 20159-2026</t>
        </is>
      </c>
      <c r="B621" s="1" t="n">
        <v>46138.61879629629</v>
      </c>
      <c r="C621" s="1" t="n">
        <v>46160</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60387-2024</t>
        </is>
      </c>
      <c r="B622" s="1" t="n">
        <v>45643.48357638889</v>
      </c>
      <c r="C622" s="1" t="n">
        <v>46160</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4137-2024</t>
        </is>
      </c>
      <c r="B623" s="1" t="n">
        <v>45323</v>
      </c>
      <c r="C623" s="1" t="n">
        <v>46160</v>
      </c>
      <c r="D623" t="inlineStr">
        <is>
          <t>NORRBOTTENS LÄN</t>
        </is>
      </c>
      <c r="E623" t="inlineStr">
        <is>
          <t>LULEÅ</t>
        </is>
      </c>
      <c r="G623" t="n">
        <v>13.1</v>
      </c>
      <c r="H623" t="n">
        <v>0</v>
      </c>
      <c r="I623" t="n">
        <v>0</v>
      </c>
      <c r="J623" t="n">
        <v>0</v>
      </c>
      <c r="K623" t="n">
        <v>0</v>
      </c>
      <c r="L623" t="n">
        <v>0</v>
      </c>
      <c r="M623" t="n">
        <v>0</v>
      </c>
      <c r="N623" t="n">
        <v>0</v>
      </c>
      <c r="O623" t="n">
        <v>0</v>
      </c>
      <c r="P623" t="n">
        <v>0</v>
      </c>
      <c r="Q623" t="n">
        <v>0</v>
      </c>
      <c r="R623" s="2" t="inlineStr"/>
    </row>
    <row r="624" ht="15" customHeight="1">
      <c r="A624" t="inlineStr">
        <is>
          <t>A 52667-2024</t>
        </is>
      </c>
      <c r="B624" s="1" t="n">
        <v>45610</v>
      </c>
      <c r="C624" s="1" t="n">
        <v>46160</v>
      </c>
      <c r="D624" t="inlineStr">
        <is>
          <t>NORRBOTTENS LÄN</t>
        </is>
      </c>
      <c r="E624" t="inlineStr">
        <is>
          <t>LULEÅ</t>
        </is>
      </c>
      <c r="G624" t="n">
        <v>1.3</v>
      </c>
      <c r="H624" t="n">
        <v>0</v>
      </c>
      <c r="I624" t="n">
        <v>0</v>
      </c>
      <c r="J624" t="n">
        <v>0</v>
      </c>
      <c r="K624" t="n">
        <v>0</v>
      </c>
      <c r="L624" t="n">
        <v>0</v>
      </c>
      <c r="M624" t="n">
        <v>0</v>
      </c>
      <c r="N624" t="n">
        <v>0</v>
      </c>
      <c r="O624" t="n">
        <v>0</v>
      </c>
      <c r="P624" t="n">
        <v>0</v>
      </c>
      <c r="Q624" t="n">
        <v>0</v>
      </c>
      <c r="R624" s="2" t="inlineStr"/>
    </row>
    <row r="625" ht="15" customHeight="1">
      <c r="A625" t="inlineStr">
        <is>
          <t>A 14883-2026</t>
        </is>
      </c>
      <c r="B625" s="1" t="n">
        <v>46104</v>
      </c>
      <c r="C625" s="1" t="n">
        <v>46160</v>
      </c>
      <c r="D625" t="inlineStr">
        <is>
          <t>NORRBOTTENS LÄN</t>
        </is>
      </c>
      <c r="E625" t="inlineStr">
        <is>
          <t>LULEÅ</t>
        </is>
      </c>
      <c r="G625" t="n">
        <v>1.4</v>
      </c>
      <c r="H625" t="n">
        <v>0</v>
      </c>
      <c r="I625" t="n">
        <v>0</v>
      </c>
      <c r="J625" t="n">
        <v>0</v>
      </c>
      <c r="K625" t="n">
        <v>0</v>
      </c>
      <c r="L625" t="n">
        <v>0</v>
      </c>
      <c r="M625" t="n">
        <v>0</v>
      </c>
      <c r="N625" t="n">
        <v>0</v>
      </c>
      <c r="O625" t="n">
        <v>0</v>
      </c>
      <c r="P625" t="n">
        <v>0</v>
      </c>
      <c r="Q625" t="n">
        <v>0</v>
      </c>
      <c r="R625" s="2" t="inlineStr"/>
    </row>
    <row r="626" ht="15" customHeight="1">
      <c r="A626" t="inlineStr">
        <is>
          <t>A 20523-2026</t>
        </is>
      </c>
      <c r="B626" s="1" t="n">
        <v>46140.55273148148</v>
      </c>
      <c r="C626" s="1" t="n">
        <v>46160</v>
      </c>
      <c r="D626" t="inlineStr">
        <is>
          <t>NORRBOTTENS LÄN</t>
        </is>
      </c>
      <c r="E626" t="inlineStr">
        <is>
          <t>LULEÅ</t>
        </is>
      </c>
      <c r="G626" t="n">
        <v>6.5</v>
      </c>
      <c r="H626" t="n">
        <v>0</v>
      </c>
      <c r="I626" t="n">
        <v>0</v>
      </c>
      <c r="J626" t="n">
        <v>0</v>
      </c>
      <c r="K626" t="n">
        <v>0</v>
      </c>
      <c r="L626" t="n">
        <v>0</v>
      </c>
      <c r="M626" t="n">
        <v>0</v>
      </c>
      <c r="N626" t="n">
        <v>0</v>
      </c>
      <c r="O626" t="n">
        <v>0</v>
      </c>
      <c r="P626" t="n">
        <v>0</v>
      </c>
      <c r="Q626" t="n">
        <v>0</v>
      </c>
      <c r="R626" s="2" t="inlineStr"/>
    </row>
    <row r="627" ht="15" customHeight="1">
      <c r="A627" t="inlineStr">
        <is>
          <t>A 57115-2024</t>
        </is>
      </c>
      <c r="B627" s="1" t="n">
        <v>45629.36509259259</v>
      </c>
      <c r="C627" s="1" t="n">
        <v>46160</v>
      </c>
      <c r="D627" t="inlineStr">
        <is>
          <t>NORRBOTTENS LÄN</t>
        </is>
      </c>
      <c r="E627" t="inlineStr">
        <is>
          <t>LULEÅ</t>
        </is>
      </c>
      <c r="G627" t="n">
        <v>10.4</v>
      </c>
      <c r="H627" t="n">
        <v>0</v>
      </c>
      <c r="I627" t="n">
        <v>0</v>
      </c>
      <c r="J627" t="n">
        <v>0</v>
      </c>
      <c r="K627" t="n">
        <v>0</v>
      </c>
      <c r="L627" t="n">
        <v>0</v>
      </c>
      <c r="M627" t="n">
        <v>0</v>
      </c>
      <c r="N627" t="n">
        <v>0</v>
      </c>
      <c r="O627" t="n">
        <v>0</v>
      </c>
      <c r="P627" t="n">
        <v>0</v>
      </c>
      <c r="Q627" t="n">
        <v>0</v>
      </c>
      <c r="R627" s="2" t="inlineStr"/>
    </row>
    <row r="628" ht="15" customHeight="1">
      <c r="A628" t="inlineStr">
        <is>
          <t>A 817-2025</t>
        </is>
      </c>
      <c r="B628" s="1" t="n">
        <v>45664</v>
      </c>
      <c r="C628" s="1" t="n">
        <v>46160</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8903-2025</t>
        </is>
      </c>
      <c r="B629" s="1" t="n">
        <v>45712</v>
      </c>
      <c r="C629" s="1" t="n">
        <v>46160</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18053-2024</t>
        </is>
      </c>
      <c r="B630" s="1" t="n">
        <v>45420</v>
      </c>
      <c r="C630" s="1" t="n">
        <v>46160</v>
      </c>
      <c r="D630" t="inlineStr">
        <is>
          <t>NORRBOTTENS LÄN</t>
        </is>
      </c>
      <c r="E630" t="inlineStr">
        <is>
          <t>LULEÅ</t>
        </is>
      </c>
      <c r="G630" t="n">
        <v>3.7</v>
      </c>
      <c r="H630" t="n">
        <v>0</v>
      </c>
      <c r="I630" t="n">
        <v>0</v>
      </c>
      <c r="J630" t="n">
        <v>0</v>
      </c>
      <c r="K630" t="n">
        <v>0</v>
      </c>
      <c r="L630" t="n">
        <v>0</v>
      </c>
      <c r="M630" t="n">
        <v>0</v>
      </c>
      <c r="N630" t="n">
        <v>0</v>
      </c>
      <c r="O630" t="n">
        <v>0</v>
      </c>
      <c r="P630" t="n">
        <v>0</v>
      </c>
      <c r="Q630" t="n">
        <v>0</v>
      </c>
      <c r="R630" s="2" t="inlineStr"/>
    </row>
    <row r="631" ht="15" customHeight="1">
      <c r="A631" t="inlineStr">
        <is>
          <t>A 20741-2026</t>
        </is>
      </c>
      <c r="B631" s="1" t="n">
        <v>46139</v>
      </c>
      <c r="C631" s="1" t="n">
        <v>46160</v>
      </c>
      <c r="D631" t="inlineStr">
        <is>
          <t>NORRBOTTENS LÄN</t>
        </is>
      </c>
      <c r="E631" t="inlineStr">
        <is>
          <t>LULEÅ</t>
        </is>
      </c>
      <c r="G631" t="n">
        <v>7.2</v>
      </c>
      <c r="H631" t="n">
        <v>0</v>
      </c>
      <c r="I631" t="n">
        <v>0</v>
      </c>
      <c r="J631" t="n">
        <v>0</v>
      </c>
      <c r="K631" t="n">
        <v>0</v>
      </c>
      <c r="L631" t="n">
        <v>0</v>
      </c>
      <c r="M631" t="n">
        <v>0</v>
      </c>
      <c r="N631" t="n">
        <v>0</v>
      </c>
      <c r="O631" t="n">
        <v>0</v>
      </c>
      <c r="P631" t="n">
        <v>0</v>
      </c>
      <c r="Q631" t="n">
        <v>0</v>
      </c>
      <c r="R631" s="2" t="inlineStr"/>
    </row>
    <row r="632" ht="15" customHeight="1">
      <c r="A632" t="inlineStr">
        <is>
          <t>A 14083-2026</t>
        </is>
      </c>
      <c r="B632" s="1" t="n">
        <v>46099.37385416667</v>
      </c>
      <c r="C632" s="1" t="n">
        <v>46160</v>
      </c>
      <c r="D632" t="inlineStr">
        <is>
          <t>NORRBOTTENS LÄN</t>
        </is>
      </c>
      <c r="E632" t="inlineStr">
        <is>
          <t>LULEÅ</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8750-2025</t>
        </is>
      </c>
      <c r="B633" s="1" t="n">
        <v>45712.56173611111</v>
      </c>
      <c r="C633" s="1" t="n">
        <v>46160</v>
      </c>
      <c r="D633" t="inlineStr">
        <is>
          <t>NORRBOTTENS LÄN</t>
        </is>
      </c>
      <c r="E633" t="inlineStr">
        <is>
          <t>LULEÅ</t>
        </is>
      </c>
      <c r="G633" t="n">
        <v>10.8</v>
      </c>
      <c r="H633" t="n">
        <v>0</v>
      </c>
      <c r="I633" t="n">
        <v>0</v>
      </c>
      <c r="J633" t="n">
        <v>0</v>
      </c>
      <c r="K633" t="n">
        <v>0</v>
      </c>
      <c r="L633" t="n">
        <v>0</v>
      </c>
      <c r="M633" t="n">
        <v>0</v>
      </c>
      <c r="N633" t="n">
        <v>0</v>
      </c>
      <c r="O633" t="n">
        <v>0</v>
      </c>
      <c r="P633" t="n">
        <v>0</v>
      </c>
      <c r="Q633" t="n">
        <v>0</v>
      </c>
      <c r="R633" s="2" t="inlineStr"/>
    </row>
    <row r="634" ht="15" customHeight="1">
      <c r="A634" t="inlineStr">
        <is>
          <t>A 43861-2023</t>
        </is>
      </c>
      <c r="B634" s="1" t="n">
        <v>45187</v>
      </c>
      <c r="C634" s="1" t="n">
        <v>46160</v>
      </c>
      <c r="D634" t="inlineStr">
        <is>
          <t>NORRBOTTENS LÄN</t>
        </is>
      </c>
      <c r="E634" t="inlineStr">
        <is>
          <t>LULEÅ</t>
        </is>
      </c>
      <c r="G634" t="n">
        <v>5.1</v>
      </c>
      <c r="H634" t="n">
        <v>0</v>
      </c>
      <c r="I634" t="n">
        <v>0</v>
      </c>
      <c r="J634" t="n">
        <v>0</v>
      </c>
      <c r="K634" t="n">
        <v>0</v>
      </c>
      <c r="L634" t="n">
        <v>0</v>
      </c>
      <c r="M634" t="n">
        <v>0</v>
      </c>
      <c r="N634" t="n">
        <v>0</v>
      </c>
      <c r="O634" t="n">
        <v>0</v>
      </c>
      <c r="P634" t="n">
        <v>0</v>
      </c>
      <c r="Q634" t="n">
        <v>0</v>
      </c>
      <c r="R634" s="2" t="inlineStr"/>
    </row>
    <row r="635" ht="15" customHeight="1">
      <c r="A635" t="inlineStr">
        <is>
          <t>A 60721-2024</t>
        </is>
      </c>
      <c r="B635" s="1" t="n">
        <v>45644</v>
      </c>
      <c r="C635" s="1" t="n">
        <v>46160</v>
      </c>
      <c r="D635" t="inlineStr">
        <is>
          <t>NORRBOTTENS LÄN</t>
        </is>
      </c>
      <c r="E635" t="inlineStr">
        <is>
          <t>LULEÅ</t>
        </is>
      </c>
      <c r="G635" t="n">
        <v>0.3</v>
      </c>
      <c r="H635" t="n">
        <v>0</v>
      </c>
      <c r="I635" t="n">
        <v>0</v>
      </c>
      <c r="J635" t="n">
        <v>0</v>
      </c>
      <c r="K635" t="n">
        <v>0</v>
      </c>
      <c r="L635" t="n">
        <v>0</v>
      </c>
      <c r="M635" t="n">
        <v>0</v>
      </c>
      <c r="N635" t="n">
        <v>0</v>
      </c>
      <c r="O635" t="n">
        <v>0</v>
      </c>
      <c r="P635" t="n">
        <v>0</v>
      </c>
      <c r="Q635" t="n">
        <v>0</v>
      </c>
      <c r="R635" s="2" t="inlineStr"/>
    </row>
    <row r="636" ht="15" customHeight="1">
      <c r="A636" t="inlineStr">
        <is>
          <t>A 14446-2026</t>
        </is>
      </c>
      <c r="B636" s="1" t="n">
        <v>46100.51131944444</v>
      </c>
      <c r="C636" s="1" t="n">
        <v>46160</v>
      </c>
      <c r="D636" t="inlineStr">
        <is>
          <t>NORRBOTTENS LÄN</t>
        </is>
      </c>
      <c r="E636" t="inlineStr">
        <is>
          <t>LULEÅ</t>
        </is>
      </c>
      <c r="G636" t="n">
        <v>2.2</v>
      </c>
      <c r="H636" t="n">
        <v>0</v>
      </c>
      <c r="I636" t="n">
        <v>0</v>
      </c>
      <c r="J636" t="n">
        <v>0</v>
      </c>
      <c r="K636" t="n">
        <v>0</v>
      </c>
      <c r="L636" t="n">
        <v>0</v>
      </c>
      <c r="M636" t="n">
        <v>0</v>
      </c>
      <c r="N636" t="n">
        <v>0</v>
      </c>
      <c r="O636" t="n">
        <v>0</v>
      </c>
      <c r="P636" t="n">
        <v>0</v>
      </c>
      <c r="Q636" t="n">
        <v>0</v>
      </c>
      <c r="R636" s="2" t="inlineStr"/>
    </row>
    <row r="637" ht="15" customHeight="1">
      <c r="A637" t="inlineStr">
        <is>
          <t>A 14448-2026</t>
        </is>
      </c>
      <c r="B637" s="1" t="n">
        <v>46100.51137731481</v>
      </c>
      <c r="C637" s="1" t="n">
        <v>46160</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14450-2026</t>
        </is>
      </c>
      <c r="B638" s="1" t="n">
        <v>46100.5114699074</v>
      </c>
      <c r="C638" s="1" t="n">
        <v>46160</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14447-2026</t>
        </is>
      </c>
      <c r="B639" s="1" t="n">
        <v>46100.5113425926</v>
      </c>
      <c r="C639" s="1" t="n">
        <v>46160</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10608-2025</t>
        </is>
      </c>
      <c r="B640" s="1" t="n">
        <v>45721</v>
      </c>
      <c r="C640" s="1" t="n">
        <v>46160</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14569-2026</t>
        </is>
      </c>
      <c r="B641" s="1" t="n">
        <v>46100.89247685186</v>
      </c>
      <c r="C641" s="1" t="n">
        <v>46160</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50642-2024</t>
        </is>
      </c>
      <c r="B642" s="1" t="n">
        <v>45601.68076388889</v>
      </c>
      <c r="C642" s="1" t="n">
        <v>46160</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50645-2024</t>
        </is>
      </c>
      <c r="B643" s="1" t="n">
        <v>45601.68283564815</v>
      </c>
      <c r="C643" s="1" t="n">
        <v>46160</v>
      </c>
      <c r="D643" t="inlineStr">
        <is>
          <t>NORRBOTTENS LÄN</t>
        </is>
      </c>
      <c r="E643" t="inlineStr">
        <is>
          <t>LULEÅ</t>
        </is>
      </c>
      <c r="G643" t="n">
        <v>3.8</v>
      </c>
      <c r="H643" t="n">
        <v>0</v>
      </c>
      <c r="I643" t="n">
        <v>0</v>
      </c>
      <c r="J643" t="n">
        <v>0</v>
      </c>
      <c r="K643" t="n">
        <v>0</v>
      </c>
      <c r="L643" t="n">
        <v>0</v>
      </c>
      <c r="M643" t="n">
        <v>0</v>
      </c>
      <c r="N643" t="n">
        <v>0</v>
      </c>
      <c r="O643" t="n">
        <v>0</v>
      </c>
      <c r="P643" t="n">
        <v>0</v>
      </c>
      <c r="Q643" t="n">
        <v>0</v>
      </c>
      <c r="R643" s="2" t="inlineStr"/>
    </row>
    <row r="644" ht="15" customHeight="1">
      <c r="A644" t="inlineStr">
        <is>
          <t>A 14445-2026</t>
        </is>
      </c>
      <c r="B644" s="1" t="n">
        <v>46100.51125</v>
      </c>
      <c r="C644" s="1" t="n">
        <v>46160</v>
      </c>
      <c r="D644" t="inlineStr">
        <is>
          <t>NORRBOTTENS LÄN</t>
        </is>
      </c>
      <c r="E644" t="inlineStr">
        <is>
          <t>LULEÅ</t>
        </is>
      </c>
      <c r="G644" t="n">
        <v>1.7</v>
      </c>
      <c r="H644" t="n">
        <v>0</v>
      </c>
      <c r="I644" t="n">
        <v>0</v>
      </c>
      <c r="J644" t="n">
        <v>0</v>
      </c>
      <c r="K644" t="n">
        <v>0</v>
      </c>
      <c r="L644" t="n">
        <v>0</v>
      </c>
      <c r="M644" t="n">
        <v>0</v>
      </c>
      <c r="N644" t="n">
        <v>0</v>
      </c>
      <c r="O644" t="n">
        <v>0</v>
      </c>
      <c r="P644" t="n">
        <v>0</v>
      </c>
      <c r="Q644" t="n">
        <v>0</v>
      </c>
      <c r="R644" s="2" t="inlineStr"/>
    </row>
    <row r="645" ht="15" customHeight="1">
      <c r="A645" t="inlineStr">
        <is>
          <t>A 61942-2024</t>
        </is>
      </c>
      <c r="B645" s="1" t="n">
        <v>45653.48405092592</v>
      </c>
      <c r="C645" s="1" t="n">
        <v>46160</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55443-2025</t>
        </is>
      </c>
      <c r="B646" s="1" t="n">
        <v>45971.49157407408</v>
      </c>
      <c r="C646" s="1" t="n">
        <v>46160</v>
      </c>
      <c r="D646" t="inlineStr">
        <is>
          <t>NORRBOTTENS LÄN</t>
        </is>
      </c>
      <c r="E646" t="inlineStr">
        <is>
          <t>LULEÅ</t>
        </is>
      </c>
      <c r="G646" t="n">
        <v>5.6</v>
      </c>
      <c r="H646" t="n">
        <v>0</v>
      </c>
      <c r="I646" t="n">
        <v>0</v>
      </c>
      <c r="J646" t="n">
        <v>0</v>
      </c>
      <c r="K646" t="n">
        <v>0</v>
      </c>
      <c r="L646" t="n">
        <v>0</v>
      </c>
      <c r="M646" t="n">
        <v>0</v>
      </c>
      <c r="N646" t="n">
        <v>0</v>
      </c>
      <c r="O646" t="n">
        <v>0</v>
      </c>
      <c r="P646" t="n">
        <v>0</v>
      </c>
      <c r="Q646" t="n">
        <v>0</v>
      </c>
      <c r="R646" s="2" t="inlineStr"/>
    </row>
    <row r="647" ht="15" customHeight="1">
      <c r="A647" t="inlineStr">
        <is>
          <t>A 14997-2026</t>
        </is>
      </c>
      <c r="B647" s="1" t="n">
        <v>46104.59447916667</v>
      </c>
      <c r="C647" s="1" t="n">
        <v>46160</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14935-2026</t>
        </is>
      </c>
      <c r="B648" s="1" t="n">
        <v>46104</v>
      </c>
      <c r="C648" s="1" t="n">
        <v>46160</v>
      </c>
      <c r="D648" t="inlineStr">
        <is>
          <t>NORRBOTTENS LÄN</t>
        </is>
      </c>
      <c r="E648" t="inlineStr">
        <is>
          <t>LULEÅ</t>
        </is>
      </c>
      <c r="G648" t="n">
        <v>1.6</v>
      </c>
      <c r="H648" t="n">
        <v>0</v>
      </c>
      <c r="I648" t="n">
        <v>0</v>
      </c>
      <c r="J648" t="n">
        <v>0</v>
      </c>
      <c r="K648" t="n">
        <v>0</v>
      </c>
      <c r="L648" t="n">
        <v>0</v>
      </c>
      <c r="M648" t="n">
        <v>0</v>
      </c>
      <c r="N648" t="n">
        <v>0</v>
      </c>
      <c r="O648" t="n">
        <v>0</v>
      </c>
      <c r="P648" t="n">
        <v>0</v>
      </c>
      <c r="Q648" t="n">
        <v>0</v>
      </c>
      <c r="R648" s="2" t="inlineStr"/>
    </row>
    <row r="649" ht="15" customHeight="1">
      <c r="A649" t="inlineStr">
        <is>
          <t>A 14839-2026</t>
        </is>
      </c>
      <c r="B649" s="1" t="n">
        <v>46104</v>
      </c>
      <c r="C649" s="1" t="n">
        <v>46160</v>
      </c>
      <c r="D649" t="inlineStr">
        <is>
          <t>NORRBOTTENS LÄN</t>
        </is>
      </c>
      <c r="E649" t="inlineStr">
        <is>
          <t>LULEÅ</t>
        </is>
      </c>
      <c r="G649" t="n">
        <v>6.3</v>
      </c>
      <c r="H649" t="n">
        <v>0</v>
      </c>
      <c r="I649" t="n">
        <v>0</v>
      </c>
      <c r="J649" t="n">
        <v>0</v>
      </c>
      <c r="K649" t="n">
        <v>0</v>
      </c>
      <c r="L649" t="n">
        <v>0</v>
      </c>
      <c r="M649" t="n">
        <v>0</v>
      </c>
      <c r="N649" t="n">
        <v>0</v>
      </c>
      <c r="O649" t="n">
        <v>0</v>
      </c>
      <c r="P649" t="n">
        <v>0</v>
      </c>
      <c r="Q649" t="n">
        <v>0</v>
      </c>
      <c r="R649" s="2" t="inlineStr"/>
    </row>
    <row r="650" ht="15" customHeight="1">
      <c r="A650" t="inlineStr">
        <is>
          <t>A 15283-2026</t>
        </is>
      </c>
      <c r="B650" s="1" t="n">
        <v>46105.6125925926</v>
      </c>
      <c r="C650" s="1" t="n">
        <v>46160</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12116-2025</t>
        </is>
      </c>
      <c r="B651" s="1" t="n">
        <v>45729.36509259259</v>
      </c>
      <c r="C651" s="1" t="n">
        <v>46160</v>
      </c>
      <c r="D651" t="inlineStr">
        <is>
          <t>NORRBOTTENS LÄN</t>
        </is>
      </c>
      <c r="E651" t="inlineStr">
        <is>
          <t>LULEÅ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46160</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48059-2023</t>
        </is>
      </c>
      <c r="B653" s="1" t="n">
        <v>45204</v>
      </c>
      <c r="C653" s="1" t="n">
        <v>46160</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57327-2024</t>
        </is>
      </c>
      <c r="B654" s="1" t="n">
        <v>45629.62572916667</v>
      </c>
      <c r="C654" s="1" t="n">
        <v>46160</v>
      </c>
      <c r="D654" t="inlineStr">
        <is>
          <t>NORRBOTTENS LÄN</t>
        </is>
      </c>
      <c r="E654" t="inlineStr">
        <is>
          <t>LULEÅ</t>
        </is>
      </c>
      <c r="F654" t="inlineStr">
        <is>
          <t>Övriga Aktiebolag</t>
        </is>
      </c>
      <c r="G654" t="n">
        <v>6.5</v>
      </c>
      <c r="H654" t="n">
        <v>0</v>
      </c>
      <c r="I654" t="n">
        <v>0</v>
      </c>
      <c r="J654" t="n">
        <v>0</v>
      </c>
      <c r="K654" t="n">
        <v>0</v>
      </c>
      <c r="L654" t="n">
        <v>0</v>
      </c>
      <c r="M654" t="n">
        <v>0</v>
      </c>
      <c r="N654" t="n">
        <v>0</v>
      </c>
      <c r="O654" t="n">
        <v>0</v>
      </c>
      <c r="P654" t="n">
        <v>0</v>
      </c>
      <c r="Q654" t="n">
        <v>0</v>
      </c>
      <c r="R654" s="2" t="inlineStr"/>
    </row>
    <row r="655" ht="15" customHeight="1">
      <c r="A655" t="inlineStr">
        <is>
          <t>A 14837-2026</t>
        </is>
      </c>
      <c r="B655" s="1" t="n">
        <v>46104</v>
      </c>
      <c r="C655" s="1" t="n">
        <v>46160</v>
      </c>
      <c r="D655" t="inlineStr">
        <is>
          <t>NORRBOTTENS LÄN</t>
        </is>
      </c>
      <c r="E655" t="inlineStr">
        <is>
          <t>LULEÅ</t>
        </is>
      </c>
      <c r="G655" t="n">
        <v>0.7</v>
      </c>
      <c r="H655" t="n">
        <v>0</v>
      </c>
      <c r="I655" t="n">
        <v>0</v>
      </c>
      <c r="J655" t="n">
        <v>0</v>
      </c>
      <c r="K655" t="n">
        <v>0</v>
      </c>
      <c r="L655" t="n">
        <v>0</v>
      </c>
      <c r="M655" t="n">
        <v>0</v>
      </c>
      <c r="N655" t="n">
        <v>0</v>
      </c>
      <c r="O655" t="n">
        <v>0</v>
      </c>
      <c r="P655" t="n">
        <v>0</v>
      </c>
      <c r="Q655" t="n">
        <v>0</v>
      </c>
      <c r="R655" s="2" t="inlineStr"/>
    </row>
    <row r="656" ht="15" customHeight="1">
      <c r="A656" t="inlineStr">
        <is>
          <t>A 43765-2023</t>
        </is>
      </c>
      <c r="B656" s="1" t="n">
        <v>45187</v>
      </c>
      <c r="C656" s="1" t="n">
        <v>46160</v>
      </c>
      <c r="D656" t="inlineStr">
        <is>
          <t>NORRBOTTENS LÄN</t>
        </is>
      </c>
      <c r="E656" t="inlineStr">
        <is>
          <t>LULEÅ</t>
        </is>
      </c>
      <c r="G656" t="n">
        <v>13.7</v>
      </c>
      <c r="H656" t="n">
        <v>0</v>
      </c>
      <c r="I656" t="n">
        <v>0</v>
      </c>
      <c r="J656" t="n">
        <v>0</v>
      </c>
      <c r="K656" t="n">
        <v>0</v>
      </c>
      <c r="L656" t="n">
        <v>0</v>
      </c>
      <c r="M656" t="n">
        <v>0</v>
      </c>
      <c r="N656" t="n">
        <v>0</v>
      </c>
      <c r="O656" t="n">
        <v>0</v>
      </c>
      <c r="P656" t="n">
        <v>0</v>
      </c>
      <c r="Q656" t="n">
        <v>0</v>
      </c>
      <c r="R656" s="2" t="inlineStr"/>
    </row>
    <row r="657" ht="15" customHeight="1">
      <c r="A657" t="inlineStr">
        <is>
          <t>A 14929-2026</t>
        </is>
      </c>
      <c r="B657" s="1" t="n">
        <v>46104</v>
      </c>
      <c r="C657" s="1" t="n">
        <v>46160</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13068-2024</t>
        </is>
      </c>
      <c r="B658" s="1" t="n">
        <v>45385</v>
      </c>
      <c r="C658" s="1" t="n">
        <v>46160</v>
      </c>
      <c r="D658" t="inlineStr">
        <is>
          <t>NORRBOTTENS LÄN</t>
        </is>
      </c>
      <c r="E658" t="inlineStr">
        <is>
          <t>LULEÅ</t>
        </is>
      </c>
      <c r="G658" t="n">
        <v>1.5</v>
      </c>
      <c r="H658" t="n">
        <v>0</v>
      </c>
      <c r="I658" t="n">
        <v>0</v>
      </c>
      <c r="J658" t="n">
        <v>0</v>
      </c>
      <c r="K658" t="n">
        <v>0</v>
      </c>
      <c r="L658" t="n">
        <v>0</v>
      </c>
      <c r="M658" t="n">
        <v>0</v>
      </c>
      <c r="N658" t="n">
        <v>0</v>
      </c>
      <c r="O658" t="n">
        <v>0</v>
      </c>
      <c r="P658" t="n">
        <v>0</v>
      </c>
      <c r="Q658" t="n">
        <v>0</v>
      </c>
      <c r="R658" s="2" t="inlineStr"/>
    </row>
    <row r="659" ht="15" customHeight="1">
      <c r="A659" t="inlineStr">
        <is>
          <t>A 52240-2023</t>
        </is>
      </c>
      <c r="B659" s="1" t="n">
        <v>45224</v>
      </c>
      <c r="C659" s="1" t="n">
        <v>46160</v>
      </c>
      <c r="D659" t="inlineStr">
        <is>
          <t>NORRBOTTENS LÄN</t>
        </is>
      </c>
      <c r="E659" t="inlineStr">
        <is>
          <t>LULEÅ</t>
        </is>
      </c>
      <c r="G659" t="n">
        <v>4.5</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46149.62918981481</v>
      </c>
      <c r="C660" s="1" t="n">
        <v>46160</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21525-2026</t>
        </is>
      </c>
      <c r="B661" s="1" t="n">
        <v>46148.61806712963</v>
      </c>
      <c r="C661" s="1" t="n">
        <v>46160</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53960-2023</t>
        </is>
      </c>
      <c r="B662" s="1" t="n">
        <v>45225</v>
      </c>
      <c r="C662" s="1" t="n">
        <v>46160</v>
      </c>
      <c r="D662" t="inlineStr">
        <is>
          <t>NORRBOTTENS LÄN</t>
        </is>
      </c>
      <c r="E662" t="inlineStr">
        <is>
          <t>LULEÅ</t>
        </is>
      </c>
      <c r="G662" t="n">
        <v>0.8</v>
      </c>
      <c r="H662" t="n">
        <v>0</v>
      </c>
      <c r="I662" t="n">
        <v>0</v>
      </c>
      <c r="J662" t="n">
        <v>0</v>
      </c>
      <c r="K662" t="n">
        <v>0</v>
      </c>
      <c r="L662" t="n">
        <v>0</v>
      </c>
      <c r="M662" t="n">
        <v>0</v>
      </c>
      <c r="N662" t="n">
        <v>0</v>
      </c>
      <c r="O662" t="n">
        <v>0</v>
      </c>
      <c r="P662" t="n">
        <v>0</v>
      </c>
      <c r="Q662" t="n">
        <v>0</v>
      </c>
      <c r="R662" s="2" t="inlineStr"/>
    </row>
    <row r="663" ht="15" customHeight="1">
      <c r="A663" t="inlineStr">
        <is>
          <t>A 736-2025</t>
        </is>
      </c>
      <c r="B663" s="1" t="n">
        <v>45664</v>
      </c>
      <c r="C663" s="1" t="n">
        <v>46160</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53985-2023</t>
        </is>
      </c>
      <c r="B664" s="1" t="n">
        <v>45225</v>
      </c>
      <c r="C664" s="1" t="n">
        <v>46160</v>
      </c>
      <c r="D664" t="inlineStr">
        <is>
          <t>NORRBOTTENS LÄN</t>
        </is>
      </c>
      <c r="E664" t="inlineStr">
        <is>
          <t>LULEÅ</t>
        </is>
      </c>
      <c r="G664" t="n">
        <v>3.2</v>
      </c>
      <c r="H664" t="n">
        <v>0</v>
      </c>
      <c r="I664" t="n">
        <v>0</v>
      </c>
      <c r="J664" t="n">
        <v>0</v>
      </c>
      <c r="K664" t="n">
        <v>0</v>
      </c>
      <c r="L664" t="n">
        <v>0</v>
      </c>
      <c r="M664" t="n">
        <v>0</v>
      </c>
      <c r="N664" t="n">
        <v>0</v>
      </c>
      <c r="O664" t="n">
        <v>0</v>
      </c>
      <c r="P664" t="n">
        <v>0</v>
      </c>
      <c r="Q664" t="n">
        <v>0</v>
      </c>
      <c r="R664" s="2" t="inlineStr"/>
    </row>
    <row r="665" ht="15" customHeight="1">
      <c r="A665" t="inlineStr">
        <is>
          <t>A 21727-2026</t>
        </is>
      </c>
      <c r="B665" s="1" t="n">
        <v>46149.62611111111</v>
      </c>
      <c r="C665" s="1" t="n">
        <v>46160</v>
      </c>
      <c r="D665" t="inlineStr">
        <is>
          <t>NORRBOTTENS LÄN</t>
        </is>
      </c>
      <c r="E665" t="inlineStr">
        <is>
          <t>LULEÅ</t>
        </is>
      </c>
      <c r="G665" t="n">
        <v>4.4</v>
      </c>
      <c r="H665" t="n">
        <v>0</v>
      </c>
      <c r="I665" t="n">
        <v>0</v>
      </c>
      <c r="J665" t="n">
        <v>0</v>
      </c>
      <c r="K665" t="n">
        <v>0</v>
      </c>
      <c r="L665" t="n">
        <v>0</v>
      </c>
      <c r="M665" t="n">
        <v>0</v>
      </c>
      <c r="N665" t="n">
        <v>0</v>
      </c>
      <c r="O665" t="n">
        <v>0</v>
      </c>
      <c r="P665" t="n">
        <v>0</v>
      </c>
      <c r="Q665" t="n">
        <v>0</v>
      </c>
      <c r="R665" s="2" t="inlineStr"/>
    </row>
    <row r="666" ht="15" customHeight="1">
      <c r="A666" t="inlineStr">
        <is>
          <t>A 1017-2025</t>
        </is>
      </c>
      <c r="B666" s="1" t="n">
        <v>45665</v>
      </c>
      <c r="C666" s="1" t="n">
        <v>46160</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21529-2026</t>
        </is>
      </c>
      <c r="B667" s="1" t="n">
        <v>46148.62012731482</v>
      </c>
      <c r="C667" s="1" t="n">
        <v>46160</v>
      </c>
      <c r="D667" t="inlineStr">
        <is>
          <t>NORRBOTTENS LÄN</t>
        </is>
      </c>
      <c r="E667" t="inlineStr">
        <is>
          <t>LULEÅ</t>
        </is>
      </c>
      <c r="G667" t="n">
        <v>1.1</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46153.59496527778</v>
      </c>
      <c r="C668" s="1" t="n">
        <v>46160</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29537-2023</t>
        </is>
      </c>
      <c r="B669" s="1" t="n">
        <v>45098</v>
      </c>
      <c r="C669" s="1" t="n">
        <v>46160</v>
      </c>
      <c r="D669" t="inlineStr">
        <is>
          <t>NORRBOTTENS LÄN</t>
        </is>
      </c>
      <c r="E669" t="inlineStr">
        <is>
          <t>LULEÅ</t>
        </is>
      </c>
      <c r="G669" t="n">
        <v>0.3</v>
      </c>
      <c r="H669" t="n">
        <v>0</v>
      </c>
      <c r="I669" t="n">
        <v>0</v>
      </c>
      <c r="J669" t="n">
        <v>0</v>
      </c>
      <c r="K669" t="n">
        <v>0</v>
      </c>
      <c r="L669" t="n">
        <v>0</v>
      </c>
      <c r="M669" t="n">
        <v>0</v>
      </c>
      <c r="N669" t="n">
        <v>0</v>
      </c>
      <c r="O669" t="n">
        <v>0</v>
      </c>
      <c r="P669" t="n">
        <v>0</v>
      </c>
      <c r="Q669" t="n">
        <v>0</v>
      </c>
      <c r="R669" s="2" t="inlineStr"/>
    </row>
    <row r="670" ht="15" customHeight="1">
      <c r="A670" t="inlineStr">
        <is>
          <t>A 1685-2025</t>
        </is>
      </c>
      <c r="B670" s="1" t="n">
        <v>45670.69877314815</v>
      </c>
      <c r="C670" s="1" t="n">
        <v>46160</v>
      </c>
      <c r="D670" t="inlineStr">
        <is>
          <t>NORRBOTTENS LÄN</t>
        </is>
      </c>
      <c r="E670" t="inlineStr">
        <is>
          <t>LULEÅ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57140-2025</t>
        </is>
      </c>
      <c r="B671" s="1" t="n">
        <v>45978</v>
      </c>
      <c r="C671" s="1" t="n">
        <v>46160</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58759-2023</t>
        </is>
      </c>
      <c r="B672" s="1" t="n">
        <v>45251</v>
      </c>
      <c r="C672" s="1" t="n">
        <v>46160</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20495-2026</t>
        </is>
      </c>
      <c r="B673" s="1" t="n">
        <v>46140</v>
      </c>
      <c r="C673" s="1" t="n">
        <v>46160</v>
      </c>
      <c r="D673" t="inlineStr">
        <is>
          <t>NORRBOTTENS LÄN</t>
        </is>
      </c>
      <c r="E673" t="inlineStr">
        <is>
          <t>LULEÅ</t>
        </is>
      </c>
      <c r="G673" t="n">
        <v>6.7</v>
      </c>
      <c r="H673" t="n">
        <v>0</v>
      </c>
      <c r="I673" t="n">
        <v>0</v>
      </c>
      <c r="J673" t="n">
        <v>0</v>
      </c>
      <c r="K673" t="n">
        <v>0</v>
      </c>
      <c r="L673" t="n">
        <v>0</v>
      </c>
      <c r="M673" t="n">
        <v>0</v>
      </c>
      <c r="N673" t="n">
        <v>0</v>
      </c>
      <c r="O673" t="n">
        <v>0</v>
      </c>
      <c r="P673" t="n">
        <v>0</v>
      </c>
      <c r="Q673" t="n">
        <v>0</v>
      </c>
      <c r="R673" s="2" t="inlineStr"/>
    </row>
    <row r="674" ht="15" customHeight="1">
      <c r="A674" t="inlineStr">
        <is>
          <t>A 11135-2025</t>
        </is>
      </c>
      <c r="B674" s="1" t="n">
        <v>45723.65663194445</v>
      </c>
      <c r="C674" s="1" t="n">
        <v>46160</v>
      </c>
      <c r="D674" t="inlineStr">
        <is>
          <t>NORRBOTTENS LÄN</t>
        </is>
      </c>
      <c r="E674" t="inlineStr">
        <is>
          <t>LULEÅ</t>
        </is>
      </c>
      <c r="G674" t="n">
        <v>16.7</v>
      </c>
      <c r="H674" t="n">
        <v>0</v>
      </c>
      <c r="I674" t="n">
        <v>0</v>
      </c>
      <c r="J674" t="n">
        <v>0</v>
      </c>
      <c r="K674" t="n">
        <v>0</v>
      </c>
      <c r="L674" t="n">
        <v>0</v>
      </c>
      <c r="M674" t="n">
        <v>0</v>
      </c>
      <c r="N674" t="n">
        <v>0</v>
      </c>
      <c r="O674" t="n">
        <v>0</v>
      </c>
      <c r="P674" t="n">
        <v>0</v>
      </c>
      <c r="Q674" t="n">
        <v>0</v>
      </c>
      <c r="R674" s="2" t="inlineStr"/>
    </row>
    <row r="675" ht="15" customHeight="1">
      <c r="A675" t="inlineStr">
        <is>
          <t>A 11845-2025</t>
        </is>
      </c>
      <c r="B675" s="1" t="n">
        <v>45727</v>
      </c>
      <c r="C675" s="1" t="n">
        <v>46160</v>
      </c>
      <c r="D675" t="inlineStr">
        <is>
          <t>NORRBOTTENS LÄN</t>
        </is>
      </c>
      <c r="E675" t="inlineStr">
        <is>
          <t>LULEÅ</t>
        </is>
      </c>
      <c r="G675" t="n">
        <v>9.6</v>
      </c>
      <c r="H675" t="n">
        <v>0</v>
      </c>
      <c r="I675" t="n">
        <v>0</v>
      </c>
      <c r="J675" t="n">
        <v>0</v>
      </c>
      <c r="K675" t="n">
        <v>0</v>
      </c>
      <c r="L675" t="n">
        <v>0</v>
      </c>
      <c r="M675" t="n">
        <v>0</v>
      </c>
      <c r="N675" t="n">
        <v>0</v>
      </c>
      <c r="O675" t="n">
        <v>0</v>
      </c>
      <c r="P675" t="n">
        <v>0</v>
      </c>
      <c r="Q675" t="n">
        <v>0</v>
      </c>
      <c r="R675" s="2" t="inlineStr"/>
    </row>
    <row r="676" ht="15" customHeight="1">
      <c r="A676" t="inlineStr">
        <is>
          <t>A 17899-2025</t>
        </is>
      </c>
      <c r="B676" s="1" t="n">
        <v>45758.69832175926</v>
      </c>
      <c r="C676" s="1" t="n">
        <v>46160</v>
      </c>
      <c r="D676" t="inlineStr">
        <is>
          <t>NORRBOTTENS LÄN</t>
        </is>
      </c>
      <c r="E676" t="inlineStr">
        <is>
          <t>LULEÅ</t>
        </is>
      </c>
      <c r="G676" t="n">
        <v>3.1</v>
      </c>
      <c r="H676" t="n">
        <v>0</v>
      </c>
      <c r="I676" t="n">
        <v>0</v>
      </c>
      <c r="J676" t="n">
        <v>0</v>
      </c>
      <c r="K676" t="n">
        <v>0</v>
      </c>
      <c r="L676" t="n">
        <v>0</v>
      </c>
      <c r="M676" t="n">
        <v>0</v>
      </c>
      <c r="N676" t="n">
        <v>0</v>
      </c>
      <c r="O676" t="n">
        <v>0</v>
      </c>
      <c r="P676" t="n">
        <v>0</v>
      </c>
      <c r="Q676" t="n">
        <v>0</v>
      </c>
      <c r="R676" s="2" t="inlineStr"/>
    </row>
    <row r="677" ht="15" customHeight="1">
      <c r="A677" t="inlineStr">
        <is>
          <t>A 22472-2026</t>
        </is>
      </c>
      <c r="B677" s="1" t="n">
        <v>46155.39482638889</v>
      </c>
      <c r="C677" s="1" t="n">
        <v>46160</v>
      </c>
      <c r="D677" t="inlineStr">
        <is>
          <t>NORRBOTTENS LÄN</t>
        </is>
      </c>
      <c r="E677" t="inlineStr">
        <is>
          <t>LULEÅ</t>
        </is>
      </c>
      <c r="G677" t="n">
        <v>15.9</v>
      </c>
      <c r="H677" t="n">
        <v>0</v>
      </c>
      <c r="I677" t="n">
        <v>0</v>
      </c>
      <c r="J677" t="n">
        <v>0</v>
      </c>
      <c r="K677" t="n">
        <v>0</v>
      </c>
      <c r="L677" t="n">
        <v>0</v>
      </c>
      <c r="M677" t="n">
        <v>0</v>
      </c>
      <c r="N677" t="n">
        <v>0</v>
      </c>
      <c r="O677" t="n">
        <v>0</v>
      </c>
      <c r="P677" t="n">
        <v>0</v>
      </c>
      <c r="Q677" t="n">
        <v>0</v>
      </c>
      <c r="R677" s="2" t="inlineStr"/>
    </row>
    <row r="678" ht="15" customHeight="1">
      <c r="A678" t="inlineStr">
        <is>
          <t>A 22492-2026</t>
        </is>
      </c>
      <c r="B678" s="1" t="n">
        <v>46155.42533564815</v>
      </c>
      <c r="C678" s="1" t="n">
        <v>46160</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4237-2025</t>
        </is>
      </c>
      <c r="B679" s="1" t="n">
        <v>45685</v>
      </c>
      <c r="C679" s="1" t="n">
        <v>46160</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47246-2022</t>
        </is>
      </c>
      <c r="B680" s="1" t="n">
        <v>44852</v>
      </c>
      <c r="C680" s="1" t="n">
        <v>46160</v>
      </c>
      <c r="D680" t="inlineStr">
        <is>
          <t>NORRBOTTENS LÄN</t>
        </is>
      </c>
      <c r="E680" t="inlineStr">
        <is>
          <t>LULEÅ</t>
        </is>
      </c>
      <c r="G680" t="n">
        <v>2.9</v>
      </c>
      <c r="H680" t="n">
        <v>0</v>
      </c>
      <c r="I680" t="n">
        <v>0</v>
      </c>
      <c r="J680" t="n">
        <v>0</v>
      </c>
      <c r="K680" t="n">
        <v>0</v>
      </c>
      <c r="L680" t="n">
        <v>0</v>
      </c>
      <c r="M680" t="n">
        <v>0</v>
      </c>
      <c r="N680" t="n">
        <v>0</v>
      </c>
      <c r="O680" t="n">
        <v>0</v>
      </c>
      <c r="P680" t="n">
        <v>0</v>
      </c>
      <c r="Q680" t="n">
        <v>0</v>
      </c>
      <c r="R680" s="2" t="inlineStr"/>
    </row>
    <row r="681" ht="15" customHeight="1">
      <c r="A681" t="inlineStr">
        <is>
          <t>A 27305-2022</t>
        </is>
      </c>
      <c r="B681" s="1" t="n">
        <v>44741</v>
      </c>
      <c r="C681" s="1" t="n">
        <v>46160</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48409-2023</t>
        </is>
      </c>
      <c r="B682" s="1" t="n">
        <v>45205</v>
      </c>
      <c r="C682" s="1" t="n">
        <v>46160</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48410-2023</t>
        </is>
      </c>
      <c r="B683" s="1" t="n">
        <v>45205</v>
      </c>
      <c r="C683" s="1" t="n">
        <v>46160</v>
      </c>
      <c r="D683" t="inlineStr">
        <is>
          <t>NORRBOTTENS LÄN</t>
        </is>
      </c>
      <c r="E683" t="inlineStr">
        <is>
          <t>LULEÅ</t>
        </is>
      </c>
      <c r="G683" t="n">
        <v>6.7</v>
      </c>
      <c r="H683" t="n">
        <v>0</v>
      </c>
      <c r="I683" t="n">
        <v>0</v>
      </c>
      <c r="J683" t="n">
        <v>0</v>
      </c>
      <c r="K683" t="n">
        <v>0</v>
      </c>
      <c r="L683" t="n">
        <v>0</v>
      </c>
      <c r="M683" t="n">
        <v>0</v>
      </c>
      <c r="N683" t="n">
        <v>0</v>
      </c>
      <c r="O683" t="n">
        <v>0</v>
      </c>
      <c r="P683" t="n">
        <v>0</v>
      </c>
      <c r="Q683" t="n">
        <v>0</v>
      </c>
      <c r="R683" s="2" t="inlineStr"/>
    </row>
    <row r="684" ht="15" customHeight="1">
      <c r="A684" t="inlineStr">
        <is>
          <t>A 9250-2025</t>
        </is>
      </c>
      <c r="B684" s="1" t="n">
        <v>45714</v>
      </c>
      <c r="C684" s="1" t="n">
        <v>46160</v>
      </c>
      <c r="D684" t="inlineStr">
        <is>
          <t>NORRBOTTENS LÄN</t>
        </is>
      </c>
      <c r="E684" t="inlineStr">
        <is>
          <t>LULEÅ</t>
        </is>
      </c>
      <c r="G684" t="n">
        <v>2.1</v>
      </c>
      <c r="H684" t="n">
        <v>0</v>
      </c>
      <c r="I684" t="n">
        <v>0</v>
      </c>
      <c r="J684" t="n">
        <v>0</v>
      </c>
      <c r="K684" t="n">
        <v>0</v>
      </c>
      <c r="L684" t="n">
        <v>0</v>
      </c>
      <c r="M684" t="n">
        <v>0</v>
      </c>
      <c r="N684" t="n">
        <v>0</v>
      </c>
      <c r="O684" t="n">
        <v>0</v>
      </c>
      <c r="P684" t="n">
        <v>0</v>
      </c>
      <c r="Q684" t="n">
        <v>0</v>
      </c>
      <c r="R684" s="2" t="inlineStr"/>
    </row>
    <row r="685" ht="15" customHeight="1">
      <c r="A685" t="inlineStr">
        <is>
          <t>A 10183-2025</t>
        </is>
      </c>
      <c r="B685" s="1" t="n">
        <v>45719</v>
      </c>
      <c r="C685" s="1" t="n">
        <v>46160</v>
      </c>
      <c r="D685" t="inlineStr">
        <is>
          <t>NORRBOTTENS LÄN</t>
        </is>
      </c>
      <c r="E685" t="inlineStr">
        <is>
          <t>LULEÅ</t>
        </is>
      </c>
      <c r="G685" t="n">
        <v>2.4</v>
      </c>
      <c r="H685" t="n">
        <v>0</v>
      </c>
      <c r="I685" t="n">
        <v>0</v>
      </c>
      <c r="J685" t="n">
        <v>0</v>
      </c>
      <c r="K685" t="n">
        <v>0</v>
      </c>
      <c r="L685" t="n">
        <v>0</v>
      </c>
      <c r="M685" t="n">
        <v>0</v>
      </c>
      <c r="N685" t="n">
        <v>0</v>
      </c>
      <c r="O685" t="n">
        <v>0</v>
      </c>
      <c r="P685" t="n">
        <v>0</v>
      </c>
      <c r="Q685" t="n">
        <v>0</v>
      </c>
      <c r="R685" s="2" t="inlineStr"/>
    </row>
    <row r="686" ht="15" customHeight="1">
      <c r="A686" t="inlineStr">
        <is>
          <t>A 26267-2022</t>
        </is>
      </c>
      <c r="B686" s="1" t="n">
        <v>44735.5158912037</v>
      </c>
      <c r="C686" s="1" t="n">
        <v>46160</v>
      </c>
      <c r="D686" t="inlineStr">
        <is>
          <t>NORRBOTTENS LÄN</t>
        </is>
      </c>
      <c r="E686" t="inlineStr">
        <is>
          <t>LULEÅ</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63801-2023</t>
        </is>
      </c>
      <c r="B687" s="1" t="n">
        <v>45278.42126157408</v>
      </c>
      <c r="C687" s="1" t="n">
        <v>46160</v>
      </c>
      <c r="D687" t="inlineStr">
        <is>
          <t>NORRBOTTENS LÄN</t>
        </is>
      </c>
      <c r="E687" t="inlineStr">
        <is>
          <t>LULEÅ</t>
        </is>
      </c>
      <c r="G687" t="n">
        <v>1.2</v>
      </c>
      <c r="H687" t="n">
        <v>0</v>
      </c>
      <c r="I687" t="n">
        <v>0</v>
      </c>
      <c r="J687" t="n">
        <v>0</v>
      </c>
      <c r="K687" t="n">
        <v>0</v>
      </c>
      <c r="L687" t="n">
        <v>0</v>
      </c>
      <c r="M687" t="n">
        <v>0</v>
      </c>
      <c r="N687" t="n">
        <v>0</v>
      </c>
      <c r="O687" t="n">
        <v>0</v>
      </c>
      <c r="P687" t="n">
        <v>0</v>
      </c>
      <c r="Q687" t="n">
        <v>0</v>
      </c>
      <c r="R687" s="2" t="inlineStr"/>
    </row>
    <row r="688" ht="15" customHeight="1">
      <c r="A688" t="inlineStr">
        <is>
          <t>A 16052-2025</t>
        </is>
      </c>
      <c r="B688" s="1" t="n">
        <v>45749.64261574074</v>
      </c>
      <c r="C688" s="1" t="n">
        <v>46160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17290-2025</t>
        </is>
      </c>
      <c r="B689" s="1" t="n">
        <v>45756.58515046296</v>
      </c>
      <c r="C689" s="1" t="n">
        <v>46160</v>
      </c>
      <c r="D689" t="inlineStr">
        <is>
          <t>NORRBOTTENS LÄN</t>
        </is>
      </c>
      <c r="E689" t="inlineStr">
        <is>
          <t>LULEÅ</t>
        </is>
      </c>
      <c r="G689" t="n">
        <v>5.6</v>
      </c>
      <c r="H689" t="n">
        <v>0</v>
      </c>
      <c r="I689" t="n">
        <v>0</v>
      </c>
      <c r="J689" t="n">
        <v>0</v>
      </c>
      <c r="K689" t="n">
        <v>0</v>
      </c>
      <c r="L689" t="n">
        <v>0</v>
      </c>
      <c r="M689" t="n">
        <v>0</v>
      </c>
      <c r="N689" t="n">
        <v>0</v>
      </c>
      <c r="O689" t="n">
        <v>0</v>
      </c>
      <c r="P689" t="n">
        <v>0</v>
      </c>
      <c r="Q689" t="n">
        <v>0</v>
      </c>
      <c r="R689" s="2" t="inlineStr"/>
    </row>
    <row r="690" ht="15" customHeight="1">
      <c r="A690" t="inlineStr">
        <is>
          <t>A 11853-2025</t>
        </is>
      </c>
      <c r="B690" s="1" t="n">
        <v>45727</v>
      </c>
      <c r="C690" s="1" t="n">
        <v>46160</v>
      </c>
      <c r="D690" t="inlineStr">
        <is>
          <t>NORRBOTTENS LÄN</t>
        </is>
      </c>
      <c r="E690" t="inlineStr">
        <is>
          <t>LULEÅ</t>
        </is>
      </c>
      <c r="G690" t="n">
        <v>6</v>
      </c>
      <c r="H690" t="n">
        <v>0</v>
      </c>
      <c r="I690" t="n">
        <v>0</v>
      </c>
      <c r="J690" t="n">
        <v>0</v>
      </c>
      <c r="K690" t="n">
        <v>0</v>
      </c>
      <c r="L690" t="n">
        <v>0</v>
      </c>
      <c r="M690" t="n">
        <v>0</v>
      </c>
      <c r="N690" t="n">
        <v>0</v>
      </c>
      <c r="O690" t="n">
        <v>0</v>
      </c>
      <c r="P690" t="n">
        <v>0</v>
      </c>
      <c r="Q690" t="n">
        <v>0</v>
      </c>
      <c r="R690" s="2" t="inlineStr"/>
    </row>
    <row r="691" ht="15" customHeight="1">
      <c r="A691" t="inlineStr">
        <is>
          <t>A 59681-2023</t>
        </is>
      </c>
      <c r="B691" s="1" t="n">
        <v>45255</v>
      </c>
      <c r="C691" s="1" t="n">
        <v>46160</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28275-2022</t>
        </is>
      </c>
      <c r="B692" s="1" t="n">
        <v>44746</v>
      </c>
      <c r="C692" s="1" t="n">
        <v>46160</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23884-2022</t>
        </is>
      </c>
      <c r="B693" s="1" t="n">
        <v>44722.57129629629</v>
      </c>
      <c r="C693" s="1" t="n">
        <v>46160</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27303-2022</t>
        </is>
      </c>
      <c r="B694" s="1" t="n">
        <v>44741</v>
      </c>
      <c r="C694" s="1" t="n">
        <v>46160</v>
      </c>
      <c r="D694" t="inlineStr">
        <is>
          <t>NORRBOTTENS LÄN</t>
        </is>
      </c>
      <c r="E694" t="inlineStr">
        <is>
          <t>LULEÅ</t>
        </is>
      </c>
      <c r="G694" t="n">
        <v>1.5</v>
      </c>
      <c r="H694" t="n">
        <v>0</v>
      </c>
      <c r="I694" t="n">
        <v>0</v>
      </c>
      <c r="J694" t="n">
        <v>0</v>
      </c>
      <c r="K694" t="n">
        <v>0</v>
      </c>
      <c r="L694" t="n">
        <v>0</v>
      </c>
      <c r="M694" t="n">
        <v>0</v>
      </c>
      <c r="N694" t="n">
        <v>0</v>
      </c>
      <c r="O694" t="n">
        <v>0</v>
      </c>
      <c r="P694" t="n">
        <v>0</v>
      </c>
      <c r="Q694" t="n">
        <v>0</v>
      </c>
      <c r="R694" s="2" t="inlineStr"/>
    </row>
    <row r="695" ht="15" customHeight="1">
      <c r="A695" t="inlineStr">
        <is>
          <t>A 58760-2023</t>
        </is>
      </c>
      <c r="B695" s="1" t="n">
        <v>45251</v>
      </c>
      <c r="C695" s="1" t="n">
        <v>46160</v>
      </c>
      <c r="D695" t="inlineStr">
        <is>
          <t>NORRBOTTENS LÄN</t>
        </is>
      </c>
      <c r="E695" t="inlineStr">
        <is>
          <t>LULEÅ</t>
        </is>
      </c>
      <c r="G695" t="n">
        <v>5.4</v>
      </c>
      <c r="H695" t="n">
        <v>0</v>
      </c>
      <c r="I695" t="n">
        <v>0</v>
      </c>
      <c r="J695" t="n">
        <v>0</v>
      </c>
      <c r="K695" t="n">
        <v>0</v>
      </c>
      <c r="L695" t="n">
        <v>0</v>
      </c>
      <c r="M695" t="n">
        <v>0</v>
      </c>
      <c r="N695" t="n">
        <v>0</v>
      </c>
      <c r="O695" t="n">
        <v>0</v>
      </c>
      <c r="P695" t="n">
        <v>0</v>
      </c>
      <c r="Q695" t="n">
        <v>0</v>
      </c>
      <c r="R695" s="2" t="inlineStr"/>
    </row>
    <row r="696" ht="15" customHeight="1">
      <c r="A696" t="inlineStr">
        <is>
          <t>A 38551-2023</t>
        </is>
      </c>
      <c r="B696" s="1" t="n">
        <v>45160</v>
      </c>
      <c r="C696" s="1" t="n">
        <v>46160</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26587-2024</t>
        </is>
      </c>
      <c r="B697" s="1" t="n">
        <v>45469.67459490741</v>
      </c>
      <c r="C697" s="1" t="n">
        <v>46160</v>
      </c>
      <c r="D697" t="inlineStr">
        <is>
          <t>NORRBOTTENS LÄN</t>
        </is>
      </c>
      <c r="E697" t="inlineStr">
        <is>
          <t>LULEÅ</t>
        </is>
      </c>
      <c r="G697" t="n">
        <v>3.9</v>
      </c>
      <c r="H697" t="n">
        <v>0</v>
      </c>
      <c r="I697" t="n">
        <v>0</v>
      </c>
      <c r="J697" t="n">
        <v>0</v>
      </c>
      <c r="K697" t="n">
        <v>0</v>
      </c>
      <c r="L697" t="n">
        <v>0</v>
      </c>
      <c r="M697" t="n">
        <v>0</v>
      </c>
      <c r="N697" t="n">
        <v>0</v>
      </c>
      <c r="O697" t="n">
        <v>0</v>
      </c>
      <c r="P697" t="n">
        <v>0</v>
      </c>
      <c r="Q697" t="n">
        <v>0</v>
      </c>
      <c r="R697" s="2" t="inlineStr"/>
    </row>
    <row r="698" ht="15" customHeight="1">
      <c r="A698" t="inlineStr">
        <is>
          <t>A 49712-2022</t>
        </is>
      </c>
      <c r="B698" s="1" t="n">
        <v>44859</v>
      </c>
      <c r="C698" s="1" t="n">
        <v>46160</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46158-2021</t>
        </is>
      </c>
      <c r="B699" s="1" t="n">
        <v>44442.43422453704</v>
      </c>
      <c r="C699" s="1" t="n">
        <v>46160</v>
      </c>
      <c r="D699" t="inlineStr">
        <is>
          <t>NORRBOTTENS LÄN</t>
        </is>
      </c>
      <c r="E699" t="inlineStr">
        <is>
          <t>LULEÅ</t>
        </is>
      </c>
      <c r="G699" t="n">
        <v>4.8</v>
      </c>
      <c r="H699" t="n">
        <v>0</v>
      </c>
      <c r="I699" t="n">
        <v>0</v>
      </c>
      <c r="J699" t="n">
        <v>0</v>
      </c>
      <c r="K699" t="n">
        <v>0</v>
      </c>
      <c r="L699" t="n">
        <v>0</v>
      </c>
      <c r="M699" t="n">
        <v>0</v>
      </c>
      <c r="N699" t="n">
        <v>0</v>
      </c>
      <c r="O699" t="n">
        <v>0</v>
      </c>
      <c r="P699" t="n">
        <v>0</v>
      </c>
      <c r="Q699" t="n">
        <v>0</v>
      </c>
      <c r="R699" s="2" t="inlineStr"/>
    </row>
    <row r="700" ht="15" customHeight="1">
      <c r="A700" t="inlineStr">
        <is>
          <t>A 8228-2024</t>
        </is>
      </c>
      <c r="B700" s="1" t="n">
        <v>45351</v>
      </c>
      <c r="C700" s="1" t="n">
        <v>46160</v>
      </c>
      <c r="D700" t="inlineStr">
        <is>
          <t>NORRBOTTENS LÄN</t>
        </is>
      </c>
      <c r="E700" t="inlineStr">
        <is>
          <t>LULEÅ</t>
        </is>
      </c>
      <c r="G700" t="n">
        <v>10.1</v>
      </c>
      <c r="H700" t="n">
        <v>0</v>
      </c>
      <c r="I700" t="n">
        <v>0</v>
      </c>
      <c r="J700" t="n">
        <v>0</v>
      </c>
      <c r="K700" t="n">
        <v>0</v>
      </c>
      <c r="L700" t="n">
        <v>0</v>
      </c>
      <c r="M700" t="n">
        <v>0</v>
      </c>
      <c r="N700" t="n">
        <v>0</v>
      </c>
      <c r="O700" t="n">
        <v>0</v>
      </c>
      <c r="P700" t="n">
        <v>0</v>
      </c>
      <c r="Q700" t="n">
        <v>0</v>
      </c>
      <c r="R700" s="2" t="inlineStr"/>
    </row>
    <row r="701" ht="15" customHeight="1">
      <c r="A701" t="inlineStr">
        <is>
          <t>A 61891-2023</t>
        </is>
      </c>
      <c r="B701" s="1" t="n">
        <v>45264</v>
      </c>
      <c r="C701" s="1" t="n">
        <v>46160</v>
      </c>
      <c r="D701" t="inlineStr">
        <is>
          <t>NORRBOTTENS LÄN</t>
        </is>
      </c>
      <c r="E701" t="inlineStr">
        <is>
          <t>LULEÅ</t>
        </is>
      </c>
      <c r="G701" t="n">
        <v>1.7</v>
      </c>
      <c r="H701" t="n">
        <v>0</v>
      </c>
      <c r="I701" t="n">
        <v>0</v>
      </c>
      <c r="J701" t="n">
        <v>0</v>
      </c>
      <c r="K701" t="n">
        <v>0</v>
      </c>
      <c r="L701" t="n">
        <v>0</v>
      </c>
      <c r="M701" t="n">
        <v>0</v>
      </c>
      <c r="N701" t="n">
        <v>0</v>
      </c>
      <c r="O701" t="n">
        <v>0</v>
      </c>
      <c r="P701" t="n">
        <v>0</v>
      </c>
      <c r="Q701" t="n">
        <v>0</v>
      </c>
      <c r="R701" s="2" t="inlineStr"/>
    </row>
    <row r="702" ht="15" customHeight="1">
      <c r="A702" t="inlineStr">
        <is>
          <t>A 6739-2024</t>
        </is>
      </c>
      <c r="B702" s="1" t="n">
        <v>45342</v>
      </c>
      <c r="C702" s="1" t="n">
        <v>46160</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57911-2023</t>
        </is>
      </c>
      <c r="B703" s="1" t="n">
        <v>45247</v>
      </c>
      <c r="C703" s="1" t="n">
        <v>46160</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4771-2024</t>
        </is>
      </c>
      <c r="B704" s="1" t="n">
        <v>45328</v>
      </c>
      <c r="C704" s="1" t="n">
        <v>46160</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29550-2024</t>
        </is>
      </c>
      <c r="B705" s="1" t="n">
        <v>45484</v>
      </c>
      <c r="C705" s="1" t="n">
        <v>46160</v>
      </c>
      <c r="D705" t="inlineStr">
        <is>
          <t>NORRBOTTENS LÄN</t>
        </is>
      </c>
      <c r="E705" t="inlineStr">
        <is>
          <t>LULEÅ</t>
        </is>
      </c>
      <c r="G705" t="n">
        <v>0.8</v>
      </c>
      <c r="H705" t="n">
        <v>0</v>
      </c>
      <c r="I705" t="n">
        <v>0</v>
      </c>
      <c r="J705" t="n">
        <v>0</v>
      </c>
      <c r="K705" t="n">
        <v>0</v>
      </c>
      <c r="L705" t="n">
        <v>0</v>
      </c>
      <c r="M705" t="n">
        <v>0</v>
      </c>
      <c r="N705" t="n">
        <v>0</v>
      </c>
      <c r="O705" t="n">
        <v>0</v>
      </c>
      <c r="P705" t="n">
        <v>0</v>
      </c>
      <c r="Q705" t="n">
        <v>0</v>
      </c>
      <c r="R705" s="2" t="inlineStr"/>
    </row>
    <row r="706" ht="15" customHeight="1">
      <c r="A706" t="inlineStr">
        <is>
          <t>A 46374-2024</t>
        </is>
      </c>
      <c r="B706" s="1" t="n">
        <v>45582</v>
      </c>
      <c r="C706" s="1" t="n">
        <v>46160</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61510-2024</t>
        </is>
      </c>
      <c r="B707" s="1" t="n">
        <v>45646.56674768519</v>
      </c>
      <c r="C707" s="1" t="n">
        <v>46160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4547-2025</t>
        </is>
      </c>
      <c r="B708" s="1" t="n">
        <v>45687.40212962963</v>
      </c>
      <c r="C708" s="1" t="n">
        <v>46160</v>
      </c>
      <c r="D708" t="inlineStr">
        <is>
          <t>NORRBOTTENS LÄN</t>
        </is>
      </c>
      <c r="E708" t="inlineStr">
        <is>
          <t>LULEÅ</t>
        </is>
      </c>
      <c r="G708" t="n">
        <v>1.3</v>
      </c>
      <c r="H708" t="n">
        <v>0</v>
      </c>
      <c r="I708" t="n">
        <v>0</v>
      </c>
      <c r="J708" t="n">
        <v>0</v>
      </c>
      <c r="K708" t="n">
        <v>0</v>
      </c>
      <c r="L708" t="n">
        <v>0</v>
      </c>
      <c r="M708" t="n">
        <v>0</v>
      </c>
      <c r="N708" t="n">
        <v>0</v>
      </c>
      <c r="O708" t="n">
        <v>0</v>
      </c>
      <c r="P708" t="n">
        <v>0</v>
      </c>
      <c r="Q708" t="n">
        <v>0</v>
      </c>
      <c r="R708" s="2" t="inlineStr"/>
    </row>
    <row r="709" ht="15" customHeight="1">
      <c r="A709" t="inlineStr">
        <is>
          <t>A 6269-2023</t>
        </is>
      </c>
      <c r="B709" s="1" t="n">
        <v>44960</v>
      </c>
      <c r="C709" s="1" t="n">
        <v>46160</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57764-2022</t>
        </is>
      </c>
      <c r="B710" s="1" t="n">
        <v>44890</v>
      </c>
      <c r="C710" s="1" t="n">
        <v>46160</v>
      </c>
      <c r="D710" t="inlineStr">
        <is>
          <t>NORRBOTTENS LÄN</t>
        </is>
      </c>
      <c r="E710" t="inlineStr">
        <is>
          <t>LULEÅ</t>
        </is>
      </c>
      <c r="G710" t="n">
        <v>4.3</v>
      </c>
      <c r="H710" t="n">
        <v>0</v>
      </c>
      <c r="I710" t="n">
        <v>0</v>
      </c>
      <c r="J710" t="n">
        <v>0</v>
      </c>
      <c r="K710" t="n">
        <v>0</v>
      </c>
      <c r="L710" t="n">
        <v>0</v>
      </c>
      <c r="M710" t="n">
        <v>0</v>
      </c>
      <c r="N710" t="n">
        <v>0</v>
      </c>
      <c r="O710" t="n">
        <v>0</v>
      </c>
      <c r="P710" t="n">
        <v>0</v>
      </c>
      <c r="Q710" t="n">
        <v>0</v>
      </c>
      <c r="R710" s="2" t="inlineStr"/>
    </row>
    <row r="711" ht="15" customHeight="1">
      <c r="A711" t="inlineStr">
        <is>
          <t>A 62701-2022</t>
        </is>
      </c>
      <c r="B711" s="1" t="n">
        <v>44917</v>
      </c>
      <c r="C711" s="1" t="n">
        <v>46160</v>
      </c>
      <c r="D711" t="inlineStr">
        <is>
          <t>NORRBOTTENS LÄN</t>
        </is>
      </c>
      <c r="E711" t="inlineStr">
        <is>
          <t>LULEÅ</t>
        </is>
      </c>
      <c r="G711" t="n">
        <v>0.5</v>
      </c>
      <c r="H711" t="n">
        <v>0</v>
      </c>
      <c r="I711" t="n">
        <v>0</v>
      </c>
      <c r="J711" t="n">
        <v>0</v>
      </c>
      <c r="K711" t="n">
        <v>0</v>
      </c>
      <c r="L711" t="n">
        <v>0</v>
      </c>
      <c r="M711" t="n">
        <v>0</v>
      </c>
      <c r="N711" t="n">
        <v>0</v>
      </c>
      <c r="O711" t="n">
        <v>0</v>
      </c>
      <c r="P711" t="n">
        <v>0</v>
      </c>
      <c r="Q711" t="n">
        <v>0</v>
      </c>
      <c r="R711" s="2" t="inlineStr"/>
    </row>
    <row r="712" ht="15" customHeight="1">
      <c r="A712" t="inlineStr">
        <is>
          <t>A 1002-2025</t>
        </is>
      </c>
      <c r="B712" s="1" t="n">
        <v>45665</v>
      </c>
      <c r="C712" s="1" t="n">
        <v>46160</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433-2022</t>
        </is>
      </c>
      <c r="B713" s="1" t="n">
        <v>44565.92903935185</v>
      </c>
      <c r="C713" s="1" t="n">
        <v>46160</v>
      </c>
      <c r="D713" t="inlineStr">
        <is>
          <t>NORRBOTTENS LÄN</t>
        </is>
      </c>
      <c r="E713" t="inlineStr">
        <is>
          <t>LULEÅ</t>
        </is>
      </c>
      <c r="G713" t="n">
        <v>1.3</v>
      </c>
      <c r="H713" t="n">
        <v>0</v>
      </c>
      <c r="I713" t="n">
        <v>0</v>
      </c>
      <c r="J713" t="n">
        <v>0</v>
      </c>
      <c r="K713" t="n">
        <v>0</v>
      </c>
      <c r="L713" t="n">
        <v>0</v>
      </c>
      <c r="M713" t="n">
        <v>0</v>
      </c>
      <c r="N713" t="n">
        <v>0</v>
      </c>
      <c r="O713" t="n">
        <v>0</v>
      </c>
      <c r="P713" t="n">
        <v>0</v>
      </c>
      <c r="Q713" t="n">
        <v>0</v>
      </c>
      <c r="R713" s="2" t="inlineStr"/>
    </row>
    <row r="714" ht="15" customHeight="1">
      <c r="A714" t="inlineStr">
        <is>
          <t>A 12782-2023</t>
        </is>
      </c>
      <c r="B714" s="1" t="n">
        <v>45000</v>
      </c>
      <c r="C714" s="1" t="n">
        <v>46160</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44005-2024</t>
        </is>
      </c>
      <c r="B715" s="1" t="n">
        <v>45572.54814814815</v>
      </c>
      <c r="C715" s="1" t="n">
        <v>46160</v>
      </c>
      <c r="D715" t="inlineStr">
        <is>
          <t>NORRBOTTENS LÄN</t>
        </is>
      </c>
      <c r="E715" t="inlineStr">
        <is>
          <t>LULEÅ</t>
        </is>
      </c>
      <c r="G715" t="n">
        <v>14.8</v>
      </c>
      <c r="H715" t="n">
        <v>0</v>
      </c>
      <c r="I715" t="n">
        <v>0</v>
      </c>
      <c r="J715" t="n">
        <v>0</v>
      </c>
      <c r="K715" t="n">
        <v>0</v>
      </c>
      <c r="L715" t="n">
        <v>0</v>
      </c>
      <c r="M715" t="n">
        <v>0</v>
      </c>
      <c r="N715" t="n">
        <v>0</v>
      </c>
      <c r="O715" t="n">
        <v>0</v>
      </c>
      <c r="P715" t="n">
        <v>0</v>
      </c>
      <c r="Q715" t="n">
        <v>0</v>
      </c>
      <c r="R715" s="2" t="inlineStr"/>
    </row>
    <row r="716" ht="15" customHeight="1">
      <c r="A716" t="inlineStr">
        <is>
          <t>A 50632-2021</t>
        </is>
      </c>
      <c r="B716" s="1" t="n">
        <v>44459</v>
      </c>
      <c r="C716" s="1" t="n">
        <v>46160</v>
      </c>
      <c r="D716" t="inlineStr">
        <is>
          <t>NORRBOTTENS LÄN</t>
        </is>
      </c>
      <c r="E716" t="inlineStr">
        <is>
          <t>LULEÅ</t>
        </is>
      </c>
      <c r="G716" t="n">
        <v>3.5</v>
      </c>
      <c r="H716" t="n">
        <v>0</v>
      </c>
      <c r="I716" t="n">
        <v>0</v>
      </c>
      <c r="J716" t="n">
        <v>0</v>
      </c>
      <c r="K716" t="n">
        <v>0</v>
      </c>
      <c r="L716" t="n">
        <v>0</v>
      </c>
      <c r="M716" t="n">
        <v>0</v>
      </c>
      <c r="N716" t="n">
        <v>0</v>
      </c>
      <c r="O716" t="n">
        <v>0</v>
      </c>
      <c r="P716" t="n">
        <v>0</v>
      </c>
      <c r="Q716" t="n">
        <v>0</v>
      </c>
      <c r="R716" s="2" t="inlineStr"/>
    </row>
    <row r="717" ht="15" customHeight="1">
      <c r="A717" t="inlineStr">
        <is>
          <t>A 42102-2024</t>
        </is>
      </c>
      <c r="B717" s="1" t="n">
        <v>45562.35875</v>
      </c>
      <c r="C717" s="1" t="n">
        <v>46160</v>
      </c>
      <c r="D717" t="inlineStr">
        <is>
          <t>NORRBOTTENS LÄN</t>
        </is>
      </c>
      <c r="E717" t="inlineStr">
        <is>
          <t>LULEÅ</t>
        </is>
      </c>
      <c r="G717" t="n">
        <v>0.8</v>
      </c>
      <c r="H717" t="n">
        <v>0</v>
      </c>
      <c r="I717" t="n">
        <v>0</v>
      </c>
      <c r="J717" t="n">
        <v>0</v>
      </c>
      <c r="K717" t="n">
        <v>0</v>
      </c>
      <c r="L717" t="n">
        <v>0</v>
      </c>
      <c r="M717" t="n">
        <v>0</v>
      </c>
      <c r="N717" t="n">
        <v>0</v>
      </c>
      <c r="O717" t="n">
        <v>0</v>
      </c>
      <c r="P717" t="n">
        <v>0</v>
      </c>
      <c r="Q717" t="n">
        <v>0</v>
      </c>
      <c r="R717" s="2" t="inlineStr"/>
    </row>
    <row r="718" ht="15" customHeight="1">
      <c r="A718" t="inlineStr">
        <is>
          <t>A 42422-2024</t>
        </is>
      </c>
      <c r="B718" s="1" t="n">
        <v>45565.38912037037</v>
      </c>
      <c r="C718" s="1" t="n">
        <v>46160</v>
      </c>
      <c r="D718" t="inlineStr">
        <is>
          <t>NORRBOTTENS LÄN</t>
        </is>
      </c>
      <c r="E718" t="inlineStr">
        <is>
          <t>LULEÅ</t>
        </is>
      </c>
      <c r="G718" t="n">
        <v>0.5</v>
      </c>
      <c r="H718" t="n">
        <v>0</v>
      </c>
      <c r="I718" t="n">
        <v>0</v>
      </c>
      <c r="J718" t="n">
        <v>0</v>
      </c>
      <c r="K718" t="n">
        <v>0</v>
      </c>
      <c r="L718" t="n">
        <v>0</v>
      </c>
      <c r="M718" t="n">
        <v>0</v>
      </c>
      <c r="N718" t="n">
        <v>0</v>
      </c>
      <c r="O718" t="n">
        <v>0</v>
      </c>
      <c r="P718" t="n">
        <v>0</v>
      </c>
      <c r="Q718" t="n">
        <v>0</v>
      </c>
      <c r="R718" s="2" t="inlineStr"/>
    </row>
    <row r="719" ht="15" customHeight="1">
      <c r="A719" t="inlineStr">
        <is>
          <t>A 42426-2024</t>
        </is>
      </c>
      <c r="B719" s="1" t="n">
        <v>45565.39958333333</v>
      </c>
      <c r="C719" s="1" t="n">
        <v>46160</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41707-2024</t>
        </is>
      </c>
      <c r="B720" s="1" t="n">
        <v>45560.69846064815</v>
      </c>
      <c r="C720" s="1" t="n">
        <v>46160</v>
      </c>
      <c r="D720" t="inlineStr">
        <is>
          <t>NORRBOTTENS LÄN</t>
        </is>
      </c>
      <c r="E720" t="inlineStr">
        <is>
          <t>LULEÅ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41708-2024</t>
        </is>
      </c>
      <c r="B721" s="1" t="n">
        <v>45560.6984837963</v>
      </c>
      <c r="C721" s="1" t="n">
        <v>46160</v>
      </c>
      <c r="D721" t="inlineStr">
        <is>
          <t>NORRBOTTENS LÄN</t>
        </is>
      </c>
      <c r="E721" t="inlineStr">
        <is>
          <t>LULEÅ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61315-2022</t>
        </is>
      </c>
      <c r="B722" s="1" t="n">
        <v>44909</v>
      </c>
      <c r="C722" s="1" t="n">
        <v>46160</v>
      </c>
      <c r="D722" t="inlineStr">
        <is>
          <t>NORRBOTTENS LÄN</t>
        </is>
      </c>
      <c r="E722" t="inlineStr">
        <is>
          <t>LULEÅ</t>
        </is>
      </c>
      <c r="G722" t="n">
        <v>2.8</v>
      </c>
      <c r="H722" t="n">
        <v>0</v>
      </c>
      <c r="I722" t="n">
        <v>0</v>
      </c>
      <c r="J722" t="n">
        <v>0</v>
      </c>
      <c r="K722" t="n">
        <v>0</v>
      </c>
      <c r="L722" t="n">
        <v>0</v>
      </c>
      <c r="M722" t="n">
        <v>0</v>
      </c>
      <c r="N722" t="n">
        <v>0</v>
      </c>
      <c r="O722" t="n">
        <v>0</v>
      </c>
      <c r="P722" t="n">
        <v>0</v>
      </c>
      <c r="Q722" t="n">
        <v>0</v>
      </c>
      <c r="R722" s="2" t="inlineStr"/>
    </row>
    <row r="723" ht="15" customHeight="1">
      <c r="A723" t="inlineStr">
        <is>
          <t>A 11178-2023</t>
        </is>
      </c>
      <c r="B723" s="1" t="n">
        <v>44987</v>
      </c>
      <c r="C723" s="1" t="n">
        <v>46160</v>
      </c>
      <c r="D723" t="inlineStr">
        <is>
          <t>NORRBOTTENS LÄN</t>
        </is>
      </c>
      <c r="E723" t="inlineStr">
        <is>
          <t>LULEÅ</t>
        </is>
      </c>
      <c r="G723" t="n">
        <v>4.7</v>
      </c>
      <c r="H723" t="n">
        <v>0</v>
      </c>
      <c r="I723" t="n">
        <v>0</v>
      </c>
      <c r="J723" t="n">
        <v>0</v>
      </c>
      <c r="K723" t="n">
        <v>0</v>
      </c>
      <c r="L723" t="n">
        <v>0</v>
      </c>
      <c r="M723" t="n">
        <v>0</v>
      </c>
      <c r="N723" t="n">
        <v>0</v>
      </c>
      <c r="O723" t="n">
        <v>0</v>
      </c>
      <c r="P723" t="n">
        <v>0</v>
      </c>
      <c r="Q723" t="n">
        <v>0</v>
      </c>
      <c r="R723" s="2" t="inlineStr"/>
    </row>
    <row r="724" ht="15" customHeight="1">
      <c r="A724" t="inlineStr">
        <is>
          <t>A 7306-2024</t>
        </is>
      </c>
      <c r="B724" s="1" t="n">
        <v>45344</v>
      </c>
      <c r="C724" s="1" t="n">
        <v>46160</v>
      </c>
      <c r="D724" t="inlineStr">
        <is>
          <t>NORRBOTTENS LÄN</t>
        </is>
      </c>
      <c r="E724" t="inlineStr">
        <is>
          <t>LULEÅ</t>
        </is>
      </c>
      <c r="G724" t="n">
        <v>29.2</v>
      </c>
      <c r="H724" t="n">
        <v>0</v>
      </c>
      <c r="I724" t="n">
        <v>0</v>
      </c>
      <c r="J724" t="n">
        <v>0</v>
      </c>
      <c r="K724" t="n">
        <v>0</v>
      </c>
      <c r="L724" t="n">
        <v>0</v>
      </c>
      <c r="M724" t="n">
        <v>0</v>
      </c>
      <c r="N724" t="n">
        <v>0</v>
      </c>
      <c r="O724" t="n">
        <v>0</v>
      </c>
      <c r="P724" t="n">
        <v>0</v>
      </c>
      <c r="Q724" t="n">
        <v>0</v>
      </c>
      <c r="R724" s="2" t="inlineStr"/>
    </row>
    <row r="725" ht="15" customHeight="1">
      <c r="A725" t="inlineStr">
        <is>
          <t>A 49648-2024</t>
        </is>
      </c>
      <c r="B725" s="1" t="n">
        <v>45596</v>
      </c>
      <c r="C725" s="1" t="n">
        <v>46160</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44531-2023</t>
        </is>
      </c>
      <c r="B726" s="1" t="n">
        <v>45183</v>
      </c>
      <c r="C726" s="1" t="n">
        <v>46160</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7689-2025</t>
        </is>
      </c>
      <c r="B727" s="1" t="n">
        <v>45706</v>
      </c>
      <c r="C727" s="1" t="n">
        <v>46160</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42024-2024</t>
        </is>
      </c>
      <c r="B728" s="1" t="n">
        <v>45561.72005787037</v>
      </c>
      <c r="C728" s="1" t="n">
        <v>46160</v>
      </c>
      <c r="D728" t="inlineStr">
        <is>
          <t>NORRBOTTENS LÄN</t>
        </is>
      </c>
      <c r="E728" t="inlineStr">
        <is>
          <t>LULEÅ</t>
        </is>
      </c>
      <c r="G728" t="n">
        <v>1.4</v>
      </c>
      <c r="H728" t="n">
        <v>0</v>
      </c>
      <c r="I728" t="n">
        <v>0</v>
      </c>
      <c r="J728" t="n">
        <v>0</v>
      </c>
      <c r="K728" t="n">
        <v>0</v>
      </c>
      <c r="L728" t="n">
        <v>0</v>
      </c>
      <c r="M728" t="n">
        <v>0</v>
      </c>
      <c r="N728" t="n">
        <v>0</v>
      </c>
      <c r="O728" t="n">
        <v>0</v>
      </c>
      <c r="P728" t="n">
        <v>0</v>
      </c>
      <c r="Q728" t="n">
        <v>0</v>
      </c>
      <c r="R728" s="2" t="inlineStr"/>
    </row>
    <row r="729" ht="15" customHeight="1">
      <c r="A729" t="inlineStr">
        <is>
          <t>A 12865-2023</t>
        </is>
      </c>
      <c r="B729" s="1" t="n">
        <v>45001</v>
      </c>
      <c r="C729" s="1" t="n">
        <v>46160</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17020-2024</t>
        </is>
      </c>
      <c r="B730" s="1" t="n">
        <v>45411</v>
      </c>
      <c r="C730" s="1" t="n">
        <v>46160</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17031-2024</t>
        </is>
      </c>
      <c r="B731" s="1" t="n">
        <v>45411</v>
      </c>
      <c r="C731" s="1" t="n">
        <v>46160</v>
      </c>
      <c r="D731" t="inlineStr">
        <is>
          <t>NORRBOTTENS LÄN</t>
        </is>
      </c>
      <c r="E731" t="inlineStr">
        <is>
          <t>LULEÅ</t>
        </is>
      </c>
      <c r="G731" t="n">
        <v>4.6</v>
      </c>
      <c r="H731" t="n">
        <v>0</v>
      </c>
      <c r="I731" t="n">
        <v>0</v>
      </c>
      <c r="J731" t="n">
        <v>0</v>
      </c>
      <c r="K731" t="n">
        <v>0</v>
      </c>
      <c r="L731" t="n">
        <v>0</v>
      </c>
      <c r="M731" t="n">
        <v>0</v>
      </c>
      <c r="N731" t="n">
        <v>0</v>
      </c>
      <c r="O731" t="n">
        <v>0</v>
      </c>
      <c r="P731" t="n">
        <v>0</v>
      </c>
      <c r="Q731" t="n">
        <v>0</v>
      </c>
      <c r="R731" s="2" t="inlineStr"/>
    </row>
    <row r="732" ht="15" customHeight="1">
      <c r="A732" t="inlineStr">
        <is>
          <t>A 60954-2021</t>
        </is>
      </c>
      <c r="B732" s="1" t="n">
        <v>44496</v>
      </c>
      <c r="C732" s="1" t="n">
        <v>46160</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45940-2021</t>
        </is>
      </c>
      <c r="B733" s="1" t="n">
        <v>44441</v>
      </c>
      <c r="C733" s="1" t="n">
        <v>46160</v>
      </c>
      <c r="D733" t="inlineStr">
        <is>
          <t>NORRBOTTENS LÄN</t>
        </is>
      </c>
      <c r="E733" t="inlineStr">
        <is>
          <t>LULEÅ</t>
        </is>
      </c>
      <c r="G733" t="n">
        <v>15.2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46160</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17427-2023</t>
        </is>
      </c>
      <c r="B735" s="1" t="n">
        <v>45035</v>
      </c>
      <c r="C735" s="1" t="n">
        <v>46160</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2561-2022</t>
        </is>
      </c>
      <c r="B736" s="1" t="n">
        <v>44579</v>
      </c>
      <c r="C736" s="1" t="n">
        <v>46160</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53603-2024</t>
        </is>
      </c>
      <c r="B737" s="1" t="n">
        <v>45614.69736111111</v>
      </c>
      <c r="C737" s="1" t="n">
        <v>46160</v>
      </c>
      <c r="D737" t="inlineStr">
        <is>
          <t>NORRBOTTENS LÄN</t>
        </is>
      </c>
      <c r="E737" t="inlineStr">
        <is>
          <t>LULEÅ</t>
        </is>
      </c>
      <c r="G737" t="n">
        <v>3.2</v>
      </c>
      <c r="H737" t="n">
        <v>0</v>
      </c>
      <c r="I737" t="n">
        <v>0</v>
      </c>
      <c r="J737" t="n">
        <v>0</v>
      </c>
      <c r="K737" t="n">
        <v>0</v>
      </c>
      <c r="L737" t="n">
        <v>0</v>
      </c>
      <c r="M737" t="n">
        <v>0</v>
      </c>
      <c r="N737" t="n">
        <v>0</v>
      </c>
      <c r="O737" t="n">
        <v>0</v>
      </c>
      <c r="P737" t="n">
        <v>0</v>
      </c>
      <c r="Q737" t="n">
        <v>0</v>
      </c>
      <c r="R737" s="2" t="inlineStr"/>
    </row>
    <row r="738" ht="15" customHeight="1">
      <c r="A738" t="inlineStr">
        <is>
          <t>A 47931-2024</t>
        </is>
      </c>
      <c r="B738" s="1" t="n">
        <v>45589</v>
      </c>
      <c r="C738" s="1" t="n">
        <v>46160</v>
      </c>
      <c r="D738" t="inlineStr">
        <is>
          <t>NORRBOTTENS LÄN</t>
        </is>
      </c>
      <c r="E738" t="inlineStr">
        <is>
          <t>LULEÅ</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60130-2024</t>
        </is>
      </c>
      <c r="B739" s="1" t="n">
        <v>45642.59327546296</v>
      </c>
      <c r="C739" s="1" t="n">
        <v>46160</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49641-2024</t>
        </is>
      </c>
      <c r="B740" s="1" t="n">
        <v>45596</v>
      </c>
      <c r="C740" s="1" t="n">
        <v>46160</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26925-2024</t>
        </is>
      </c>
      <c r="B741" s="1" t="n">
        <v>45470.93118055556</v>
      </c>
      <c r="C741" s="1" t="n">
        <v>46160</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55747-2023</t>
        </is>
      </c>
      <c r="B742" s="1" t="n">
        <v>45232</v>
      </c>
      <c r="C742" s="1" t="n">
        <v>46160</v>
      </c>
      <c r="D742" t="inlineStr">
        <is>
          <t>NORRBOTTENS LÄN</t>
        </is>
      </c>
      <c r="E742" t="inlineStr">
        <is>
          <t>LULEÅ</t>
        </is>
      </c>
      <c r="G742" t="n">
        <v>1.1</v>
      </c>
      <c r="H742" t="n">
        <v>0</v>
      </c>
      <c r="I742" t="n">
        <v>0</v>
      </c>
      <c r="J742" t="n">
        <v>0</v>
      </c>
      <c r="K742" t="n">
        <v>0</v>
      </c>
      <c r="L742" t="n">
        <v>0</v>
      </c>
      <c r="M742" t="n">
        <v>0</v>
      </c>
      <c r="N742" t="n">
        <v>0</v>
      </c>
      <c r="O742" t="n">
        <v>0</v>
      </c>
      <c r="P742" t="n">
        <v>0</v>
      </c>
      <c r="Q742" t="n">
        <v>0</v>
      </c>
      <c r="R742" s="2" t="inlineStr"/>
    </row>
    <row r="743" ht="15" customHeight="1">
      <c r="A743" t="inlineStr">
        <is>
          <t>A 54769-2024</t>
        </is>
      </c>
      <c r="B743" s="1" t="n">
        <v>45618.47244212963</v>
      </c>
      <c r="C743" s="1" t="n">
        <v>46160</v>
      </c>
      <c r="D743" t="inlineStr">
        <is>
          <t>NORRBOTTENS LÄN</t>
        </is>
      </c>
      <c r="E743" t="inlineStr">
        <is>
          <t>LULEÅ</t>
        </is>
      </c>
      <c r="G743" t="n">
        <v>8.4</v>
      </c>
      <c r="H743" t="n">
        <v>0</v>
      </c>
      <c r="I743" t="n">
        <v>0</v>
      </c>
      <c r="J743" t="n">
        <v>0</v>
      </c>
      <c r="K743" t="n">
        <v>0</v>
      </c>
      <c r="L743" t="n">
        <v>0</v>
      </c>
      <c r="M743" t="n">
        <v>0</v>
      </c>
      <c r="N743" t="n">
        <v>0</v>
      </c>
      <c r="O743" t="n">
        <v>0</v>
      </c>
      <c r="P743" t="n">
        <v>0</v>
      </c>
      <c r="Q743" t="n">
        <v>0</v>
      </c>
      <c r="R743" s="2" t="inlineStr"/>
    </row>
    <row r="744" ht="15" customHeight="1">
      <c r="A744" t="inlineStr">
        <is>
          <t>A 1513-2025</t>
        </is>
      </c>
      <c r="B744" s="1" t="n">
        <v>45670.45391203704</v>
      </c>
      <c r="C744" s="1" t="n">
        <v>46160</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6958-2025</t>
        </is>
      </c>
      <c r="B745" s="1" t="n">
        <v>45701.49054398148</v>
      </c>
      <c r="C745" s="1" t="n">
        <v>46160</v>
      </c>
      <c r="D745" t="inlineStr">
        <is>
          <t>NORRBOTTENS LÄN</t>
        </is>
      </c>
      <c r="E745" t="inlineStr">
        <is>
          <t>LULEÅ</t>
        </is>
      </c>
      <c r="G745" t="n">
        <v>1.5</v>
      </c>
      <c r="H745" t="n">
        <v>0</v>
      </c>
      <c r="I745" t="n">
        <v>0</v>
      </c>
      <c r="J745" t="n">
        <v>0</v>
      </c>
      <c r="K745" t="n">
        <v>0</v>
      </c>
      <c r="L745" t="n">
        <v>0</v>
      </c>
      <c r="M745" t="n">
        <v>0</v>
      </c>
      <c r="N745" t="n">
        <v>0</v>
      </c>
      <c r="O745" t="n">
        <v>0</v>
      </c>
      <c r="P745" t="n">
        <v>0</v>
      </c>
      <c r="Q745" t="n">
        <v>0</v>
      </c>
      <c r="R745" s="2" t="inlineStr"/>
    </row>
    <row r="746" ht="15" customHeight="1">
      <c r="A746" t="inlineStr">
        <is>
          <t>A 59682-2023</t>
        </is>
      </c>
      <c r="B746" s="1" t="n">
        <v>45255</v>
      </c>
      <c r="C746" s="1" t="n">
        <v>46160</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9274-2023</t>
        </is>
      </c>
      <c r="B747" s="1" t="n">
        <v>44977</v>
      </c>
      <c r="C747" s="1" t="n">
        <v>46160</v>
      </c>
      <c r="D747" t="inlineStr">
        <is>
          <t>NORRBOTTENS LÄN</t>
        </is>
      </c>
      <c r="E747" t="inlineStr">
        <is>
          <t>LULEÅ</t>
        </is>
      </c>
      <c r="G747" t="n">
        <v>1.1</v>
      </c>
      <c r="H747" t="n">
        <v>0</v>
      </c>
      <c r="I747" t="n">
        <v>0</v>
      </c>
      <c r="J747" t="n">
        <v>0</v>
      </c>
      <c r="K747" t="n">
        <v>0</v>
      </c>
      <c r="L747" t="n">
        <v>0</v>
      </c>
      <c r="M747" t="n">
        <v>0</v>
      </c>
      <c r="N747" t="n">
        <v>0</v>
      </c>
      <c r="O747" t="n">
        <v>0</v>
      </c>
      <c r="P747" t="n">
        <v>0</v>
      </c>
      <c r="Q747" t="n">
        <v>0</v>
      </c>
      <c r="R747" s="2" t="inlineStr"/>
    </row>
    <row r="748" ht="15" customHeight="1">
      <c r="A748" t="inlineStr">
        <is>
          <t>A 9278-2023</t>
        </is>
      </c>
      <c r="B748" s="1" t="n">
        <v>44977</v>
      </c>
      <c r="C748" s="1" t="n">
        <v>46160</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9449-2023</t>
        </is>
      </c>
      <c r="B749" s="1" t="n">
        <v>44981</v>
      </c>
      <c r="C749" s="1" t="n">
        <v>46160</v>
      </c>
      <c r="D749" t="inlineStr">
        <is>
          <t>NORRBOTTENS LÄN</t>
        </is>
      </c>
      <c r="E749" t="inlineStr">
        <is>
          <t>LULEÅ</t>
        </is>
      </c>
      <c r="G749" t="n">
        <v>6.1</v>
      </c>
      <c r="H749" t="n">
        <v>0</v>
      </c>
      <c r="I749" t="n">
        <v>0</v>
      </c>
      <c r="J749" t="n">
        <v>0</v>
      </c>
      <c r="K749" t="n">
        <v>0</v>
      </c>
      <c r="L749" t="n">
        <v>0</v>
      </c>
      <c r="M749" t="n">
        <v>0</v>
      </c>
      <c r="N749" t="n">
        <v>0</v>
      </c>
      <c r="O749" t="n">
        <v>0</v>
      </c>
      <c r="P749" t="n">
        <v>0</v>
      </c>
      <c r="Q749" t="n">
        <v>0</v>
      </c>
      <c r="R749" s="2" t="inlineStr"/>
    </row>
    <row r="750" ht="15" customHeight="1">
      <c r="A750" t="inlineStr">
        <is>
          <t>A 9286-2023</t>
        </is>
      </c>
      <c r="B750" s="1" t="n">
        <v>44977</v>
      </c>
      <c r="C750" s="1" t="n">
        <v>46160</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9289-2023</t>
        </is>
      </c>
      <c r="B751" s="1" t="n">
        <v>44977</v>
      </c>
      <c r="C751" s="1" t="n">
        <v>46160</v>
      </c>
      <c r="D751" t="inlineStr">
        <is>
          <t>NORRBOTTENS LÄN</t>
        </is>
      </c>
      <c r="E751" t="inlineStr">
        <is>
          <t>LULEÅ</t>
        </is>
      </c>
      <c r="G751" t="n">
        <v>1.6</v>
      </c>
      <c r="H751" t="n">
        <v>0</v>
      </c>
      <c r="I751" t="n">
        <v>0</v>
      </c>
      <c r="J751" t="n">
        <v>0</v>
      </c>
      <c r="K751" t="n">
        <v>0</v>
      </c>
      <c r="L751" t="n">
        <v>0</v>
      </c>
      <c r="M751" t="n">
        <v>0</v>
      </c>
      <c r="N751" t="n">
        <v>0</v>
      </c>
      <c r="O751" t="n">
        <v>0</v>
      </c>
      <c r="P751" t="n">
        <v>0</v>
      </c>
      <c r="Q751" t="n">
        <v>0</v>
      </c>
      <c r="R751" s="2" t="inlineStr"/>
    </row>
    <row r="752" ht="15" customHeight="1">
      <c r="A752" t="inlineStr">
        <is>
          <t>A 6841-2024</t>
        </is>
      </c>
      <c r="B752" s="1" t="n">
        <v>45342</v>
      </c>
      <c r="C752" s="1" t="n">
        <v>46160</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8816-2023</t>
        </is>
      </c>
      <c r="B753" s="1" t="n">
        <v>44973</v>
      </c>
      <c r="C753" s="1" t="n">
        <v>46160</v>
      </c>
      <c r="D753" t="inlineStr">
        <is>
          <t>NORRBOTTENS LÄN</t>
        </is>
      </c>
      <c r="E753" t="inlineStr">
        <is>
          <t>LULEÅ</t>
        </is>
      </c>
      <c r="G753" t="n">
        <v>7.4</v>
      </c>
      <c r="H753" t="n">
        <v>0</v>
      </c>
      <c r="I753" t="n">
        <v>0</v>
      </c>
      <c r="J753" t="n">
        <v>0</v>
      </c>
      <c r="K753" t="n">
        <v>0</v>
      </c>
      <c r="L753" t="n">
        <v>0</v>
      </c>
      <c r="M753" t="n">
        <v>0</v>
      </c>
      <c r="N753" t="n">
        <v>0</v>
      </c>
      <c r="O753" t="n">
        <v>0</v>
      </c>
      <c r="P753" t="n">
        <v>0</v>
      </c>
      <c r="Q753" t="n">
        <v>0</v>
      </c>
      <c r="R753" s="2" t="inlineStr"/>
    </row>
    <row r="754" ht="15" customHeight="1">
      <c r="A754" t="inlineStr">
        <is>
          <t>A 1058-2025</t>
        </is>
      </c>
      <c r="B754" s="1" t="n">
        <v>45665</v>
      </c>
      <c r="C754" s="1" t="n">
        <v>46160</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8068-2023</t>
        </is>
      </c>
      <c r="B755" s="1" t="n">
        <v>44974.36233796296</v>
      </c>
      <c r="C755" s="1" t="n">
        <v>46160</v>
      </c>
      <c r="D755" t="inlineStr">
        <is>
          <t>NORRBOTTENS LÄN</t>
        </is>
      </c>
      <c r="E755" t="inlineStr">
        <is>
          <t>LULEÅ</t>
        </is>
      </c>
      <c r="G755" t="n">
        <v>5.4</v>
      </c>
      <c r="H755" t="n">
        <v>0</v>
      </c>
      <c r="I755" t="n">
        <v>0</v>
      </c>
      <c r="J755" t="n">
        <v>0</v>
      </c>
      <c r="K755" t="n">
        <v>0</v>
      </c>
      <c r="L755" t="n">
        <v>0</v>
      </c>
      <c r="M755" t="n">
        <v>0</v>
      </c>
      <c r="N755" t="n">
        <v>0</v>
      </c>
      <c r="O755" t="n">
        <v>0</v>
      </c>
      <c r="P755" t="n">
        <v>0</v>
      </c>
      <c r="Q755" t="n">
        <v>0</v>
      </c>
      <c r="R755" s="2" t="inlineStr"/>
    </row>
    <row r="756" ht="15" customHeight="1">
      <c r="A756" t="inlineStr">
        <is>
          <t>A 26594-2024</t>
        </is>
      </c>
      <c r="B756" s="1" t="n">
        <v>45469.68552083334</v>
      </c>
      <c r="C756" s="1" t="n">
        <v>46160</v>
      </c>
      <c r="D756" t="inlineStr">
        <is>
          <t>NORRBOTTENS LÄN</t>
        </is>
      </c>
      <c r="E756" t="inlineStr">
        <is>
          <t>LULEÅ</t>
        </is>
      </c>
      <c r="G756" t="n">
        <v>2.3</v>
      </c>
      <c r="H756" t="n">
        <v>0</v>
      </c>
      <c r="I756" t="n">
        <v>0</v>
      </c>
      <c r="J756" t="n">
        <v>0</v>
      </c>
      <c r="K756" t="n">
        <v>0</v>
      </c>
      <c r="L756" t="n">
        <v>0</v>
      </c>
      <c r="M756" t="n">
        <v>0</v>
      </c>
      <c r="N756" t="n">
        <v>0</v>
      </c>
      <c r="O756" t="n">
        <v>0</v>
      </c>
      <c r="P756" t="n">
        <v>0</v>
      </c>
      <c r="Q756" t="n">
        <v>0</v>
      </c>
      <c r="R756" s="2" t="inlineStr"/>
    </row>
    <row r="757" ht="15" customHeight="1">
      <c r="A757" t="inlineStr">
        <is>
          <t>A 8862-2024</t>
        </is>
      </c>
      <c r="B757" s="1" t="n">
        <v>45356.96326388889</v>
      </c>
      <c r="C757" s="1" t="n">
        <v>46160</v>
      </c>
      <c r="D757" t="inlineStr">
        <is>
          <t>NORRBOTTENS LÄN</t>
        </is>
      </c>
      <c r="E757" t="inlineStr">
        <is>
          <t>LULEÅ</t>
        </is>
      </c>
      <c r="G757" t="n">
        <v>10.6</v>
      </c>
      <c r="H757" t="n">
        <v>0</v>
      </c>
      <c r="I757" t="n">
        <v>0</v>
      </c>
      <c r="J757" t="n">
        <v>0</v>
      </c>
      <c r="K757" t="n">
        <v>0</v>
      </c>
      <c r="L757" t="n">
        <v>0</v>
      </c>
      <c r="M757" t="n">
        <v>0</v>
      </c>
      <c r="N757" t="n">
        <v>0</v>
      </c>
      <c r="O757" t="n">
        <v>0</v>
      </c>
      <c r="P757" t="n">
        <v>0</v>
      </c>
      <c r="Q757" t="n">
        <v>0</v>
      </c>
      <c r="R757" s="2" t="inlineStr"/>
    </row>
    <row r="758" ht="15" customHeight="1">
      <c r="A758" t="inlineStr">
        <is>
          <t>A 51655-2023</t>
        </is>
      </c>
      <c r="B758" s="1" t="n">
        <v>45215</v>
      </c>
      <c r="C758" s="1" t="n">
        <v>46160</v>
      </c>
      <c r="D758" t="inlineStr">
        <is>
          <t>NORRBOTTENS LÄN</t>
        </is>
      </c>
      <c r="E758" t="inlineStr">
        <is>
          <t>LULEÅ</t>
        </is>
      </c>
      <c r="G758" t="n">
        <v>7.5</v>
      </c>
      <c r="H758" t="n">
        <v>0</v>
      </c>
      <c r="I758" t="n">
        <v>0</v>
      </c>
      <c r="J758" t="n">
        <v>0</v>
      </c>
      <c r="K758" t="n">
        <v>0</v>
      </c>
      <c r="L758" t="n">
        <v>0</v>
      </c>
      <c r="M758" t="n">
        <v>0</v>
      </c>
      <c r="N758" t="n">
        <v>0</v>
      </c>
      <c r="O758" t="n">
        <v>0</v>
      </c>
      <c r="P758" t="n">
        <v>0</v>
      </c>
      <c r="Q758" t="n">
        <v>0</v>
      </c>
      <c r="R758" s="2" t="inlineStr"/>
    </row>
    <row r="759" ht="15" customHeight="1">
      <c r="A759" t="inlineStr">
        <is>
          <t>A 2700-2025</t>
        </is>
      </c>
      <c r="B759" s="1" t="n">
        <v>45677.40685185185</v>
      </c>
      <c r="C759" s="1" t="n">
        <v>46160</v>
      </c>
      <c r="D759" t="inlineStr">
        <is>
          <t>NORRBOTTENS LÄN</t>
        </is>
      </c>
      <c r="E759" t="inlineStr">
        <is>
          <t>LULEÅ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115-2025</t>
        </is>
      </c>
      <c r="B760" s="1" t="n">
        <v>45659.51613425926</v>
      </c>
      <c r="C760" s="1" t="n">
        <v>46160</v>
      </c>
      <c r="D760" t="inlineStr">
        <is>
          <t>NORRBOTTENS LÄN</t>
        </is>
      </c>
      <c r="E760" t="inlineStr">
        <is>
          <t>LULEÅ</t>
        </is>
      </c>
      <c r="G760" t="n">
        <v>4.3</v>
      </c>
      <c r="H760" t="n">
        <v>0</v>
      </c>
      <c r="I760" t="n">
        <v>0</v>
      </c>
      <c r="J760" t="n">
        <v>0</v>
      </c>
      <c r="K760" t="n">
        <v>0</v>
      </c>
      <c r="L760" t="n">
        <v>0</v>
      </c>
      <c r="M760" t="n">
        <v>0</v>
      </c>
      <c r="N760" t="n">
        <v>0</v>
      </c>
      <c r="O760" t="n">
        <v>0</v>
      </c>
      <c r="P760" t="n">
        <v>0</v>
      </c>
      <c r="Q760" t="n">
        <v>0</v>
      </c>
      <c r="R760" s="2" t="inlineStr"/>
    </row>
    <row r="761" ht="15" customHeight="1">
      <c r="A761" t="inlineStr">
        <is>
          <t>A 40974-2024</t>
        </is>
      </c>
      <c r="B761" s="1" t="n">
        <v>45558.6815162037</v>
      </c>
      <c r="C761" s="1" t="n">
        <v>46160</v>
      </c>
      <c r="D761" t="inlineStr">
        <is>
          <t>NORRBOTTENS LÄN</t>
        </is>
      </c>
      <c r="E761" t="inlineStr">
        <is>
          <t>LULEÅ</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6718-2024</t>
        </is>
      </c>
      <c r="B762" s="1" t="n">
        <v>45342</v>
      </c>
      <c r="C762" s="1" t="n">
        <v>46160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11294-2024</t>
        </is>
      </c>
      <c r="B763" s="1" t="n">
        <v>45371</v>
      </c>
      <c r="C763" s="1" t="n">
        <v>46160</v>
      </c>
      <c r="D763" t="inlineStr">
        <is>
          <t>NORRBOTTENS LÄN</t>
        </is>
      </c>
      <c r="E763" t="inlineStr">
        <is>
          <t>LULEÅ</t>
        </is>
      </c>
      <c r="G763" t="n">
        <v>0.4</v>
      </c>
      <c r="H763" t="n">
        <v>0</v>
      </c>
      <c r="I763" t="n">
        <v>0</v>
      </c>
      <c r="J763" t="n">
        <v>0</v>
      </c>
      <c r="K763" t="n">
        <v>0</v>
      </c>
      <c r="L763" t="n">
        <v>0</v>
      </c>
      <c r="M763" t="n">
        <v>0</v>
      </c>
      <c r="N763" t="n">
        <v>0</v>
      </c>
      <c r="O763" t="n">
        <v>0</v>
      </c>
      <c r="P763" t="n">
        <v>0</v>
      </c>
      <c r="Q763" t="n">
        <v>0</v>
      </c>
      <c r="R763" s="2" t="inlineStr"/>
    </row>
    <row r="764" ht="15" customHeight="1">
      <c r="A764" t="inlineStr">
        <is>
          <t>A 4768-2024</t>
        </is>
      </c>
      <c r="B764" s="1" t="n">
        <v>45328</v>
      </c>
      <c r="C764" s="1" t="n">
        <v>46160</v>
      </c>
      <c r="D764" t="inlineStr">
        <is>
          <t>NORRBOTTENS LÄN</t>
        </is>
      </c>
      <c r="E764" t="inlineStr">
        <is>
          <t>LULEÅ</t>
        </is>
      </c>
      <c r="G764" t="n">
        <v>4</v>
      </c>
      <c r="H764" t="n">
        <v>0</v>
      </c>
      <c r="I764" t="n">
        <v>0</v>
      </c>
      <c r="J764" t="n">
        <v>0</v>
      </c>
      <c r="K764" t="n">
        <v>0</v>
      </c>
      <c r="L764" t="n">
        <v>0</v>
      </c>
      <c r="M764" t="n">
        <v>0</v>
      </c>
      <c r="N764" t="n">
        <v>0</v>
      </c>
      <c r="O764" t="n">
        <v>0</v>
      </c>
      <c r="P764" t="n">
        <v>0</v>
      </c>
      <c r="Q764" t="n">
        <v>0</v>
      </c>
      <c r="R764" s="2" t="inlineStr"/>
    </row>
    <row r="765" ht="15" customHeight="1">
      <c r="A765" t="inlineStr">
        <is>
          <t>A 25340-2024</t>
        </is>
      </c>
      <c r="B765" s="1" t="n">
        <v>45462</v>
      </c>
      <c r="C765" s="1" t="n">
        <v>46160</v>
      </c>
      <c r="D765" t="inlineStr">
        <is>
          <t>NORRBOTTENS LÄN</t>
        </is>
      </c>
      <c r="E765" t="inlineStr">
        <is>
          <t>LULEÅ</t>
        </is>
      </c>
      <c r="G765" t="n">
        <v>3.6</v>
      </c>
      <c r="H765" t="n">
        <v>0</v>
      </c>
      <c r="I765" t="n">
        <v>0</v>
      </c>
      <c r="J765" t="n">
        <v>0</v>
      </c>
      <c r="K765" t="n">
        <v>0</v>
      </c>
      <c r="L765" t="n">
        <v>0</v>
      </c>
      <c r="M765" t="n">
        <v>0</v>
      </c>
      <c r="N765" t="n">
        <v>0</v>
      </c>
      <c r="O765" t="n">
        <v>0</v>
      </c>
      <c r="P765" t="n">
        <v>0</v>
      </c>
      <c r="Q765" t="n">
        <v>0</v>
      </c>
      <c r="R765" s="2" t="inlineStr"/>
    </row>
    <row r="766" ht="15" customHeight="1">
      <c r="A766" t="inlineStr">
        <is>
          <t>A 29237-2024</t>
        </is>
      </c>
      <c r="B766" s="1" t="n">
        <v>45482.92732638889</v>
      </c>
      <c r="C766" s="1" t="n">
        <v>46160</v>
      </c>
      <c r="D766" t="inlineStr">
        <is>
          <t>NORRBOTTENS LÄN</t>
        </is>
      </c>
      <c r="E766" t="inlineStr">
        <is>
          <t>LULEÅ</t>
        </is>
      </c>
      <c r="G766" t="n">
        <v>10.3</v>
      </c>
      <c r="H766" t="n">
        <v>0</v>
      </c>
      <c r="I766" t="n">
        <v>0</v>
      </c>
      <c r="J766" t="n">
        <v>0</v>
      </c>
      <c r="K766" t="n">
        <v>0</v>
      </c>
      <c r="L766" t="n">
        <v>0</v>
      </c>
      <c r="M766" t="n">
        <v>0</v>
      </c>
      <c r="N766" t="n">
        <v>0</v>
      </c>
      <c r="O766" t="n">
        <v>0</v>
      </c>
      <c r="P766" t="n">
        <v>0</v>
      </c>
      <c r="Q766" t="n">
        <v>0</v>
      </c>
      <c r="R766" s="2" t="inlineStr"/>
    </row>
    <row r="767" ht="15" customHeight="1">
      <c r="A767" t="inlineStr">
        <is>
          <t>A 53185-2022</t>
        </is>
      </c>
      <c r="B767" s="1" t="n">
        <v>44876.57346064815</v>
      </c>
      <c r="C767" s="1" t="n">
        <v>46160</v>
      </c>
      <c r="D767" t="inlineStr">
        <is>
          <t>NORRBOTTENS LÄN</t>
        </is>
      </c>
      <c r="E767" t="inlineStr">
        <is>
          <t>LULEÅ</t>
        </is>
      </c>
      <c r="G767" t="n">
        <v>2.6</v>
      </c>
      <c r="H767" t="n">
        <v>0</v>
      </c>
      <c r="I767" t="n">
        <v>0</v>
      </c>
      <c r="J767" t="n">
        <v>0</v>
      </c>
      <c r="K767" t="n">
        <v>0</v>
      </c>
      <c r="L767" t="n">
        <v>0</v>
      </c>
      <c r="M767" t="n">
        <v>0</v>
      </c>
      <c r="N767" t="n">
        <v>0</v>
      </c>
      <c r="O767" t="n">
        <v>0</v>
      </c>
      <c r="P767" t="n">
        <v>0</v>
      </c>
      <c r="Q767" t="n">
        <v>0</v>
      </c>
      <c r="R767" s="2" t="inlineStr"/>
    </row>
    <row r="768" ht="15" customHeight="1">
      <c r="A768" t="inlineStr">
        <is>
          <t>A 58547-2024</t>
        </is>
      </c>
      <c r="B768" s="1" t="n">
        <v>45635.45822916667</v>
      </c>
      <c r="C768" s="1" t="n">
        <v>46160</v>
      </c>
      <c r="D768" t="inlineStr">
        <is>
          <t>NORRBOTTENS LÄN</t>
        </is>
      </c>
      <c r="E768" t="inlineStr">
        <is>
          <t>LULEÅ</t>
        </is>
      </c>
      <c r="G768" t="n">
        <v>8</v>
      </c>
      <c r="H768" t="n">
        <v>0</v>
      </c>
      <c r="I768" t="n">
        <v>0</v>
      </c>
      <c r="J768" t="n">
        <v>0</v>
      </c>
      <c r="K768" t="n">
        <v>0</v>
      </c>
      <c r="L768" t="n">
        <v>0</v>
      </c>
      <c r="M768" t="n">
        <v>0</v>
      </c>
      <c r="N768" t="n">
        <v>0</v>
      </c>
      <c r="O768" t="n">
        <v>0</v>
      </c>
      <c r="P768" t="n">
        <v>0</v>
      </c>
      <c r="Q768" t="n">
        <v>0</v>
      </c>
      <c r="R768" s="2" t="inlineStr"/>
    </row>
    <row r="769" ht="15" customHeight="1">
      <c r="A769" t="inlineStr">
        <is>
          <t>A 804-2025</t>
        </is>
      </c>
      <c r="B769" s="1" t="n">
        <v>45664</v>
      </c>
      <c r="C769" s="1" t="n">
        <v>46160</v>
      </c>
      <c r="D769" t="inlineStr">
        <is>
          <t>NORRBOTTENS LÄN</t>
        </is>
      </c>
      <c r="E769" t="inlineStr">
        <is>
          <t>LULEÅ</t>
        </is>
      </c>
      <c r="G769" t="n">
        <v>2.1</v>
      </c>
      <c r="H769" t="n">
        <v>0</v>
      </c>
      <c r="I769" t="n">
        <v>0</v>
      </c>
      <c r="J769" t="n">
        <v>0</v>
      </c>
      <c r="K769" t="n">
        <v>0</v>
      </c>
      <c r="L769" t="n">
        <v>0</v>
      </c>
      <c r="M769" t="n">
        <v>0</v>
      </c>
      <c r="N769" t="n">
        <v>0</v>
      </c>
      <c r="O769" t="n">
        <v>0</v>
      </c>
      <c r="P769" t="n">
        <v>0</v>
      </c>
      <c r="Q769" t="n">
        <v>0</v>
      </c>
      <c r="R769" s="2" t="inlineStr"/>
    </row>
    <row r="770" ht="15" customHeight="1">
      <c r="A770" t="inlineStr">
        <is>
          <t>A 814-2025</t>
        </is>
      </c>
      <c r="B770" s="1" t="n">
        <v>45664</v>
      </c>
      <c r="C770" s="1" t="n">
        <v>46160</v>
      </c>
      <c r="D770" t="inlineStr">
        <is>
          <t>NORRBOTTENS LÄN</t>
        </is>
      </c>
      <c r="E770" t="inlineStr">
        <is>
          <t>LULEÅ</t>
        </is>
      </c>
      <c r="G770" t="n">
        <v>3.4</v>
      </c>
      <c r="H770" t="n">
        <v>0</v>
      </c>
      <c r="I770" t="n">
        <v>0</v>
      </c>
      <c r="J770" t="n">
        <v>0</v>
      </c>
      <c r="K770" t="n">
        <v>0</v>
      </c>
      <c r="L770" t="n">
        <v>0</v>
      </c>
      <c r="M770" t="n">
        <v>0</v>
      </c>
      <c r="N770" t="n">
        <v>0</v>
      </c>
      <c r="O770" t="n">
        <v>0</v>
      </c>
      <c r="P770" t="n">
        <v>0</v>
      </c>
      <c r="Q770" t="n">
        <v>0</v>
      </c>
      <c r="R770" s="2" t="inlineStr"/>
    </row>
    <row r="771" ht="15" customHeight="1">
      <c r="A771" t="inlineStr">
        <is>
          <t>A 2208-2024</t>
        </is>
      </c>
      <c r="B771" s="1" t="n">
        <v>45309</v>
      </c>
      <c r="C771" s="1" t="n">
        <v>46160</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46160</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6986-2025</t>
        </is>
      </c>
      <c r="B773" s="1" t="n">
        <v>45701</v>
      </c>
      <c r="C773" s="1" t="n">
        <v>46160</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695-2025</t>
        </is>
      </c>
      <c r="B774" s="1" t="n">
        <v>45663</v>
      </c>
      <c r="C774" s="1" t="n">
        <v>46160</v>
      </c>
      <c r="D774" t="inlineStr">
        <is>
          <t>NORRBOTTENS LÄN</t>
        </is>
      </c>
      <c r="E774" t="inlineStr">
        <is>
          <t>LULEÅ</t>
        </is>
      </c>
      <c r="G774" t="n">
        <v>2.8</v>
      </c>
      <c r="H774" t="n">
        <v>0</v>
      </c>
      <c r="I774" t="n">
        <v>0</v>
      </c>
      <c r="J774" t="n">
        <v>0</v>
      </c>
      <c r="K774" t="n">
        <v>0</v>
      </c>
      <c r="L774" t="n">
        <v>0</v>
      </c>
      <c r="M774" t="n">
        <v>0</v>
      </c>
      <c r="N774" t="n">
        <v>0</v>
      </c>
      <c r="O774" t="n">
        <v>0</v>
      </c>
      <c r="P774" t="n">
        <v>0</v>
      </c>
      <c r="Q774" t="n">
        <v>0</v>
      </c>
      <c r="R774" s="2" t="inlineStr"/>
    </row>
    <row r="775" ht="15" customHeight="1">
      <c r="A775" t="inlineStr">
        <is>
          <t>A 61866-2023</t>
        </is>
      </c>
      <c r="B775" s="1" t="n">
        <v>45264</v>
      </c>
      <c r="C775" s="1" t="n">
        <v>46160</v>
      </c>
      <c r="D775" t="inlineStr">
        <is>
          <t>NORRBOTTENS LÄN</t>
        </is>
      </c>
      <c r="E775" t="inlineStr">
        <is>
          <t>LULEÅ</t>
        </is>
      </c>
      <c r="G775" t="n">
        <v>0.8</v>
      </c>
      <c r="H775" t="n">
        <v>0</v>
      </c>
      <c r="I775" t="n">
        <v>0</v>
      </c>
      <c r="J775" t="n">
        <v>0</v>
      </c>
      <c r="K775" t="n">
        <v>0</v>
      </c>
      <c r="L775" t="n">
        <v>0</v>
      </c>
      <c r="M775" t="n">
        <v>0</v>
      </c>
      <c r="N775" t="n">
        <v>0</v>
      </c>
      <c r="O775" t="n">
        <v>0</v>
      </c>
      <c r="P775" t="n">
        <v>0</v>
      </c>
      <c r="Q775" t="n">
        <v>0</v>
      </c>
      <c r="R775" s="2" t="inlineStr"/>
    </row>
    <row r="776" ht="15" customHeight="1">
      <c r="A776" t="inlineStr">
        <is>
          <t>A 8928-2025</t>
        </is>
      </c>
      <c r="B776" s="1" t="n">
        <v>45712</v>
      </c>
      <c r="C776" s="1" t="n">
        <v>46160</v>
      </c>
      <c r="D776" t="inlineStr">
        <is>
          <t>NORRBOTTENS LÄN</t>
        </is>
      </c>
      <c r="E776" t="inlineStr">
        <is>
          <t>LULEÅ</t>
        </is>
      </c>
      <c r="G776" t="n">
        <v>3.3</v>
      </c>
      <c r="H776" t="n">
        <v>0</v>
      </c>
      <c r="I776" t="n">
        <v>0</v>
      </c>
      <c r="J776" t="n">
        <v>0</v>
      </c>
      <c r="K776" t="n">
        <v>0</v>
      </c>
      <c r="L776" t="n">
        <v>0</v>
      </c>
      <c r="M776" t="n">
        <v>0</v>
      </c>
      <c r="N776" t="n">
        <v>0</v>
      </c>
      <c r="O776" t="n">
        <v>0</v>
      </c>
      <c r="P776" t="n">
        <v>0</v>
      </c>
      <c r="Q776" t="n">
        <v>0</v>
      </c>
      <c r="R776" s="2" t="inlineStr"/>
    </row>
    <row r="777" ht="15" customHeight="1">
      <c r="A777" t="inlineStr">
        <is>
          <t>A 1572-2025</t>
        </is>
      </c>
      <c r="B777" s="1" t="n">
        <v>45670.55724537037</v>
      </c>
      <c r="C777" s="1" t="n">
        <v>46160</v>
      </c>
      <c r="D777" t="inlineStr">
        <is>
          <t>NORRBOTTENS LÄN</t>
        </is>
      </c>
      <c r="E777" t="inlineStr">
        <is>
          <t>LULEÅ</t>
        </is>
      </c>
      <c r="G777" t="n">
        <v>5.2</v>
      </c>
      <c r="H777" t="n">
        <v>0</v>
      </c>
      <c r="I777" t="n">
        <v>0</v>
      </c>
      <c r="J777" t="n">
        <v>0</v>
      </c>
      <c r="K777" t="n">
        <v>0</v>
      </c>
      <c r="L777" t="n">
        <v>0</v>
      </c>
      <c r="M777" t="n">
        <v>0</v>
      </c>
      <c r="N777" t="n">
        <v>0</v>
      </c>
      <c r="O777" t="n">
        <v>0</v>
      </c>
      <c r="P777" t="n">
        <v>0</v>
      </c>
      <c r="Q777" t="n">
        <v>0</v>
      </c>
      <c r="R777" s="2" t="inlineStr"/>
    </row>
    <row r="778" ht="15" customHeight="1">
      <c r="A778" t="inlineStr">
        <is>
          <t>A 39816-2024</t>
        </is>
      </c>
      <c r="B778" s="1" t="n">
        <v>45553.3859837963</v>
      </c>
      <c r="C778" s="1" t="n">
        <v>46160</v>
      </c>
      <c r="D778" t="inlineStr">
        <is>
          <t>NORRBOTTENS LÄN</t>
        </is>
      </c>
      <c r="E778" t="inlineStr">
        <is>
          <t>LULEÅ</t>
        </is>
      </c>
      <c r="F778" t="inlineStr">
        <is>
          <t>Naturvårdsverket</t>
        </is>
      </c>
      <c r="G778" t="n">
        <v>11.1</v>
      </c>
      <c r="H778" t="n">
        <v>0</v>
      </c>
      <c r="I778" t="n">
        <v>0</v>
      </c>
      <c r="J778" t="n">
        <v>0</v>
      </c>
      <c r="K778" t="n">
        <v>0</v>
      </c>
      <c r="L778" t="n">
        <v>0</v>
      </c>
      <c r="M778" t="n">
        <v>0</v>
      </c>
      <c r="N778" t="n">
        <v>0</v>
      </c>
      <c r="O778" t="n">
        <v>0</v>
      </c>
      <c r="P778" t="n">
        <v>0</v>
      </c>
      <c r="Q778" t="n">
        <v>0</v>
      </c>
      <c r="R778" s="2" t="inlineStr"/>
    </row>
    <row r="779" ht="15" customHeight="1">
      <c r="A779" t="inlineStr">
        <is>
          <t>A 10377-2025</t>
        </is>
      </c>
      <c r="B779" s="1" t="n">
        <v>45720.5630787037</v>
      </c>
      <c r="C779" s="1" t="n">
        <v>46160</v>
      </c>
      <c r="D779" t="inlineStr">
        <is>
          <t>NORRBOTTENS LÄN</t>
        </is>
      </c>
      <c r="E779" t="inlineStr">
        <is>
          <t>LULEÅ</t>
        </is>
      </c>
      <c r="G779" t="n">
        <v>3</v>
      </c>
      <c r="H779" t="n">
        <v>0</v>
      </c>
      <c r="I779" t="n">
        <v>0</v>
      </c>
      <c r="J779" t="n">
        <v>0</v>
      </c>
      <c r="K779" t="n">
        <v>0</v>
      </c>
      <c r="L779" t="n">
        <v>0</v>
      </c>
      <c r="M779" t="n">
        <v>0</v>
      </c>
      <c r="N779" t="n">
        <v>0</v>
      </c>
      <c r="O779" t="n">
        <v>0</v>
      </c>
      <c r="P779" t="n">
        <v>0</v>
      </c>
      <c r="Q779" t="n">
        <v>0</v>
      </c>
      <c r="R779" s="2" t="inlineStr"/>
    </row>
    <row r="780" ht="15" customHeight="1">
      <c r="A780" t="inlineStr">
        <is>
          <t>A 8767-2025</t>
        </is>
      </c>
      <c r="B780" s="1" t="n">
        <v>45712.58931712963</v>
      </c>
      <c r="C780" s="1" t="n">
        <v>46160</v>
      </c>
      <c r="D780" t="inlineStr">
        <is>
          <t>NORRBOTTENS LÄN</t>
        </is>
      </c>
      <c r="E780" t="inlineStr">
        <is>
          <t>LULEÅ</t>
        </is>
      </c>
      <c r="G780" t="n">
        <v>3.4</v>
      </c>
      <c r="H780" t="n">
        <v>0</v>
      </c>
      <c r="I780" t="n">
        <v>0</v>
      </c>
      <c r="J780" t="n">
        <v>0</v>
      </c>
      <c r="K780" t="n">
        <v>0</v>
      </c>
      <c r="L780" t="n">
        <v>0</v>
      </c>
      <c r="M780" t="n">
        <v>0</v>
      </c>
      <c r="N780" t="n">
        <v>0</v>
      </c>
      <c r="O780" t="n">
        <v>0</v>
      </c>
      <c r="P780" t="n">
        <v>0</v>
      </c>
      <c r="Q780" t="n">
        <v>0</v>
      </c>
      <c r="R780" s="2" t="inlineStr"/>
    </row>
    <row r="781" ht="15" customHeight="1">
      <c r="A781" t="inlineStr">
        <is>
          <t>A 11901-2025</t>
        </is>
      </c>
      <c r="B781" s="1" t="n">
        <v>45727</v>
      </c>
      <c r="C781" s="1" t="n">
        <v>46160</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12552-2024</t>
        </is>
      </c>
      <c r="B782" s="1" t="n">
        <v>45379</v>
      </c>
      <c r="C782" s="1" t="n">
        <v>46160</v>
      </c>
      <c r="D782" t="inlineStr">
        <is>
          <t>NORRBOTTENS LÄN</t>
        </is>
      </c>
      <c r="E782" t="inlineStr">
        <is>
          <t>LULEÅ</t>
        </is>
      </c>
      <c r="G782" t="n">
        <v>0.6</v>
      </c>
      <c r="H782" t="n">
        <v>0</v>
      </c>
      <c r="I782" t="n">
        <v>0</v>
      </c>
      <c r="J782" t="n">
        <v>0</v>
      </c>
      <c r="K782" t="n">
        <v>0</v>
      </c>
      <c r="L782" t="n">
        <v>0</v>
      </c>
      <c r="M782" t="n">
        <v>0</v>
      </c>
      <c r="N782" t="n">
        <v>0</v>
      </c>
      <c r="O782" t="n">
        <v>0</v>
      </c>
      <c r="P782" t="n">
        <v>0</v>
      </c>
      <c r="Q782" t="n">
        <v>0</v>
      </c>
      <c r="R782" s="2" t="inlineStr"/>
    </row>
    <row r="783" ht="15" customHeight="1">
      <c r="A783" t="inlineStr">
        <is>
          <t>A 704-2025</t>
        </is>
      </c>
      <c r="B783" s="1" t="n">
        <v>45663</v>
      </c>
      <c r="C783" s="1" t="n">
        <v>46160</v>
      </c>
      <c r="D783" t="inlineStr">
        <is>
          <t>NORRBOTTENS LÄN</t>
        </is>
      </c>
      <c r="E783" t="inlineStr">
        <is>
          <t>LULEÅ</t>
        </is>
      </c>
      <c r="G783" t="n">
        <v>1.6</v>
      </c>
      <c r="H783" t="n">
        <v>0</v>
      </c>
      <c r="I783" t="n">
        <v>0</v>
      </c>
      <c r="J783" t="n">
        <v>0</v>
      </c>
      <c r="K783" t="n">
        <v>0</v>
      </c>
      <c r="L783" t="n">
        <v>0</v>
      </c>
      <c r="M783" t="n">
        <v>0</v>
      </c>
      <c r="N783" t="n">
        <v>0</v>
      </c>
      <c r="O783" t="n">
        <v>0</v>
      </c>
      <c r="P783" t="n">
        <v>0</v>
      </c>
      <c r="Q783" t="n">
        <v>0</v>
      </c>
      <c r="R783" s="2" t="inlineStr"/>
    </row>
    <row r="784" ht="15" customHeight="1">
      <c r="A784" t="inlineStr">
        <is>
          <t>A 114-2025</t>
        </is>
      </c>
      <c r="B784" s="1" t="n">
        <v>45659.51113425926</v>
      </c>
      <c r="C784" s="1" t="n">
        <v>46160</v>
      </c>
      <c r="D784" t="inlineStr">
        <is>
          <t>NORRBOTTENS LÄN</t>
        </is>
      </c>
      <c r="E784" t="inlineStr">
        <is>
          <t>LULEÅ</t>
        </is>
      </c>
      <c r="G784" t="n">
        <v>3.5</v>
      </c>
      <c r="H784" t="n">
        <v>0</v>
      </c>
      <c r="I784" t="n">
        <v>0</v>
      </c>
      <c r="J784" t="n">
        <v>0</v>
      </c>
      <c r="K784" t="n">
        <v>0</v>
      </c>
      <c r="L784" t="n">
        <v>0</v>
      </c>
      <c r="M784" t="n">
        <v>0</v>
      </c>
      <c r="N784" t="n">
        <v>0</v>
      </c>
      <c r="O784" t="n">
        <v>0</v>
      </c>
      <c r="P784" t="n">
        <v>0</v>
      </c>
      <c r="Q784" t="n">
        <v>0</v>
      </c>
      <c r="R784" s="2" t="inlineStr"/>
    </row>
    <row r="785" ht="15" customHeight="1">
      <c r="A785" t="inlineStr">
        <is>
          <t>A 45857-2024</t>
        </is>
      </c>
      <c r="B785" s="1" t="n">
        <v>45580.34554398148</v>
      </c>
      <c r="C785" s="1" t="n">
        <v>46160</v>
      </c>
      <c r="D785" t="inlineStr">
        <is>
          <t>NORRBOTTENS LÄN</t>
        </is>
      </c>
      <c r="E785" t="inlineStr">
        <is>
          <t>LULEÅ</t>
        </is>
      </c>
      <c r="G785" t="n">
        <v>4.6</v>
      </c>
      <c r="H785" t="n">
        <v>0</v>
      </c>
      <c r="I785" t="n">
        <v>0</v>
      </c>
      <c r="J785" t="n">
        <v>0</v>
      </c>
      <c r="K785" t="n">
        <v>0</v>
      </c>
      <c r="L785" t="n">
        <v>0</v>
      </c>
      <c r="M785" t="n">
        <v>0</v>
      </c>
      <c r="N785" t="n">
        <v>0</v>
      </c>
      <c r="O785" t="n">
        <v>0</v>
      </c>
      <c r="P785" t="n">
        <v>0</v>
      </c>
      <c r="Q785" t="n">
        <v>0</v>
      </c>
      <c r="R785" s="2" t="inlineStr"/>
    </row>
    <row r="786" ht="15" customHeight="1">
      <c r="A786" t="inlineStr">
        <is>
          <t>A 64240-2023</t>
        </is>
      </c>
      <c r="B786" s="1" t="n">
        <v>45279</v>
      </c>
      <c r="C786" s="1" t="n">
        <v>46160</v>
      </c>
      <c r="D786" t="inlineStr">
        <is>
          <t>NORRBOTTENS LÄN</t>
        </is>
      </c>
      <c r="E786" t="inlineStr">
        <is>
          <t>LULEÅ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10885-2023</t>
        </is>
      </c>
      <c r="B787" s="1" t="n">
        <v>44985</v>
      </c>
      <c r="C787" s="1" t="n">
        <v>46160</v>
      </c>
      <c r="D787" t="inlineStr">
        <is>
          <t>NORRBOTTENS LÄN</t>
        </is>
      </c>
      <c r="E787" t="inlineStr">
        <is>
          <t>LULEÅ</t>
        </is>
      </c>
      <c r="G787" t="n">
        <v>3.1</v>
      </c>
      <c r="H787" t="n">
        <v>0</v>
      </c>
      <c r="I787" t="n">
        <v>0</v>
      </c>
      <c r="J787" t="n">
        <v>0</v>
      </c>
      <c r="K787" t="n">
        <v>0</v>
      </c>
      <c r="L787" t="n">
        <v>0</v>
      </c>
      <c r="M787" t="n">
        <v>0</v>
      </c>
      <c r="N787" t="n">
        <v>0</v>
      </c>
      <c r="O787" t="n">
        <v>0</v>
      </c>
      <c r="P787" t="n">
        <v>0</v>
      </c>
      <c r="Q787" t="n">
        <v>0</v>
      </c>
      <c r="R787" s="2" t="inlineStr"/>
    </row>
    <row r="788" ht="15" customHeight="1">
      <c r="A788" t="inlineStr">
        <is>
          <t>A 2748-2022</t>
        </is>
      </c>
      <c r="B788" s="1" t="n">
        <v>44580</v>
      </c>
      <c r="C788" s="1" t="n">
        <v>46160</v>
      </c>
      <c r="D788" t="inlineStr">
        <is>
          <t>NORRBOTTENS LÄN</t>
        </is>
      </c>
      <c r="E788" t="inlineStr">
        <is>
          <t>LULEÅ</t>
        </is>
      </c>
      <c r="G788" t="n">
        <v>4.7</v>
      </c>
      <c r="H788" t="n">
        <v>0</v>
      </c>
      <c r="I788" t="n">
        <v>0</v>
      </c>
      <c r="J788" t="n">
        <v>0</v>
      </c>
      <c r="K788" t="n">
        <v>0</v>
      </c>
      <c r="L788" t="n">
        <v>0</v>
      </c>
      <c r="M788" t="n">
        <v>0</v>
      </c>
      <c r="N788" t="n">
        <v>0</v>
      </c>
      <c r="O788" t="n">
        <v>0</v>
      </c>
      <c r="P788" t="n">
        <v>0</v>
      </c>
      <c r="Q788" t="n">
        <v>0</v>
      </c>
      <c r="R788" s="2" t="inlineStr"/>
    </row>
    <row r="789" ht="15" customHeight="1">
      <c r="A789" t="inlineStr">
        <is>
          <t>A 700-2025</t>
        </is>
      </c>
      <c r="B789" s="1" t="n">
        <v>45663</v>
      </c>
      <c r="C789" s="1" t="n">
        <v>46160</v>
      </c>
      <c r="D789" t="inlineStr">
        <is>
          <t>NORRBOTTENS LÄN</t>
        </is>
      </c>
      <c r="E789" t="inlineStr">
        <is>
          <t>LULEÅ</t>
        </is>
      </c>
      <c r="G789" t="n">
        <v>0.8</v>
      </c>
      <c r="H789" t="n">
        <v>0</v>
      </c>
      <c r="I789" t="n">
        <v>0</v>
      </c>
      <c r="J789" t="n">
        <v>0</v>
      </c>
      <c r="K789" t="n">
        <v>0</v>
      </c>
      <c r="L789" t="n">
        <v>0</v>
      </c>
      <c r="M789" t="n">
        <v>0</v>
      </c>
      <c r="N789" t="n">
        <v>0</v>
      </c>
      <c r="O789" t="n">
        <v>0</v>
      </c>
      <c r="P789" t="n">
        <v>0</v>
      </c>
      <c r="Q789" t="n">
        <v>0</v>
      </c>
      <c r="R789" s="2" t="inlineStr"/>
    </row>
    <row r="790" ht="15" customHeight="1">
      <c r="A790" t="inlineStr">
        <is>
          <t>A 2659-2025</t>
        </is>
      </c>
      <c r="B790" s="1" t="n">
        <v>45676.8134375</v>
      </c>
      <c r="C790" s="1" t="n">
        <v>46160</v>
      </c>
      <c r="D790" t="inlineStr">
        <is>
          <t>NORRBOTTENS LÄN</t>
        </is>
      </c>
      <c r="E790" t="inlineStr">
        <is>
          <t>LULEÅ</t>
        </is>
      </c>
      <c r="G790" t="n">
        <v>1.2</v>
      </c>
      <c r="H790" t="n">
        <v>0</v>
      </c>
      <c r="I790" t="n">
        <v>0</v>
      </c>
      <c r="J790" t="n">
        <v>0</v>
      </c>
      <c r="K790" t="n">
        <v>0</v>
      </c>
      <c r="L790" t="n">
        <v>0</v>
      </c>
      <c r="M790" t="n">
        <v>0</v>
      </c>
      <c r="N790" t="n">
        <v>0</v>
      </c>
      <c r="O790" t="n">
        <v>0</v>
      </c>
      <c r="P790" t="n">
        <v>0</v>
      </c>
      <c r="Q790" t="n">
        <v>0</v>
      </c>
      <c r="R790" s="2" t="inlineStr"/>
    </row>
    <row r="791" ht="15" customHeight="1">
      <c r="A791" t="inlineStr">
        <is>
          <t>A 454-2024</t>
        </is>
      </c>
      <c r="B791" s="1" t="n">
        <v>45296</v>
      </c>
      <c r="C791" s="1" t="n">
        <v>46160</v>
      </c>
      <c r="D791" t="inlineStr">
        <is>
          <t>NORRBOTTENS LÄN</t>
        </is>
      </c>
      <c r="E791" t="inlineStr">
        <is>
          <t>LULEÅ</t>
        </is>
      </c>
      <c r="G791" t="n">
        <v>0.7</v>
      </c>
      <c r="H791" t="n">
        <v>0</v>
      </c>
      <c r="I791" t="n">
        <v>0</v>
      </c>
      <c r="J791" t="n">
        <v>0</v>
      </c>
      <c r="K791" t="n">
        <v>0</v>
      </c>
      <c r="L791" t="n">
        <v>0</v>
      </c>
      <c r="M791" t="n">
        <v>0</v>
      </c>
      <c r="N791" t="n">
        <v>0</v>
      </c>
      <c r="O791" t="n">
        <v>0</v>
      </c>
      <c r="P791" t="n">
        <v>0</v>
      </c>
      <c r="Q791" t="n">
        <v>0</v>
      </c>
      <c r="R791" s="2" t="inlineStr"/>
    </row>
    <row r="792" ht="15" customHeight="1">
      <c r="A792" t="inlineStr">
        <is>
          <t>A 3128-2023</t>
        </is>
      </c>
      <c r="B792" s="1" t="n">
        <v>44946</v>
      </c>
      <c r="C792" s="1" t="n">
        <v>46160</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57823-2022</t>
        </is>
      </c>
      <c r="B793" s="1" t="n">
        <v>44897</v>
      </c>
      <c r="C793" s="1" t="n">
        <v>46160</v>
      </c>
      <c r="D793" t="inlineStr">
        <is>
          <t>NORRBOTTENS LÄN</t>
        </is>
      </c>
      <c r="E793" t="inlineStr">
        <is>
          <t>LULEÅ</t>
        </is>
      </c>
      <c r="G793" t="n">
        <v>6.7</v>
      </c>
      <c r="H793" t="n">
        <v>0</v>
      </c>
      <c r="I793" t="n">
        <v>0</v>
      </c>
      <c r="J793" t="n">
        <v>0</v>
      </c>
      <c r="K793" t="n">
        <v>0</v>
      </c>
      <c r="L793" t="n">
        <v>0</v>
      </c>
      <c r="M793" t="n">
        <v>0</v>
      </c>
      <c r="N793" t="n">
        <v>0</v>
      </c>
      <c r="O793" t="n">
        <v>0</v>
      </c>
      <c r="P793" t="n">
        <v>0</v>
      </c>
      <c r="Q793" t="n">
        <v>0</v>
      </c>
      <c r="R793" s="2" t="inlineStr"/>
    </row>
    <row r="794" ht="15" customHeight="1">
      <c r="A794" t="inlineStr">
        <is>
          <t>A 57825-2022</t>
        </is>
      </c>
      <c r="B794" s="1" t="n">
        <v>44897</v>
      </c>
      <c r="C794" s="1" t="n">
        <v>46160</v>
      </c>
      <c r="D794" t="inlineStr">
        <is>
          <t>NORRBOTTENS LÄN</t>
        </is>
      </c>
      <c r="E794" t="inlineStr">
        <is>
          <t>LULEÅ</t>
        </is>
      </c>
      <c r="G794" t="n">
        <v>2.2</v>
      </c>
      <c r="H794" t="n">
        <v>0</v>
      </c>
      <c r="I794" t="n">
        <v>0</v>
      </c>
      <c r="J794" t="n">
        <v>0</v>
      </c>
      <c r="K794" t="n">
        <v>0</v>
      </c>
      <c r="L794" t="n">
        <v>0</v>
      </c>
      <c r="M794" t="n">
        <v>0</v>
      </c>
      <c r="N794" t="n">
        <v>0</v>
      </c>
      <c r="O794" t="n">
        <v>0</v>
      </c>
      <c r="P794" t="n">
        <v>0</v>
      </c>
      <c r="Q794" t="n">
        <v>0</v>
      </c>
      <c r="R794" s="2" t="inlineStr"/>
    </row>
    <row r="795" ht="15" customHeight="1">
      <c r="A795" t="inlineStr">
        <is>
          <t>A 50640-2024</t>
        </is>
      </c>
      <c r="B795" s="1" t="n">
        <v>45601.67827546296</v>
      </c>
      <c r="C795" s="1" t="n">
        <v>46160</v>
      </c>
      <c r="D795" t="inlineStr">
        <is>
          <t>NORRBOTTENS LÄN</t>
        </is>
      </c>
      <c r="E795" t="inlineStr">
        <is>
          <t>LULEÅ</t>
        </is>
      </c>
      <c r="G795" t="n">
        <v>3</v>
      </c>
      <c r="H795" t="n">
        <v>0</v>
      </c>
      <c r="I795" t="n">
        <v>0</v>
      </c>
      <c r="J795" t="n">
        <v>0</v>
      </c>
      <c r="K795" t="n">
        <v>0</v>
      </c>
      <c r="L795" t="n">
        <v>0</v>
      </c>
      <c r="M795" t="n">
        <v>0</v>
      </c>
      <c r="N795" t="n">
        <v>0</v>
      </c>
      <c r="O795" t="n">
        <v>0</v>
      </c>
      <c r="P795" t="n">
        <v>0</v>
      </c>
      <c r="Q795" t="n">
        <v>0</v>
      </c>
      <c r="R795" s="2" t="inlineStr"/>
    </row>
    <row r="796" ht="15" customHeight="1">
      <c r="A796" t="inlineStr">
        <is>
          <t>A 17304-2025</t>
        </is>
      </c>
      <c r="B796" s="1" t="n">
        <v>45756</v>
      </c>
      <c r="C796" s="1" t="n">
        <v>46160</v>
      </c>
      <c r="D796" t="inlineStr">
        <is>
          <t>NORRBOTTENS LÄN</t>
        </is>
      </c>
      <c r="E796" t="inlineStr">
        <is>
          <t>LULEÅ</t>
        </is>
      </c>
      <c r="G796" t="n">
        <v>2.8</v>
      </c>
      <c r="H796" t="n">
        <v>0</v>
      </c>
      <c r="I796" t="n">
        <v>0</v>
      </c>
      <c r="J796" t="n">
        <v>0</v>
      </c>
      <c r="K796" t="n">
        <v>0</v>
      </c>
      <c r="L796" t="n">
        <v>0</v>
      </c>
      <c r="M796" t="n">
        <v>0</v>
      </c>
      <c r="N796" t="n">
        <v>0</v>
      </c>
      <c r="O796" t="n">
        <v>0</v>
      </c>
      <c r="P796" t="n">
        <v>0</v>
      </c>
      <c r="Q796" t="n">
        <v>0</v>
      </c>
      <c r="R796" s="2" t="inlineStr"/>
    </row>
    <row r="797" ht="15" customHeight="1">
      <c r="A797" t="inlineStr">
        <is>
          <t>A 17306-2025</t>
        </is>
      </c>
      <c r="B797" s="1" t="n">
        <v>45756.60434027778</v>
      </c>
      <c r="C797" s="1" t="n">
        <v>46160</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59609-2024</t>
        </is>
      </c>
      <c r="B798" s="1" t="n">
        <v>45638.75081018519</v>
      </c>
      <c r="C798" s="1" t="n">
        <v>46160</v>
      </c>
      <c r="D798" t="inlineStr">
        <is>
          <t>NORRBOTTENS LÄN</t>
        </is>
      </c>
      <c r="E798" t="inlineStr">
        <is>
          <t>LULEÅ</t>
        </is>
      </c>
      <c r="G798" t="n">
        <v>1.5</v>
      </c>
      <c r="H798" t="n">
        <v>0</v>
      </c>
      <c r="I798" t="n">
        <v>0</v>
      </c>
      <c r="J798" t="n">
        <v>0</v>
      </c>
      <c r="K798" t="n">
        <v>0</v>
      </c>
      <c r="L798" t="n">
        <v>0</v>
      </c>
      <c r="M798" t="n">
        <v>0</v>
      </c>
      <c r="N798" t="n">
        <v>0</v>
      </c>
      <c r="O798" t="n">
        <v>0</v>
      </c>
      <c r="P798" t="n">
        <v>0</v>
      </c>
      <c r="Q798" t="n">
        <v>0</v>
      </c>
      <c r="R798" s="2" t="inlineStr"/>
    </row>
    <row r="799" ht="15" customHeight="1">
      <c r="A799" t="inlineStr">
        <is>
          <t>A 5058-2025</t>
        </is>
      </c>
      <c r="B799" s="1" t="n">
        <v>45691.46903935185</v>
      </c>
      <c r="C799" s="1" t="n">
        <v>46160</v>
      </c>
      <c r="D799" t="inlineStr">
        <is>
          <t>NORRBOTTENS LÄN</t>
        </is>
      </c>
      <c r="E799" t="inlineStr">
        <is>
          <t>LULEÅ</t>
        </is>
      </c>
      <c r="G799" t="n">
        <v>1.2</v>
      </c>
      <c r="H799" t="n">
        <v>0</v>
      </c>
      <c r="I799" t="n">
        <v>0</v>
      </c>
      <c r="J799" t="n">
        <v>0</v>
      </c>
      <c r="K799" t="n">
        <v>0</v>
      </c>
      <c r="L799" t="n">
        <v>0</v>
      </c>
      <c r="M799" t="n">
        <v>0</v>
      </c>
      <c r="N799" t="n">
        <v>0</v>
      </c>
      <c r="O799" t="n">
        <v>0</v>
      </c>
      <c r="P799" t="n">
        <v>0</v>
      </c>
      <c r="Q799" t="n">
        <v>0</v>
      </c>
      <c r="R799" s="2" t="inlineStr"/>
    </row>
    <row r="800" ht="15" customHeight="1">
      <c r="A800" t="inlineStr">
        <is>
          <t>A 37935-2024</t>
        </is>
      </c>
      <c r="B800" s="1" t="n">
        <v>45544</v>
      </c>
      <c r="C800" s="1" t="n">
        <v>46160</v>
      </c>
      <c r="D800" t="inlineStr">
        <is>
          <t>NORRBOTTENS LÄN</t>
        </is>
      </c>
      <c r="E800" t="inlineStr">
        <is>
          <t>LULEÅ</t>
        </is>
      </c>
      <c r="G800" t="n">
        <v>3.3</v>
      </c>
      <c r="H800" t="n">
        <v>0</v>
      </c>
      <c r="I800" t="n">
        <v>0</v>
      </c>
      <c r="J800" t="n">
        <v>0</v>
      </c>
      <c r="K800" t="n">
        <v>0</v>
      </c>
      <c r="L800" t="n">
        <v>0</v>
      </c>
      <c r="M800" t="n">
        <v>0</v>
      </c>
      <c r="N800" t="n">
        <v>0</v>
      </c>
      <c r="O800" t="n">
        <v>0</v>
      </c>
      <c r="P800" t="n">
        <v>0</v>
      </c>
      <c r="Q800" t="n">
        <v>0</v>
      </c>
      <c r="R800" s="2" t="inlineStr"/>
    </row>
    <row r="801" ht="15" customHeight="1">
      <c r="A801" t="inlineStr">
        <is>
          <t>A 21597-2024</t>
        </is>
      </c>
      <c r="B801" s="1" t="n">
        <v>45441.9291087963</v>
      </c>
      <c r="C801" s="1" t="n">
        <v>46160</v>
      </c>
      <c r="D801" t="inlineStr">
        <is>
          <t>NORRBOTTENS LÄN</t>
        </is>
      </c>
      <c r="E801" t="inlineStr">
        <is>
          <t>LULEÅ</t>
        </is>
      </c>
      <c r="G801" t="n">
        <v>3.7</v>
      </c>
      <c r="H801" t="n">
        <v>0</v>
      </c>
      <c r="I801" t="n">
        <v>0</v>
      </c>
      <c r="J801" t="n">
        <v>0</v>
      </c>
      <c r="K801" t="n">
        <v>0</v>
      </c>
      <c r="L801" t="n">
        <v>0</v>
      </c>
      <c r="M801" t="n">
        <v>0</v>
      </c>
      <c r="N801" t="n">
        <v>0</v>
      </c>
      <c r="O801" t="n">
        <v>0</v>
      </c>
      <c r="P801" t="n">
        <v>0</v>
      </c>
      <c r="Q801" t="n">
        <v>0</v>
      </c>
      <c r="R801" s="2" t="inlineStr"/>
    </row>
    <row r="802" ht="15" customHeight="1">
      <c r="A802" t="inlineStr">
        <is>
          <t>A 806-2025</t>
        </is>
      </c>
      <c r="B802" s="1" t="n">
        <v>45664</v>
      </c>
      <c r="C802" s="1" t="n">
        <v>46160</v>
      </c>
      <c r="D802" t="inlineStr">
        <is>
          <t>NORRBOTTENS LÄN</t>
        </is>
      </c>
      <c r="E802" t="inlineStr">
        <is>
          <t>LULEÅ</t>
        </is>
      </c>
      <c r="G802" t="n">
        <v>0.6</v>
      </c>
      <c r="H802" t="n">
        <v>0</v>
      </c>
      <c r="I802" t="n">
        <v>0</v>
      </c>
      <c r="J802" t="n">
        <v>0</v>
      </c>
      <c r="K802" t="n">
        <v>0</v>
      </c>
      <c r="L802" t="n">
        <v>0</v>
      </c>
      <c r="M802" t="n">
        <v>0</v>
      </c>
      <c r="N802" t="n">
        <v>0</v>
      </c>
      <c r="O802" t="n">
        <v>0</v>
      </c>
      <c r="P802" t="n">
        <v>0</v>
      </c>
      <c r="Q802" t="n">
        <v>0</v>
      </c>
      <c r="R802" s="2" t="inlineStr"/>
    </row>
    <row r="803" ht="15" customHeight="1">
      <c r="A803" t="inlineStr">
        <is>
          <t>A 31039-2024</t>
        </is>
      </c>
      <c r="B803" s="1" t="n">
        <v>45501.91951388889</v>
      </c>
      <c r="C803" s="1" t="n">
        <v>46160</v>
      </c>
      <c r="D803" t="inlineStr">
        <is>
          <t>NORRBOTTENS LÄN</t>
        </is>
      </c>
      <c r="E803" t="inlineStr">
        <is>
          <t>LULEÅ</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4920-2025</t>
        </is>
      </c>
      <c r="B804" s="1" t="n">
        <v>45688.68412037037</v>
      </c>
      <c r="C804" s="1" t="n">
        <v>46160</v>
      </c>
      <c r="D804" t="inlineStr">
        <is>
          <t>NORRBOTTENS LÄN</t>
        </is>
      </c>
      <c r="E804" t="inlineStr">
        <is>
          <t>LULEÅ</t>
        </is>
      </c>
      <c r="G804" t="n">
        <v>6.4</v>
      </c>
      <c r="H804" t="n">
        <v>0</v>
      </c>
      <c r="I804" t="n">
        <v>0</v>
      </c>
      <c r="J804" t="n">
        <v>0</v>
      </c>
      <c r="K804" t="n">
        <v>0</v>
      </c>
      <c r="L804" t="n">
        <v>0</v>
      </c>
      <c r="M804" t="n">
        <v>0</v>
      </c>
      <c r="N804" t="n">
        <v>0</v>
      </c>
      <c r="O804" t="n">
        <v>0</v>
      </c>
      <c r="P804" t="n">
        <v>0</v>
      </c>
      <c r="Q804" t="n">
        <v>0</v>
      </c>
      <c r="R804" s="2" t="inlineStr"/>
    </row>
    <row r="805" ht="15" customHeight="1">
      <c r="A805" t="inlineStr">
        <is>
          <t>A 60584-2024</t>
        </is>
      </c>
      <c r="B805" s="1" t="n">
        <v>45644.34611111111</v>
      </c>
      <c r="C805" s="1" t="n">
        <v>46160</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row r="806" ht="15" customHeight="1">
      <c r="A806" t="inlineStr">
        <is>
          <t>A 52444-2021</t>
        </is>
      </c>
      <c r="B806" s="1" t="n">
        <v>44463</v>
      </c>
      <c r="C806" s="1" t="n">
        <v>46160</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3895-2025</t>
        </is>
      </c>
      <c r="B807" s="1" t="n">
        <v>45683</v>
      </c>
      <c r="C807" s="1" t="n">
        <v>46160</v>
      </c>
      <c r="D807" t="inlineStr">
        <is>
          <t>NORRBOTTENS LÄN</t>
        </is>
      </c>
      <c r="E807" t="inlineStr">
        <is>
          <t>LULEÅ</t>
        </is>
      </c>
      <c r="G807" t="n">
        <v>1.5</v>
      </c>
      <c r="H807" t="n">
        <v>0</v>
      </c>
      <c r="I807" t="n">
        <v>0</v>
      </c>
      <c r="J807" t="n">
        <v>0</v>
      </c>
      <c r="K807" t="n">
        <v>0</v>
      </c>
      <c r="L807" t="n">
        <v>0</v>
      </c>
      <c r="M807" t="n">
        <v>0</v>
      </c>
      <c r="N807" t="n">
        <v>0</v>
      </c>
      <c r="O807" t="n">
        <v>0</v>
      </c>
      <c r="P807" t="n">
        <v>0</v>
      </c>
      <c r="Q807" t="n">
        <v>0</v>
      </c>
      <c r="R807" s="2" t="inlineStr"/>
    </row>
    <row r="808" ht="15" customHeight="1">
      <c r="A808" t="inlineStr">
        <is>
          <t>A 62061-2022</t>
        </is>
      </c>
      <c r="B808" s="1" t="n">
        <v>44914</v>
      </c>
      <c r="C808" s="1" t="n">
        <v>46160</v>
      </c>
      <c r="D808" t="inlineStr">
        <is>
          <t>NORRBOTTENS LÄN</t>
        </is>
      </c>
      <c r="E808" t="inlineStr">
        <is>
          <t>LULEÅ</t>
        </is>
      </c>
      <c r="G808" t="n">
        <v>2.4</v>
      </c>
      <c r="H808" t="n">
        <v>0</v>
      </c>
      <c r="I808" t="n">
        <v>0</v>
      </c>
      <c r="J808" t="n">
        <v>0</v>
      </c>
      <c r="K808" t="n">
        <v>0</v>
      </c>
      <c r="L808" t="n">
        <v>0</v>
      </c>
      <c r="M808" t="n">
        <v>0</v>
      </c>
      <c r="N808" t="n">
        <v>0</v>
      </c>
      <c r="O808" t="n">
        <v>0</v>
      </c>
      <c r="P808" t="n">
        <v>0</v>
      </c>
      <c r="Q808" t="n">
        <v>0</v>
      </c>
      <c r="R808" s="2" t="inlineStr"/>
    </row>
    <row r="809" ht="15" customHeight="1">
      <c r="A809" t="inlineStr">
        <is>
          <t>A 8271-2025</t>
        </is>
      </c>
      <c r="B809" s="1" t="n">
        <v>45708</v>
      </c>
      <c r="C809" s="1" t="n">
        <v>46160</v>
      </c>
      <c r="D809" t="inlineStr">
        <is>
          <t>NORRBOTTENS LÄN</t>
        </is>
      </c>
      <c r="E809" t="inlineStr">
        <is>
          <t>LULEÅ</t>
        </is>
      </c>
      <c r="G809" t="n">
        <v>11.4</v>
      </c>
      <c r="H809" t="n">
        <v>0</v>
      </c>
      <c r="I809" t="n">
        <v>0</v>
      </c>
      <c r="J809" t="n">
        <v>0</v>
      </c>
      <c r="K809" t="n">
        <v>0</v>
      </c>
      <c r="L809" t="n">
        <v>0</v>
      </c>
      <c r="M809" t="n">
        <v>0</v>
      </c>
      <c r="N809" t="n">
        <v>0</v>
      </c>
      <c r="O809" t="n">
        <v>0</v>
      </c>
      <c r="P809" t="n">
        <v>0</v>
      </c>
      <c r="Q809" t="n">
        <v>0</v>
      </c>
      <c r="R809" s="2" t="inlineStr"/>
    </row>
    <row r="810" ht="15" customHeight="1">
      <c r="A810" t="inlineStr">
        <is>
          <t>A 23505-2025</t>
        </is>
      </c>
      <c r="B810" s="1" t="n">
        <v>45792</v>
      </c>
      <c r="C810" s="1" t="n">
        <v>46160</v>
      </c>
      <c r="D810" t="inlineStr">
        <is>
          <t>NORRBOTTENS LÄN</t>
        </is>
      </c>
      <c r="E810" t="inlineStr">
        <is>
          <t>LULEÅ</t>
        </is>
      </c>
      <c r="G810" t="n">
        <v>4.6</v>
      </c>
      <c r="H810" t="n">
        <v>0</v>
      </c>
      <c r="I810" t="n">
        <v>0</v>
      </c>
      <c r="J810" t="n">
        <v>0</v>
      </c>
      <c r="K810" t="n">
        <v>0</v>
      </c>
      <c r="L810" t="n">
        <v>0</v>
      </c>
      <c r="M810" t="n">
        <v>0</v>
      </c>
      <c r="N810" t="n">
        <v>0</v>
      </c>
      <c r="O810" t="n">
        <v>0</v>
      </c>
      <c r="P810" t="n">
        <v>0</v>
      </c>
      <c r="Q810" t="n">
        <v>0</v>
      </c>
      <c r="R810" s="2" t="inlineStr"/>
    </row>
    <row r="811" ht="15" customHeight="1">
      <c r="A811" t="inlineStr">
        <is>
          <t>A 23520-2025</t>
        </is>
      </c>
      <c r="B811" s="1" t="n">
        <v>45792.51074074074</v>
      </c>
      <c r="C811" s="1" t="n">
        <v>46160</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23524-2025</t>
        </is>
      </c>
      <c r="B812" s="1" t="n">
        <v>45792</v>
      </c>
      <c r="C812" s="1" t="n">
        <v>46160</v>
      </c>
      <c r="D812" t="inlineStr">
        <is>
          <t>NORRBOTTENS LÄN</t>
        </is>
      </c>
      <c r="E812" t="inlineStr">
        <is>
          <t>LULEÅ</t>
        </is>
      </c>
      <c r="G812" t="n">
        <v>6.5</v>
      </c>
      <c r="H812" t="n">
        <v>0</v>
      </c>
      <c r="I812" t="n">
        <v>0</v>
      </c>
      <c r="J812" t="n">
        <v>0</v>
      </c>
      <c r="K812" t="n">
        <v>0</v>
      </c>
      <c r="L812" t="n">
        <v>0</v>
      </c>
      <c r="M812" t="n">
        <v>0</v>
      </c>
      <c r="N812" t="n">
        <v>0</v>
      </c>
      <c r="O812" t="n">
        <v>0</v>
      </c>
      <c r="P812" t="n">
        <v>0</v>
      </c>
      <c r="Q812" t="n">
        <v>0</v>
      </c>
      <c r="R812" s="2" t="inlineStr"/>
    </row>
    <row r="813">
      <c r="A813" t="inlineStr">
        <is>
          <t>A 52697-2023</t>
        </is>
      </c>
      <c r="B813" s="1" t="n">
        <v>45219</v>
      </c>
      <c r="C813" s="1" t="n">
        <v>46160</v>
      </c>
      <c r="D813" t="inlineStr">
        <is>
          <t>NORRBOTTENS LÄN</t>
        </is>
      </c>
      <c r="E813" t="inlineStr">
        <is>
          <t>LULEÅ</t>
        </is>
      </c>
      <c r="G813" t="n">
        <v>9.699999999999999</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2026-05-18T10:58:41Z</dcterms:created>
  <dcterms:modified xmlns:dcterms="http://purl.org/dc/terms/" xmlns:xsi="http://www.w3.org/2001/XMLSchema-instance" xsi:type="dcterms:W3CDTF">2026-05-18T10:58:41Z</dcterms:modified>
</cp:coreProperties>
</file>