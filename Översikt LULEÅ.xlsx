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45887</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45887</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45887</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45887</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45887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45887</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882-2025</t>
        </is>
      </c>
      <c r="B12" s="1" t="n">
        <v>45664</v>
      </c>
      <c r="C12" s="1" t="n">
        <v>45887</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881-2025</t>
        </is>
      </c>
      <c r="B13" s="1" t="n">
        <v>45664</v>
      </c>
      <c r="C13" s="1" t="n">
        <v>45887</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16752-2022</t>
        </is>
      </c>
      <c r="B14" s="1" t="n">
        <v>44673</v>
      </c>
      <c r="C14" s="1" t="n">
        <v>45887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45887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45887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45887</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45887</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52399-2023</t>
        </is>
      </c>
      <c r="B19" s="1" t="n">
        <v>45224</v>
      </c>
      <c r="C19" s="1" t="n">
        <v>45887</v>
      </c>
      <c r="D19" t="inlineStr">
        <is>
          <t>NORRBOTTENS LÄN</t>
        </is>
      </c>
      <c r="E19" t="inlineStr">
        <is>
          <t>LULEÅ</t>
        </is>
      </c>
      <c r="F19" t="inlineStr">
        <is>
          <t>SCA</t>
        </is>
      </c>
      <c r="G19" t="n">
        <v>3</v>
      </c>
      <c r="H19" t="n">
        <v>0</v>
      </c>
      <c r="I19" t="n">
        <v>1</v>
      </c>
      <c r="J19" t="n">
        <v>1</v>
      </c>
      <c r="K19" t="n">
        <v>0</v>
      </c>
      <c r="L19" t="n">
        <v>0</v>
      </c>
      <c r="M19" t="n">
        <v>0</v>
      </c>
      <c r="N19" t="n">
        <v>0</v>
      </c>
      <c r="O19" t="n">
        <v>1</v>
      </c>
      <c r="P19" t="n">
        <v>0</v>
      </c>
      <c r="Q19" t="n">
        <v>2</v>
      </c>
      <c r="R19" s="2" t="inlineStr">
        <is>
          <t>Garnlav
Skinnlav</t>
        </is>
      </c>
      <c r="S19">
        <f>HYPERLINK("https://klasma.github.io/Logging_2580/artfynd/A 52399-2023 artfynd.xlsx", "A 52399-2023")</f>
        <v/>
      </c>
      <c r="T19">
        <f>HYPERLINK("https://klasma.github.io/Logging_2580/kartor/A 52399-2023 karta.png", "A 52399-2023")</f>
        <v/>
      </c>
      <c r="V19">
        <f>HYPERLINK("https://klasma.github.io/Logging_2580/klagomål/A 52399-2023 FSC-klagomål.docx", "A 52399-2023")</f>
        <v/>
      </c>
      <c r="W19">
        <f>HYPERLINK("https://klasma.github.io/Logging_2580/klagomålsmail/A 52399-2023 FSC-klagomål mail.docx", "A 52399-2023")</f>
        <v/>
      </c>
      <c r="X19">
        <f>HYPERLINK("https://klasma.github.io/Logging_2580/tillsyn/A 52399-2023 tillsynsbegäran.docx", "A 52399-2023")</f>
        <v/>
      </c>
      <c r="Y19">
        <f>HYPERLINK("https://klasma.github.io/Logging_2580/tillsynsmail/A 52399-2023 tillsynsbegäran mail.docx", "A 52399-2023")</f>
        <v/>
      </c>
    </row>
    <row r="20" ht="15" customHeight="1">
      <c r="A20" t="inlineStr">
        <is>
          <t>A 55908-2023</t>
        </is>
      </c>
      <c r="B20" s="1" t="n">
        <v>45239</v>
      </c>
      <c r="C20" s="1" t="n">
        <v>45887</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19871-2024</t>
        </is>
      </c>
      <c r="B21" s="1" t="n">
        <v>45433</v>
      </c>
      <c r="C21" s="1" t="n">
        <v>45887</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14184-2025</t>
        </is>
      </c>
      <c r="B22" s="1" t="n">
        <v>45740.54351851852</v>
      </c>
      <c r="C22" s="1" t="n">
        <v>45887</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45887</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45887</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45887</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45887</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45887</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45887</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45887</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45887</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59466-2023</t>
        </is>
      </c>
      <c r="B31" s="1" t="n">
        <v>45254.4122337963</v>
      </c>
      <c r="C31" s="1" t="n">
        <v>45887</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31900-2025</t>
        </is>
      </c>
      <c r="B32" s="1" t="n">
        <v>45834</v>
      </c>
      <c r="C32" s="1" t="n">
        <v>45887</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45887</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33514-2025</t>
        </is>
      </c>
      <c r="B34" s="1" t="n">
        <v>45841.52672453703</v>
      </c>
      <c r="C34" s="1" t="n">
        <v>45887</v>
      </c>
      <c r="D34" t="inlineStr">
        <is>
          <t>NORRBOTTENS LÄN</t>
        </is>
      </c>
      <c r="E34" t="inlineStr">
        <is>
          <t>LULEÅ</t>
        </is>
      </c>
      <c r="G34" t="n">
        <v>10</v>
      </c>
      <c r="H34" t="n">
        <v>1</v>
      </c>
      <c r="I34" t="n">
        <v>0</v>
      </c>
      <c r="J34" t="n">
        <v>0</v>
      </c>
      <c r="K34" t="n">
        <v>0</v>
      </c>
      <c r="L34" t="n">
        <v>0</v>
      </c>
      <c r="M34" t="n">
        <v>0</v>
      </c>
      <c r="N34" t="n">
        <v>0</v>
      </c>
      <c r="O34" t="n">
        <v>0</v>
      </c>
      <c r="P34" t="n">
        <v>0</v>
      </c>
      <c r="Q34" t="n">
        <v>1</v>
      </c>
      <c r="R34" s="2" t="inlineStr">
        <is>
          <t>Huggorm</t>
        </is>
      </c>
      <c r="S34">
        <f>HYPERLINK("https://klasma.github.io/Logging_2580/artfynd/A 33514-2025 artfynd.xlsx", "A 33514-2025")</f>
        <v/>
      </c>
      <c r="T34">
        <f>HYPERLINK("https://klasma.github.io/Logging_2580/kartor/A 33514-2025 karta.png", "A 33514-2025")</f>
        <v/>
      </c>
      <c r="V34">
        <f>HYPERLINK("https://klasma.github.io/Logging_2580/klagomål/A 33514-2025 FSC-klagomål.docx", "A 33514-2025")</f>
        <v/>
      </c>
      <c r="W34">
        <f>HYPERLINK("https://klasma.github.io/Logging_2580/klagomålsmail/A 33514-2025 FSC-klagomål mail.docx", "A 33514-2025")</f>
        <v/>
      </c>
      <c r="X34">
        <f>HYPERLINK("https://klasma.github.io/Logging_2580/tillsyn/A 33514-2025 tillsynsbegäran.docx", "A 33514-2025")</f>
        <v/>
      </c>
      <c r="Y34">
        <f>HYPERLINK("https://klasma.github.io/Logging_2580/tillsynsmail/A 33514-2025 tillsynsbegäran mail.docx", "A 33514-2025")</f>
        <v/>
      </c>
    </row>
    <row r="35" ht="15" customHeight="1">
      <c r="A35" t="inlineStr">
        <is>
          <t>A 4561-2023</t>
        </is>
      </c>
      <c r="B35" s="1" t="n">
        <v>44951</v>
      </c>
      <c r="C35" s="1" t="n">
        <v>45887</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59395-2024</t>
        </is>
      </c>
      <c r="B36" s="1" t="n">
        <v>45638</v>
      </c>
      <c r="C36" s="1" t="n">
        <v>45887</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733-2025</t>
        </is>
      </c>
      <c r="B37" s="1" t="n">
        <v>45664</v>
      </c>
      <c r="C37" s="1" t="n">
        <v>45887</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3578-2025</t>
        </is>
      </c>
      <c r="B38" s="1" t="n">
        <v>45680</v>
      </c>
      <c r="C38" s="1" t="n">
        <v>45887</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51641-2022</t>
        </is>
      </c>
      <c r="B39" s="1" t="n">
        <v>44867</v>
      </c>
      <c r="C39" s="1" t="n">
        <v>45887</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17428-2023</t>
        </is>
      </c>
      <c r="B40" s="1" t="n">
        <v>45035.9266087963</v>
      </c>
      <c r="C40" s="1" t="n">
        <v>45887</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6527-2021</t>
        </is>
      </c>
      <c r="B41" s="1" t="n">
        <v>44236</v>
      </c>
      <c r="C41" s="1" t="n">
        <v>45887</v>
      </c>
      <c r="D41" t="inlineStr">
        <is>
          <t>NORRBOTTENS LÄN</t>
        </is>
      </c>
      <c r="E41" t="inlineStr">
        <is>
          <t>LULEÅ</t>
        </is>
      </c>
      <c r="G41" t="n">
        <v>19.7</v>
      </c>
      <c r="H41" t="n">
        <v>1</v>
      </c>
      <c r="I41" t="n">
        <v>0</v>
      </c>
      <c r="J41" t="n">
        <v>1</v>
      </c>
      <c r="K41" t="n">
        <v>0</v>
      </c>
      <c r="L41" t="n">
        <v>0</v>
      </c>
      <c r="M41" t="n">
        <v>0</v>
      </c>
      <c r="N41" t="n">
        <v>0</v>
      </c>
      <c r="O41" t="n">
        <v>1</v>
      </c>
      <c r="P41" t="n">
        <v>0</v>
      </c>
      <c r="Q41" t="n">
        <v>1</v>
      </c>
      <c r="R41" s="2" t="inlineStr">
        <is>
          <t>Videsparv</t>
        </is>
      </c>
      <c r="S41">
        <f>HYPERLINK("https://klasma.github.io/Logging_2580/artfynd/A 6527-2021 artfynd.xlsx", "A 6527-2021")</f>
        <v/>
      </c>
      <c r="T41">
        <f>HYPERLINK("https://klasma.github.io/Logging_2580/kartor/A 6527-2021 karta.png", "A 6527-2021")</f>
        <v/>
      </c>
      <c r="V41">
        <f>HYPERLINK("https://klasma.github.io/Logging_2580/klagomål/A 6527-2021 FSC-klagomål.docx", "A 6527-2021")</f>
        <v/>
      </c>
      <c r="W41">
        <f>HYPERLINK("https://klasma.github.io/Logging_2580/klagomålsmail/A 6527-2021 FSC-klagomål mail.docx", "A 6527-2021")</f>
        <v/>
      </c>
      <c r="X41">
        <f>HYPERLINK("https://klasma.github.io/Logging_2580/tillsyn/A 6527-2021 tillsynsbegäran.docx", "A 6527-2021")</f>
        <v/>
      </c>
      <c r="Y41">
        <f>HYPERLINK("https://klasma.github.io/Logging_2580/tillsynsmail/A 6527-2021 tillsynsbegäran mail.docx", "A 6527-2021")</f>
        <v/>
      </c>
      <c r="Z41">
        <f>HYPERLINK("https://klasma.github.io/Logging_2580/fåglar/A 6527-2021 prioriterade fågelarter.docx", "A 6527-2021")</f>
        <v/>
      </c>
    </row>
    <row r="42" ht="15" customHeight="1">
      <c r="A42" t="inlineStr">
        <is>
          <t>A 739-2025</t>
        </is>
      </c>
      <c r="B42" s="1" t="n">
        <v>45664</v>
      </c>
      <c r="C42" s="1" t="n">
        <v>45887</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60002-2024</t>
        </is>
      </c>
      <c r="B43" s="1" t="n">
        <v>45642.41423611111</v>
      </c>
      <c r="C43" s="1" t="n">
        <v>45887</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48323-2022</t>
        </is>
      </c>
      <c r="B44" s="1" t="n">
        <v>44854</v>
      </c>
      <c r="C44" s="1" t="n">
        <v>45887</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45887</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45887</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45887</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45887</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45887</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45887</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45887</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45887</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45887</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45887</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9580-2022</t>
        </is>
      </c>
      <c r="B55" s="1" t="n">
        <v>44617</v>
      </c>
      <c r="C55" s="1" t="n">
        <v>45887</v>
      </c>
      <c r="D55" t="inlineStr">
        <is>
          <t>NORRBOTTENS LÄN</t>
        </is>
      </c>
      <c r="E55" t="inlineStr">
        <is>
          <t>LULEÅ</t>
        </is>
      </c>
      <c r="G55" t="n">
        <v>2.8</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45887</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45887</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2385-2021</t>
        </is>
      </c>
      <c r="B58" s="1" t="n">
        <v>44211</v>
      </c>
      <c r="C58" s="1" t="n">
        <v>45887</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45887</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45887</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45887</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45887</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45887</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45887</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45887</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45887</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45887</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45887</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45887</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45887</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45887</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45887</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45887</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42177-2020</t>
        </is>
      </c>
      <c r="B74" s="1" t="n">
        <v>44075</v>
      </c>
      <c r="C74" s="1" t="n">
        <v>45887</v>
      </c>
      <c r="D74" t="inlineStr">
        <is>
          <t>NORRBOTTENS LÄN</t>
        </is>
      </c>
      <c r="E74" t="inlineStr">
        <is>
          <t>LULEÅ</t>
        </is>
      </c>
      <c r="G74" t="n">
        <v>0.6</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45887</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45887</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45887</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45887</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64527-2020</t>
        </is>
      </c>
      <c r="B79" s="1" t="n">
        <v>44166</v>
      </c>
      <c r="C79" s="1" t="n">
        <v>45887</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3843-2022</t>
        </is>
      </c>
      <c r="B80" s="1" t="n">
        <v>44586</v>
      </c>
      <c r="C80" s="1" t="n">
        <v>45887</v>
      </c>
      <c r="D80" t="inlineStr">
        <is>
          <t>NORRBOTTENS LÄN</t>
        </is>
      </c>
      <c r="E80" t="inlineStr">
        <is>
          <t>LULEÅ</t>
        </is>
      </c>
      <c r="G80" t="n">
        <v>0.8</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45887</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45887</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45887</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45887</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45887</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45887</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45887</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45887</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45887</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45887</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45887</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42176-2020</t>
        </is>
      </c>
      <c r="B92" s="1" t="n">
        <v>44075</v>
      </c>
      <c r="C92" s="1" t="n">
        <v>45887</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45887</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45887</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45887</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45887</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45887</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45887</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45887</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45887</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45887</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45887</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8834-2021</t>
        </is>
      </c>
      <c r="B103" s="1" t="n">
        <v>44245</v>
      </c>
      <c r="C103" s="1" t="n">
        <v>45887</v>
      </c>
      <c r="D103" t="inlineStr">
        <is>
          <t>NORRBOTTENS LÄN</t>
        </is>
      </c>
      <c r="E103" t="inlineStr">
        <is>
          <t>LULEÅ</t>
        </is>
      </c>
      <c r="G103" t="n">
        <v>7.7</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45887</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44688-2022</t>
        </is>
      </c>
      <c r="B105" s="1" t="n">
        <v>44839</v>
      </c>
      <c r="C105" s="1" t="n">
        <v>45887</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41990-2020</t>
        </is>
      </c>
      <c r="B106" s="1" t="n">
        <v>44075</v>
      </c>
      <c r="C106" s="1" t="n">
        <v>45887</v>
      </c>
      <c r="D106" t="inlineStr">
        <is>
          <t>NORRBOTTENS LÄN</t>
        </is>
      </c>
      <c r="E106" t="inlineStr">
        <is>
          <t>LULEÅ</t>
        </is>
      </c>
      <c r="G106" t="n">
        <v>2.5</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45887</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45887</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45887</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1144-2021</t>
        </is>
      </c>
      <c r="B110" s="1" t="n">
        <v>44207</v>
      </c>
      <c r="C110" s="1" t="n">
        <v>45887</v>
      </c>
      <c r="D110" t="inlineStr">
        <is>
          <t>NORRBOTTENS LÄN</t>
        </is>
      </c>
      <c r="E110" t="inlineStr">
        <is>
          <t>LULEÅ</t>
        </is>
      </c>
      <c r="G110" t="n">
        <v>3.2</v>
      </c>
      <c r="H110" t="n">
        <v>0</v>
      </c>
      <c r="I110" t="n">
        <v>0</v>
      </c>
      <c r="J110" t="n">
        <v>0</v>
      </c>
      <c r="K110" t="n">
        <v>0</v>
      </c>
      <c r="L110" t="n">
        <v>0</v>
      </c>
      <c r="M110" t="n">
        <v>0</v>
      </c>
      <c r="N110" t="n">
        <v>0</v>
      </c>
      <c r="O110" t="n">
        <v>0</v>
      </c>
      <c r="P110" t="n">
        <v>0</v>
      </c>
      <c r="Q110" t="n">
        <v>0</v>
      </c>
      <c r="R110" s="2" t="inlineStr"/>
    </row>
    <row r="111" ht="15" customHeight="1">
      <c r="A111" t="inlineStr">
        <is>
          <t>A 1147-2021</t>
        </is>
      </c>
      <c r="B111" s="1" t="n">
        <v>44207</v>
      </c>
      <c r="C111" s="1" t="n">
        <v>45887</v>
      </c>
      <c r="D111" t="inlineStr">
        <is>
          <t>NORRBOTTENS LÄN</t>
        </is>
      </c>
      <c r="E111" t="inlineStr">
        <is>
          <t>LULEÅ</t>
        </is>
      </c>
      <c r="G111" t="n">
        <v>6.5</v>
      </c>
      <c r="H111" t="n">
        <v>0</v>
      </c>
      <c r="I111" t="n">
        <v>0</v>
      </c>
      <c r="J111" t="n">
        <v>0</v>
      </c>
      <c r="K111" t="n">
        <v>0</v>
      </c>
      <c r="L111" t="n">
        <v>0</v>
      </c>
      <c r="M111" t="n">
        <v>0</v>
      </c>
      <c r="N111" t="n">
        <v>0</v>
      </c>
      <c r="O111" t="n">
        <v>0</v>
      </c>
      <c r="P111" t="n">
        <v>0</v>
      </c>
      <c r="Q111" t="n">
        <v>0</v>
      </c>
      <c r="R111" s="2" t="inlineStr"/>
    </row>
    <row r="112" ht="15" customHeight="1">
      <c r="A112" t="inlineStr">
        <is>
          <t>A 5559-2021</t>
        </is>
      </c>
      <c r="B112" s="1" t="n">
        <v>44229</v>
      </c>
      <c r="C112" s="1" t="n">
        <v>45887</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68307-2021</t>
        </is>
      </c>
      <c r="B113" s="1" t="n">
        <v>44526</v>
      </c>
      <c r="C113" s="1" t="n">
        <v>45887</v>
      </c>
      <c r="D113" t="inlineStr">
        <is>
          <t>NORRBOTTENS LÄN</t>
        </is>
      </c>
      <c r="E113" t="inlineStr">
        <is>
          <t>LULEÅ</t>
        </is>
      </c>
      <c r="G113" t="n">
        <v>2.9</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45887</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46826-2021</t>
        </is>
      </c>
      <c r="B115" s="1" t="n">
        <v>44446</v>
      </c>
      <c r="C115" s="1" t="n">
        <v>45887</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45887</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45887</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45887</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45887</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45887</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50468-2021</t>
        </is>
      </c>
      <c r="B121" s="1" t="n">
        <v>44459</v>
      </c>
      <c r="C121" s="1" t="n">
        <v>45887</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45887</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59858-2020</t>
        </is>
      </c>
      <c r="B123" s="1" t="n">
        <v>44148</v>
      </c>
      <c r="C123" s="1" t="n">
        <v>45887</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22656-2021</t>
        </is>
      </c>
      <c r="B124" s="1" t="n">
        <v>44327</v>
      </c>
      <c r="C124" s="1" t="n">
        <v>45887</v>
      </c>
      <c r="D124" t="inlineStr">
        <is>
          <t>NORRBOTTENS LÄN</t>
        </is>
      </c>
      <c r="E124" t="inlineStr">
        <is>
          <t>LULEÅ</t>
        </is>
      </c>
      <c r="G124" t="n">
        <v>7.1</v>
      </c>
      <c r="H124" t="n">
        <v>0</v>
      </c>
      <c r="I124" t="n">
        <v>0</v>
      </c>
      <c r="J124" t="n">
        <v>0</v>
      </c>
      <c r="K124" t="n">
        <v>0</v>
      </c>
      <c r="L124" t="n">
        <v>0</v>
      </c>
      <c r="M124" t="n">
        <v>0</v>
      </c>
      <c r="N124" t="n">
        <v>0</v>
      </c>
      <c r="O124" t="n">
        <v>0</v>
      </c>
      <c r="P124" t="n">
        <v>0</v>
      </c>
      <c r="Q124" t="n">
        <v>0</v>
      </c>
      <c r="R124" s="2" t="inlineStr"/>
    </row>
    <row r="125" ht="15" customHeight="1">
      <c r="A125" t="inlineStr">
        <is>
          <t>A 60642-2020</t>
        </is>
      </c>
      <c r="B125" s="1" t="n">
        <v>44152</v>
      </c>
      <c r="C125" s="1" t="n">
        <v>45887</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9582-2022</t>
        </is>
      </c>
      <c r="B126" s="1" t="n">
        <v>44617</v>
      </c>
      <c r="C126" s="1" t="n">
        <v>45887</v>
      </c>
      <c r="D126" t="inlineStr">
        <is>
          <t>NORRBOTTENS LÄN</t>
        </is>
      </c>
      <c r="E126" t="inlineStr">
        <is>
          <t>LULEÅ</t>
        </is>
      </c>
      <c r="G126" t="n">
        <v>2.9</v>
      </c>
      <c r="H126" t="n">
        <v>0</v>
      </c>
      <c r="I126" t="n">
        <v>0</v>
      </c>
      <c r="J126" t="n">
        <v>0</v>
      </c>
      <c r="K126" t="n">
        <v>0</v>
      </c>
      <c r="L126" t="n">
        <v>0</v>
      </c>
      <c r="M126" t="n">
        <v>0</v>
      </c>
      <c r="N126" t="n">
        <v>0</v>
      </c>
      <c r="O126" t="n">
        <v>0</v>
      </c>
      <c r="P126" t="n">
        <v>0</v>
      </c>
      <c r="Q126" t="n">
        <v>0</v>
      </c>
      <c r="R126" s="2" t="inlineStr"/>
    </row>
    <row r="127" ht="15" customHeight="1">
      <c r="A127" t="inlineStr">
        <is>
          <t>A 66925-2020</t>
        </is>
      </c>
      <c r="B127" s="1" t="n">
        <v>44176</v>
      </c>
      <c r="C127" s="1" t="n">
        <v>45887</v>
      </c>
      <c r="D127" t="inlineStr">
        <is>
          <t>NORRBOTTENS LÄN</t>
        </is>
      </c>
      <c r="E127" t="inlineStr">
        <is>
          <t>LULEÅ</t>
        </is>
      </c>
      <c r="G127" t="n">
        <v>1.8</v>
      </c>
      <c r="H127" t="n">
        <v>0</v>
      </c>
      <c r="I127" t="n">
        <v>0</v>
      </c>
      <c r="J127" t="n">
        <v>0</v>
      </c>
      <c r="K127" t="n">
        <v>0</v>
      </c>
      <c r="L127" t="n">
        <v>0</v>
      </c>
      <c r="M127" t="n">
        <v>0</v>
      </c>
      <c r="N127" t="n">
        <v>0</v>
      </c>
      <c r="O127" t="n">
        <v>0</v>
      </c>
      <c r="P127" t="n">
        <v>0</v>
      </c>
      <c r="Q127" t="n">
        <v>0</v>
      </c>
      <c r="R127" s="2" t="inlineStr"/>
    </row>
    <row r="128" ht="15" customHeight="1">
      <c r="A128" t="inlineStr">
        <is>
          <t>A 43556-2020</t>
        </is>
      </c>
      <c r="B128" s="1" t="n">
        <v>44077</v>
      </c>
      <c r="C128" s="1" t="n">
        <v>45887</v>
      </c>
      <c r="D128" t="inlineStr">
        <is>
          <t>NORRBOTTENS LÄN</t>
        </is>
      </c>
      <c r="E128" t="inlineStr">
        <is>
          <t>LULEÅ</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41072-2020</t>
        </is>
      </c>
      <c r="B129" s="1" t="n">
        <v>44069</v>
      </c>
      <c r="C129" s="1" t="n">
        <v>45887</v>
      </c>
      <c r="D129" t="inlineStr">
        <is>
          <t>NORRBOTTENS LÄN</t>
        </is>
      </c>
      <c r="E129" t="inlineStr">
        <is>
          <t>LULEÅ</t>
        </is>
      </c>
      <c r="G129" t="n">
        <v>21.3</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45887</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40896-2020</t>
        </is>
      </c>
      <c r="B131" s="1" t="n">
        <v>44070.53916666667</v>
      </c>
      <c r="C131" s="1" t="n">
        <v>45887</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73907-2021</t>
        </is>
      </c>
      <c r="B132" s="1" t="n">
        <v>44552</v>
      </c>
      <c r="C132" s="1" t="n">
        <v>45887</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32378-2021</t>
        </is>
      </c>
      <c r="B133" s="1" t="n">
        <v>44371.61725694445</v>
      </c>
      <c r="C133" s="1" t="n">
        <v>45887</v>
      </c>
      <c r="D133" t="inlineStr">
        <is>
          <t>NORRBOTTENS LÄN</t>
        </is>
      </c>
      <c r="E133" t="inlineStr">
        <is>
          <t>LULEÅ</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44987-2022</t>
        </is>
      </c>
      <c r="B134" s="1" t="n">
        <v>44841.59989583334</v>
      </c>
      <c r="C134" s="1" t="n">
        <v>45887</v>
      </c>
      <c r="D134" t="inlineStr">
        <is>
          <t>NORRBOTTENS LÄN</t>
        </is>
      </c>
      <c r="E134" t="inlineStr">
        <is>
          <t>LULEÅ</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11734-2021</t>
        </is>
      </c>
      <c r="B135" s="1" t="n">
        <v>44264</v>
      </c>
      <c r="C135" s="1" t="n">
        <v>45887</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434-2022</t>
        </is>
      </c>
      <c r="B136" s="1" t="n">
        <v>44565.92913194445</v>
      </c>
      <c r="C136" s="1" t="n">
        <v>45887</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45887</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45887</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45887</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47153-2022</t>
        </is>
      </c>
      <c r="B140" s="1" t="n">
        <v>44852.58707175926</v>
      </c>
      <c r="C140" s="1" t="n">
        <v>45887</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74441-2021</t>
        </is>
      </c>
      <c r="B141" s="1" t="n">
        <v>44558</v>
      </c>
      <c r="C141" s="1" t="n">
        <v>45887</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74445-2021</t>
        </is>
      </c>
      <c r="B142" s="1" t="n">
        <v>44558</v>
      </c>
      <c r="C142" s="1" t="n">
        <v>45887</v>
      </c>
      <c r="D142" t="inlineStr">
        <is>
          <t>NORRBOTTENS LÄN</t>
        </is>
      </c>
      <c r="E142" t="inlineStr">
        <is>
          <t>LULEÅ</t>
        </is>
      </c>
      <c r="G142" t="n">
        <v>0.6</v>
      </c>
      <c r="H142" t="n">
        <v>0</v>
      </c>
      <c r="I142" t="n">
        <v>0</v>
      </c>
      <c r="J142" t="n">
        <v>0</v>
      </c>
      <c r="K142" t="n">
        <v>0</v>
      </c>
      <c r="L142" t="n">
        <v>0</v>
      </c>
      <c r="M142" t="n">
        <v>0</v>
      </c>
      <c r="N142" t="n">
        <v>0</v>
      </c>
      <c r="O142" t="n">
        <v>0</v>
      </c>
      <c r="P142" t="n">
        <v>0</v>
      </c>
      <c r="Q142" t="n">
        <v>0</v>
      </c>
      <c r="R142" s="2" t="inlineStr"/>
    </row>
    <row r="143" ht="15" customHeight="1">
      <c r="A143" t="inlineStr">
        <is>
          <t>A 71909-2021</t>
        </is>
      </c>
      <c r="B143" s="1" t="n">
        <v>44543.92140046296</v>
      </c>
      <c r="C143" s="1" t="n">
        <v>45887</v>
      </c>
      <c r="D143" t="inlineStr">
        <is>
          <t>NORRBOTTENS LÄN</t>
        </is>
      </c>
      <c r="E143" t="inlineStr">
        <is>
          <t>LULEÅ</t>
        </is>
      </c>
      <c r="G143" t="n">
        <v>2</v>
      </c>
      <c r="H143" t="n">
        <v>0</v>
      </c>
      <c r="I143" t="n">
        <v>0</v>
      </c>
      <c r="J143" t="n">
        <v>0</v>
      </c>
      <c r="K143" t="n">
        <v>0</v>
      </c>
      <c r="L143" t="n">
        <v>0</v>
      </c>
      <c r="M143" t="n">
        <v>0</v>
      </c>
      <c r="N143" t="n">
        <v>0</v>
      </c>
      <c r="O143" t="n">
        <v>0</v>
      </c>
      <c r="P143" t="n">
        <v>0</v>
      </c>
      <c r="Q143" t="n">
        <v>0</v>
      </c>
      <c r="R143" s="2" t="inlineStr"/>
    </row>
    <row r="144" ht="15" customHeight="1">
      <c r="A144" t="inlineStr">
        <is>
          <t>A 11848-2021</t>
        </is>
      </c>
      <c r="B144" s="1" t="n">
        <v>44264</v>
      </c>
      <c r="C144" s="1" t="n">
        <v>45887</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44705-2022</t>
        </is>
      </c>
      <c r="B145" s="1" t="n">
        <v>44839</v>
      </c>
      <c r="C145" s="1" t="n">
        <v>45887</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61072-2020</t>
        </is>
      </c>
      <c r="B146" s="1" t="n">
        <v>44154.66923611111</v>
      </c>
      <c r="C146" s="1" t="n">
        <v>45887</v>
      </c>
      <c r="D146" t="inlineStr">
        <is>
          <t>NORRBOTTENS LÄN</t>
        </is>
      </c>
      <c r="E146" t="inlineStr">
        <is>
          <t>LULEÅ</t>
        </is>
      </c>
      <c r="G146" t="n">
        <v>4.1</v>
      </c>
      <c r="H146" t="n">
        <v>0</v>
      </c>
      <c r="I146" t="n">
        <v>0</v>
      </c>
      <c r="J146" t="n">
        <v>0</v>
      </c>
      <c r="K146" t="n">
        <v>0</v>
      </c>
      <c r="L146" t="n">
        <v>0</v>
      </c>
      <c r="M146" t="n">
        <v>0</v>
      </c>
      <c r="N146" t="n">
        <v>0</v>
      </c>
      <c r="O146" t="n">
        <v>0</v>
      </c>
      <c r="P146" t="n">
        <v>0</v>
      </c>
      <c r="Q146" t="n">
        <v>0</v>
      </c>
      <c r="R146" s="2" t="inlineStr"/>
    </row>
    <row r="147" ht="15" customHeight="1">
      <c r="A147" t="inlineStr">
        <is>
          <t>A 12602-2024</t>
        </is>
      </c>
      <c r="B147" s="1" t="n">
        <v>45381</v>
      </c>
      <c r="C147" s="1" t="n">
        <v>45887</v>
      </c>
      <c r="D147" t="inlineStr">
        <is>
          <t>NORRBOTTENS LÄN</t>
        </is>
      </c>
      <c r="E147" t="inlineStr">
        <is>
          <t>LULEÅ</t>
        </is>
      </c>
      <c r="G147" t="n">
        <v>5.6</v>
      </c>
      <c r="H147" t="n">
        <v>0</v>
      </c>
      <c r="I147" t="n">
        <v>0</v>
      </c>
      <c r="J147" t="n">
        <v>0</v>
      </c>
      <c r="K147" t="n">
        <v>0</v>
      </c>
      <c r="L147" t="n">
        <v>0</v>
      </c>
      <c r="M147" t="n">
        <v>0</v>
      </c>
      <c r="N147" t="n">
        <v>0</v>
      </c>
      <c r="O147" t="n">
        <v>0</v>
      </c>
      <c r="P147" t="n">
        <v>0</v>
      </c>
      <c r="Q147" t="n">
        <v>0</v>
      </c>
      <c r="R147" s="2" t="inlineStr"/>
    </row>
    <row r="148" ht="15" customHeight="1">
      <c r="A148" t="inlineStr">
        <is>
          <t>A 17175-2024</t>
        </is>
      </c>
      <c r="B148" s="1" t="n">
        <v>45412</v>
      </c>
      <c r="C148" s="1" t="n">
        <v>45887</v>
      </c>
      <c r="D148" t="inlineStr">
        <is>
          <t>NORRBOTTENS LÄN</t>
        </is>
      </c>
      <c r="E148" t="inlineStr">
        <is>
          <t>LULEÅ</t>
        </is>
      </c>
      <c r="F148" t="inlineStr">
        <is>
          <t>SCA</t>
        </is>
      </c>
      <c r="G148" t="n">
        <v>18.5</v>
      </c>
      <c r="H148" t="n">
        <v>0</v>
      </c>
      <c r="I148" t="n">
        <v>0</v>
      </c>
      <c r="J148" t="n">
        <v>0</v>
      </c>
      <c r="K148" t="n">
        <v>0</v>
      </c>
      <c r="L148" t="n">
        <v>0</v>
      </c>
      <c r="M148" t="n">
        <v>0</v>
      </c>
      <c r="N148" t="n">
        <v>0</v>
      </c>
      <c r="O148" t="n">
        <v>0</v>
      </c>
      <c r="P148" t="n">
        <v>0</v>
      </c>
      <c r="Q148" t="n">
        <v>0</v>
      </c>
      <c r="R148" s="2" t="inlineStr"/>
    </row>
    <row r="149" ht="15" customHeight="1">
      <c r="A149" t="inlineStr">
        <is>
          <t>A 52854-2022</t>
        </is>
      </c>
      <c r="B149" s="1" t="n">
        <v>44872</v>
      </c>
      <c r="C149" s="1" t="n">
        <v>45887</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45887</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14159-2024</t>
        </is>
      </c>
      <c r="B151" s="1" t="n">
        <v>45392.92930555555</v>
      </c>
      <c r="C151" s="1" t="n">
        <v>45887</v>
      </c>
      <c r="D151" t="inlineStr">
        <is>
          <t>NORRBOTTENS LÄN</t>
        </is>
      </c>
      <c r="E151" t="inlineStr">
        <is>
          <t>LULEÅ</t>
        </is>
      </c>
      <c r="G151" t="n">
        <v>33.9</v>
      </c>
      <c r="H151" t="n">
        <v>0</v>
      </c>
      <c r="I151" t="n">
        <v>0</v>
      </c>
      <c r="J151" t="n">
        <v>0</v>
      </c>
      <c r="K151" t="n">
        <v>0</v>
      </c>
      <c r="L151" t="n">
        <v>0</v>
      </c>
      <c r="M151" t="n">
        <v>0</v>
      </c>
      <c r="N151" t="n">
        <v>0</v>
      </c>
      <c r="O151" t="n">
        <v>0</v>
      </c>
      <c r="P151" t="n">
        <v>0</v>
      </c>
      <c r="Q151" t="n">
        <v>0</v>
      </c>
      <c r="R151" s="2" t="inlineStr"/>
    </row>
    <row r="152" ht="15" customHeight="1">
      <c r="A152" t="inlineStr">
        <is>
          <t>A 49018-2023</t>
        </is>
      </c>
      <c r="B152" s="1" t="n">
        <v>45204</v>
      </c>
      <c r="C152" s="1" t="n">
        <v>45887</v>
      </c>
      <c r="D152" t="inlineStr">
        <is>
          <t>NORRBOTTENS LÄN</t>
        </is>
      </c>
      <c r="E152" t="inlineStr">
        <is>
          <t>LULEÅ</t>
        </is>
      </c>
      <c r="G152" t="n">
        <v>2.8</v>
      </c>
      <c r="H152" t="n">
        <v>0</v>
      </c>
      <c r="I152" t="n">
        <v>0</v>
      </c>
      <c r="J152" t="n">
        <v>0</v>
      </c>
      <c r="K152" t="n">
        <v>0</v>
      </c>
      <c r="L152" t="n">
        <v>0</v>
      </c>
      <c r="M152" t="n">
        <v>0</v>
      </c>
      <c r="N152" t="n">
        <v>0</v>
      </c>
      <c r="O152" t="n">
        <v>0</v>
      </c>
      <c r="P152" t="n">
        <v>0</v>
      </c>
      <c r="Q152" t="n">
        <v>0</v>
      </c>
      <c r="R152" s="2" t="inlineStr"/>
    </row>
    <row r="153" ht="15" customHeight="1">
      <c r="A153" t="inlineStr">
        <is>
          <t>A 44205-2022</t>
        </is>
      </c>
      <c r="B153" s="1" t="n">
        <v>44837</v>
      </c>
      <c r="C153" s="1" t="n">
        <v>45887</v>
      </c>
      <c r="D153" t="inlineStr">
        <is>
          <t>NORRBOTTENS LÄN</t>
        </is>
      </c>
      <c r="E153" t="inlineStr">
        <is>
          <t>LULEÅ</t>
        </is>
      </c>
      <c r="G153" t="n">
        <v>4.9</v>
      </c>
      <c r="H153" t="n">
        <v>0</v>
      </c>
      <c r="I153" t="n">
        <v>0</v>
      </c>
      <c r="J153" t="n">
        <v>0</v>
      </c>
      <c r="K153" t="n">
        <v>0</v>
      </c>
      <c r="L153" t="n">
        <v>0</v>
      </c>
      <c r="M153" t="n">
        <v>0</v>
      </c>
      <c r="N153" t="n">
        <v>0</v>
      </c>
      <c r="O153" t="n">
        <v>0</v>
      </c>
      <c r="P153" t="n">
        <v>0</v>
      </c>
      <c r="Q153" t="n">
        <v>0</v>
      </c>
      <c r="R153" s="2" t="inlineStr"/>
    </row>
    <row r="154" ht="15" customHeight="1">
      <c r="A154" t="inlineStr">
        <is>
          <t>A 59115-2021</t>
        </is>
      </c>
      <c r="B154" s="1" t="n">
        <v>44490.43877314815</v>
      </c>
      <c r="C154" s="1" t="n">
        <v>45887</v>
      </c>
      <c r="D154" t="inlineStr">
        <is>
          <t>NORRBOTTENS LÄN</t>
        </is>
      </c>
      <c r="E154" t="inlineStr">
        <is>
          <t>LULEÅ</t>
        </is>
      </c>
      <c r="F154" t="inlineStr">
        <is>
          <t>Kommuner</t>
        </is>
      </c>
      <c r="G154" t="n">
        <v>2.4</v>
      </c>
      <c r="H154" t="n">
        <v>0</v>
      </c>
      <c r="I154" t="n">
        <v>0</v>
      </c>
      <c r="J154" t="n">
        <v>0</v>
      </c>
      <c r="K154" t="n">
        <v>0</v>
      </c>
      <c r="L154" t="n">
        <v>0</v>
      </c>
      <c r="M154" t="n">
        <v>0</v>
      </c>
      <c r="N154" t="n">
        <v>0</v>
      </c>
      <c r="O154" t="n">
        <v>0</v>
      </c>
      <c r="P154" t="n">
        <v>0</v>
      </c>
      <c r="Q154" t="n">
        <v>0</v>
      </c>
      <c r="R154" s="2" t="inlineStr"/>
    </row>
    <row r="155" ht="15" customHeight="1">
      <c r="A155" t="inlineStr">
        <is>
          <t>A 12551-2024</t>
        </is>
      </c>
      <c r="B155" s="1" t="n">
        <v>45379</v>
      </c>
      <c r="C155" s="1" t="n">
        <v>45887</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5132-2025</t>
        </is>
      </c>
      <c r="B156" s="1" t="n">
        <v>45691.57336805556</v>
      </c>
      <c r="C156" s="1" t="n">
        <v>45887</v>
      </c>
      <c r="D156" t="inlineStr">
        <is>
          <t>NORRBOTTENS LÄN</t>
        </is>
      </c>
      <c r="E156" t="inlineStr">
        <is>
          <t>LULEÅ</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3693-2025</t>
        </is>
      </c>
      <c r="B157" s="1" t="n">
        <v>45681.46563657407</v>
      </c>
      <c r="C157" s="1" t="n">
        <v>45887</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60727-2024</t>
        </is>
      </c>
      <c r="B158" s="1" t="n">
        <v>45644.54008101852</v>
      </c>
      <c r="C158" s="1" t="n">
        <v>45887</v>
      </c>
      <c r="D158" t="inlineStr">
        <is>
          <t>NORRBOTTENS LÄN</t>
        </is>
      </c>
      <c r="E158" t="inlineStr">
        <is>
          <t>LULEÅ</t>
        </is>
      </c>
      <c r="G158" t="n">
        <v>18.7</v>
      </c>
      <c r="H158" t="n">
        <v>0</v>
      </c>
      <c r="I158" t="n">
        <v>0</v>
      </c>
      <c r="J158" t="n">
        <v>0</v>
      </c>
      <c r="K158" t="n">
        <v>0</v>
      </c>
      <c r="L158" t="n">
        <v>0</v>
      </c>
      <c r="M158" t="n">
        <v>0</v>
      </c>
      <c r="N158" t="n">
        <v>0</v>
      </c>
      <c r="O158" t="n">
        <v>0</v>
      </c>
      <c r="P158" t="n">
        <v>0</v>
      </c>
      <c r="Q158" t="n">
        <v>0</v>
      </c>
      <c r="R158" s="2" t="inlineStr"/>
    </row>
    <row r="159" ht="15" customHeight="1">
      <c r="A159" t="inlineStr">
        <is>
          <t>A 55195-2022</t>
        </is>
      </c>
      <c r="B159" s="1" t="n">
        <v>44886</v>
      </c>
      <c r="C159" s="1" t="n">
        <v>45887</v>
      </c>
      <c r="D159" t="inlineStr">
        <is>
          <t>NORRBOTTENS LÄN</t>
        </is>
      </c>
      <c r="E159" t="inlineStr">
        <is>
          <t>LULEÅ</t>
        </is>
      </c>
      <c r="G159" t="n">
        <v>0.4</v>
      </c>
      <c r="H159" t="n">
        <v>0</v>
      </c>
      <c r="I159" t="n">
        <v>0</v>
      </c>
      <c r="J159" t="n">
        <v>0</v>
      </c>
      <c r="K159" t="n">
        <v>0</v>
      </c>
      <c r="L159" t="n">
        <v>0</v>
      </c>
      <c r="M159" t="n">
        <v>0</v>
      </c>
      <c r="N159" t="n">
        <v>0</v>
      </c>
      <c r="O159" t="n">
        <v>0</v>
      </c>
      <c r="P159" t="n">
        <v>0</v>
      </c>
      <c r="Q159" t="n">
        <v>0</v>
      </c>
      <c r="R159" s="2" t="inlineStr"/>
    </row>
    <row r="160" ht="15" customHeight="1">
      <c r="A160" t="inlineStr">
        <is>
          <t>A 12282-2024</t>
        </is>
      </c>
      <c r="B160" s="1" t="n">
        <v>45378</v>
      </c>
      <c r="C160" s="1" t="n">
        <v>45887</v>
      </c>
      <c r="D160" t="inlineStr">
        <is>
          <t>NORRBOTTENS LÄN</t>
        </is>
      </c>
      <c r="E160" t="inlineStr">
        <is>
          <t>LULEÅ</t>
        </is>
      </c>
      <c r="G160" t="n">
        <v>1.9</v>
      </c>
      <c r="H160" t="n">
        <v>0</v>
      </c>
      <c r="I160" t="n">
        <v>0</v>
      </c>
      <c r="J160" t="n">
        <v>0</v>
      </c>
      <c r="K160" t="n">
        <v>0</v>
      </c>
      <c r="L160" t="n">
        <v>0</v>
      </c>
      <c r="M160" t="n">
        <v>0</v>
      </c>
      <c r="N160" t="n">
        <v>0</v>
      </c>
      <c r="O160" t="n">
        <v>0</v>
      </c>
      <c r="P160" t="n">
        <v>0</v>
      </c>
      <c r="Q160" t="n">
        <v>0</v>
      </c>
      <c r="R160" s="2" t="inlineStr"/>
    </row>
    <row r="161" ht="15" customHeight="1">
      <c r="A161" t="inlineStr">
        <is>
          <t>A 3184-2025</t>
        </is>
      </c>
      <c r="B161" s="1" t="n">
        <v>45679</v>
      </c>
      <c r="C161" s="1" t="n">
        <v>45887</v>
      </c>
      <c r="D161" t="inlineStr">
        <is>
          <t>NORRBOTTENS LÄN</t>
        </is>
      </c>
      <c r="E161" t="inlineStr">
        <is>
          <t>LULEÅ</t>
        </is>
      </c>
      <c r="G161" t="n">
        <v>7.4</v>
      </c>
      <c r="H161" t="n">
        <v>0</v>
      </c>
      <c r="I161" t="n">
        <v>0</v>
      </c>
      <c r="J161" t="n">
        <v>0</v>
      </c>
      <c r="K161" t="n">
        <v>0</v>
      </c>
      <c r="L161" t="n">
        <v>0</v>
      </c>
      <c r="M161" t="n">
        <v>0</v>
      </c>
      <c r="N161" t="n">
        <v>0</v>
      </c>
      <c r="O161" t="n">
        <v>0</v>
      </c>
      <c r="P161" t="n">
        <v>0</v>
      </c>
      <c r="Q161" t="n">
        <v>0</v>
      </c>
      <c r="R161" s="2" t="inlineStr"/>
    </row>
    <row r="162" ht="15" customHeight="1">
      <c r="A162" t="inlineStr">
        <is>
          <t>A 42496-2024</t>
        </is>
      </c>
      <c r="B162" s="1" t="n">
        <v>45565.49769675926</v>
      </c>
      <c r="C162" s="1" t="n">
        <v>45887</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37935-2024</t>
        </is>
      </c>
      <c r="B163" s="1" t="n">
        <v>45544</v>
      </c>
      <c r="C163" s="1" t="n">
        <v>45887</v>
      </c>
      <c r="D163" t="inlineStr">
        <is>
          <t>NORRBOTTENS LÄN</t>
        </is>
      </c>
      <c r="E163" t="inlineStr">
        <is>
          <t>LULEÅ</t>
        </is>
      </c>
      <c r="G163" t="n">
        <v>3.3</v>
      </c>
      <c r="H163" t="n">
        <v>0</v>
      </c>
      <c r="I163" t="n">
        <v>0</v>
      </c>
      <c r="J163" t="n">
        <v>0</v>
      </c>
      <c r="K163" t="n">
        <v>0</v>
      </c>
      <c r="L163" t="n">
        <v>0</v>
      </c>
      <c r="M163" t="n">
        <v>0</v>
      </c>
      <c r="N163" t="n">
        <v>0</v>
      </c>
      <c r="O163" t="n">
        <v>0</v>
      </c>
      <c r="P163" t="n">
        <v>0</v>
      </c>
      <c r="Q163" t="n">
        <v>0</v>
      </c>
      <c r="R163" s="2" t="inlineStr"/>
    </row>
    <row r="164" ht="15" customHeight="1">
      <c r="A164" t="inlineStr">
        <is>
          <t>A 21597-2024</t>
        </is>
      </c>
      <c r="B164" s="1" t="n">
        <v>45441.9291087963</v>
      </c>
      <c r="C164" s="1" t="n">
        <v>45887</v>
      </c>
      <c r="D164" t="inlineStr">
        <is>
          <t>NORRBOTTENS LÄN</t>
        </is>
      </c>
      <c r="E164" t="inlineStr">
        <is>
          <t>LULEÅ</t>
        </is>
      </c>
      <c r="G164" t="n">
        <v>3.7</v>
      </c>
      <c r="H164" t="n">
        <v>0</v>
      </c>
      <c r="I164" t="n">
        <v>0</v>
      </c>
      <c r="J164" t="n">
        <v>0</v>
      </c>
      <c r="K164" t="n">
        <v>0</v>
      </c>
      <c r="L164" t="n">
        <v>0</v>
      </c>
      <c r="M164" t="n">
        <v>0</v>
      </c>
      <c r="N164" t="n">
        <v>0</v>
      </c>
      <c r="O164" t="n">
        <v>0</v>
      </c>
      <c r="P164" t="n">
        <v>0</v>
      </c>
      <c r="Q164" t="n">
        <v>0</v>
      </c>
      <c r="R164" s="2" t="inlineStr"/>
    </row>
    <row r="165" ht="15" customHeight="1">
      <c r="A165" t="inlineStr">
        <is>
          <t>A 14160-2024</t>
        </is>
      </c>
      <c r="B165" s="1" t="n">
        <v>45392</v>
      </c>
      <c r="C165" s="1" t="n">
        <v>45887</v>
      </c>
      <c r="D165" t="inlineStr">
        <is>
          <t>NORRBOTTENS LÄN</t>
        </is>
      </c>
      <c r="E165" t="inlineStr">
        <is>
          <t>LULEÅ</t>
        </is>
      </c>
      <c r="G165" t="n">
        <v>2.1</v>
      </c>
      <c r="H165" t="n">
        <v>0</v>
      </c>
      <c r="I165" t="n">
        <v>0</v>
      </c>
      <c r="J165" t="n">
        <v>0</v>
      </c>
      <c r="K165" t="n">
        <v>0</v>
      </c>
      <c r="L165" t="n">
        <v>0</v>
      </c>
      <c r="M165" t="n">
        <v>0</v>
      </c>
      <c r="N165" t="n">
        <v>0</v>
      </c>
      <c r="O165" t="n">
        <v>0</v>
      </c>
      <c r="P165" t="n">
        <v>0</v>
      </c>
      <c r="Q165" t="n">
        <v>0</v>
      </c>
      <c r="R165" s="2" t="inlineStr"/>
    </row>
    <row r="166" ht="15" customHeight="1">
      <c r="A166" t="inlineStr">
        <is>
          <t>A 4558-2024</t>
        </is>
      </c>
      <c r="B166" s="1" t="n">
        <v>45327</v>
      </c>
      <c r="C166" s="1" t="n">
        <v>45887</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49742-2022</t>
        </is>
      </c>
      <c r="B167" s="1" t="n">
        <v>44859</v>
      </c>
      <c r="C167" s="1" t="n">
        <v>45887</v>
      </c>
      <c r="D167" t="inlineStr">
        <is>
          <t>NORRBOTTENS LÄN</t>
        </is>
      </c>
      <c r="E167" t="inlineStr">
        <is>
          <t>LULEÅ</t>
        </is>
      </c>
      <c r="G167" t="n">
        <v>2.3</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45887</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45887</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45887</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806-2025</t>
        </is>
      </c>
      <c r="B171" s="1" t="n">
        <v>45664</v>
      </c>
      <c r="C171" s="1" t="n">
        <v>45887</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14337-2024</t>
        </is>
      </c>
      <c r="B172" s="1" t="n">
        <v>45393</v>
      </c>
      <c r="C172" s="1" t="n">
        <v>45887</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44680-2021</t>
        </is>
      </c>
      <c r="B173" s="1" t="n">
        <v>44435</v>
      </c>
      <c r="C173" s="1" t="n">
        <v>45887</v>
      </c>
      <c r="D173" t="inlineStr">
        <is>
          <t>NORRBOTTENS LÄN</t>
        </is>
      </c>
      <c r="E173" t="inlineStr">
        <is>
          <t>LULEÅ</t>
        </is>
      </c>
      <c r="G173" t="n">
        <v>6.1</v>
      </c>
      <c r="H173" t="n">
        <v>0</v>
      </c>
      <c r="I173" t="n">
        <v>0</v>
      </c>
      <c r="J173" t="n">
        <v>0</v>
      </c>
      <c r="K173" t="n">
        <v>0</v>
      </c>
      <c r="L173" t="n">
        <v>0</v>
      </c>
      <c r="M173" t="n">
        <v>0</v>
      </c>
      <c r="N173" t="n">
        <v>0</v>
      </c>
      <c r="O173" t="n">
        <v>0</v>
      </c>
      <c r="P173" t="n">
        <v>0</v>
      </c>
      <c r="Q173" t="n">
        <v>0</v>
      </c>
      <c r="R173" s="2" t="inlineStr"/>
    </row>
    <row r="174" ht="15" customHeight="1">
      <c r="A174" t="inlineStr">
        <is>
          <t>A 42103-2024</t>
        </is>
      </c>
      <c r="B174" s="1" t="n">
        <v>45562</v>
      </c>
      <c r="C174" s="1" t="n">
        <v>45887</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31039-2024</t>
        </is>
      </c>
      <c r="B175" s="1" t="n">
        <v>45501.91951388889</v>
      </c>
      <c r="C175" s="1" t="n">
        <v>45887</v>
      </c>
      <c r="D175" t="inlineStr">
        <is>
          <t>NORRBOTTENS LÄN</t>
        </is>
      </c>
      <c r="E175" t="inlineStr">
        <is>
          <t>LULEÅ</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4920-2025</t>
        </is>
      </c>
      <c r="B176" s="1" t="n">
        <v>45688.68412037037</v>
      </c>
      <c r="C176" s="1" t="n">
        <v>45887</v>
      </c>
      <c r="D176" t="inlineStr">
        <is>
          <t>NORRBOTTENS LÄN</t>
        </is>
      </c>
      <c r="E176" t="inlineStr">
        <is>
          <t>LULEÅ</t>
        </is>
      </c>
      <c r="G176" t="n">
        <v>6.4</v>
      </c>
      <c r="H176" t="n">
        <v>0</v>
      </c>
      <c r="I176" t="n">
        <v>0</v>
      </c>
      <c r="J176" t="n">
        <v>0</v>
      </c>
      <c r="K176" t="n">
        <v>0</v>
      </c>
      <c r="L176" t="n">
        <v>0</v>
      </c>
      <c r="M176" t="n">
        <v>0</v>
      </c>
      <c r="N176" t="n">
        <v>0</v>
      </c>
      <c r="O176" t="n">
        <v>0</v>
      </c>
      <c r="P176" t="n">
        <v>0</v>
      </c>
      <c r="Q176" t="n">
        <v>0</v>
      </c>
      <c r="R176" s="2" t="inlineStr"/>
    </row>
    <row r="177" ht="15" customHeight="1">
      <c r="A177" t="inlineStr">
        <is>
          <t>A 60584-2024</t>
        </is>
      </c>
      <c r="B177" s="1" t="n">
        <v>45644.34611111111</v>
      </c>
      <c r="C177" s="1" t="n">
        <v>45887</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12539-2024</t>
        </is>
      </c>
      <c r="B178" s="1" t="n">
        <v>45379</v>
      </c>
      <c r="C178" s="1" t="n">
        <v>45887</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30289-2023</t>
        </is>
      </c>
      <c r="B179" s="1" t="n">
        <v>45110</v>
      </c>
      <c r="C179" s="1" t="n">
        <v>45887</v>
      </c>
      <c r="D179" t="inlineStr">
        <is>
          <t>NORRBOTTENS LÄN</t>
        </is>
      </c>
      <c r="E179" t="inlineStr">
        <is>
          <t>LULEÅ</t>
        </is>
      </c>
      <c r="G179" t="n">
        <v>4.1</v>
      </c>
      <c r="H179" t="n">
        <v>0</v>
      </c>
      <c r="I179" t="n">
        <v>0</v>
      </c>
      <c r="J179" t="n">
        <v>0</v>
      </c>
      <c r="K179" t="n">
        <v>0</v>
      </c>
      <c r="L179" t="n">
        <v>0</v>
      </c>
      <c r="M179" t="n">
        <v>0</v>
      </c>
      <c r="N179" t="n">
        <v>0</v>
      </c>
      <c r="O179" t="n">
        <v>0</v>
      </c>
      <c r="P179" t="n">
        <v>0</v>
      </c>
      <c r="Q179" t="n">
        <v>0</v>
      </c>
      <c r="R179" s="2" t="inlineStr"/>
    </row>
    <row r="180" ht="15" customHeight="1">
      <c r="A180" t="inlineStr">
        <is>
          <t>A 48412-2023</t>
        </is>
      </c>
      <c r="B180" s="1" t="n">
        <v>45205</v>
      </c>
      <c r="C180" s="1" t="n">
        <v>45887</v>
      </c>
      <c r="D180" t="inlineStr">
        <is>
          <t>NORRBOTTENS LÄN</t>
        </is>
      </c>
      <c r="E180" t="inlineStr">
        <is>
          <t>LULEÅ</t>
        </is>
      </c>
      <c r="G180" t="n">
        <v>45.8</v>
      </c>
      <c r="H180" t="n">
        <v>0</v>
      </c>
      <c r="I180" t="n">
        <v>0</v>
      </c>
      <c r="J180" t="n">
        <v>0</v>
      </c>
      <c r="K180" t="n">
        <v>0</v>
      </c>
      <c r="L180" t="n">
        <v>0</v>
      </c>
      <c r="M180" t="n">
        <v>0</v>
      </c>
      <c r="N180" t="n">
        <v>0</v>
      </c>
      <c r="O180" t="n">
        <v>0</v>
      </c>
      <c r="P180" t="n">
        <v>0</v>
      </c>
      <c r="Q180" t="n">
        <v>0</v>
      </c>
      <c r="R180" s="2" t="inlineStr"/>
    </row>
    <row r="181" ht="15" customHeight="1">
      <c r="A181" t="inlineStr">
        <is>
          <t>A 49857-2023</t>
        </is>
      </c>
      <c r="B181" s="1" t="n">
        <v>45212</v>
      </c>
      <c r="C181" s="1" t="n">
        <v>45887</v>
      </c>
      <c r="D181" t="inlineStr">
        <is>
          <t>NORRBOTTENS LÄN</t>
        </is>
      </c>
      <c r="E181" t="inlineStr">
        <is>
          <t>LULEÅ</t>
        </is>
      </c>
      <c r="F181" t="inlineStr">
        <is>
          <t>SCA</t>
        </is>
      </c>
      <c r="G181" t="n">
        <v>1.6</v>
      </c>
      <c r="H181" t="n">
        <v>0</v>
      </c>
      <c r="I181" t="n">
        <v>0</v>
      </c>
      <c r="J181" t="n">
        <v>0</v>
      </c>
      <c r="K181" t="n">
        <v>0</v>
      </c>
      <c r="L181" t="n">
        <v>0</v>
      </c>
      <c r="M181" t="n">
        <v>0</v>
      </c>
      <c r="N181" t="n">
        <v>0</v>
      </c>
      <c r="O181" t="n">
        <v>0</v>
      </c>
      <c r="P181" t="n">
        <v>0</v>
      </c>
      <c r="Q181" t="n">
        <v>0</v>
      </c>
      <c r="R181" s="2" t="inlineStr"/>
    </row>
    <row r="182" ht="15" customHeight="1">
      <c r="A182" t="inlineStr">
        <is>
          <t>A 49858-2023</t>
        </is>
      </c>
      <c r="B182" s="1" t="n">
        <v>45212.95483796296</v>
      </c>
      <c r="C182" s="1" t="n">
        <v>45887</v>
      </c>
      <c r="D182" t="inlineStr">
        <is>
          <t>NORRBOTTENS LÄN</t>
        </is>
      </c>
      <c r="E182" t="inlineStr">
        <is>
          <t>LULEÅ</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23819-2023</t>
        </is>
      </c>
      <c r="B183" s="1" t="n">
        <v>45075</v>
      </c>
      <c r="C183" s="1" t="n">
        <v>45887</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52400-2023</t>
        </is>
      </c>
      <c r="B184" s="1" t="n">
        <v>45224</v>
      </c>
      <c r="C184" s="1" t="n">
        <v>45887</v>
      </c>
      <c r="D184" t="inlineStr">
        <is>
          <t>NORRBOTTENS LÄN</t>
        </is>
      </c>
      <c r="E184" t="inlineStr">
        <is>
          <t>LULEÅ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24979-2024</t>
        </is>
      </c>
      <c r="B185" s="1" t="n">
        <v>45461</v>
      </c>
      <c r="C185" s="1" t="n">
        <v>45887</v>
      </c>
      <c r="D185" t="inlineStr">
        <is>
          <t>NORRBOTTENS LÄN</t>
        </is>
      </c>
      <c r="E185" t="inlineStr">
        <is>
          <t>LULEÅ</t>
        </is>
      </c>
      <c r="G185" t="n">
        <v>16.3</v>
      </c>
      <c r="H185" t="n">
        <v>0</v>
      </c>
      <c r="I185" t="n">
        <v>0</v>
      </c>
      <c r="J185" t="n">
        <v>0</v>
      </c>
      <c r="K185" t="n">
        <v>0</v>
      </c>
      <c r="L185" t="n">
        <v>0</v>
      </c>
      <c r="M185" t="n">
        <v>0</v>
      </c>
      <c r="N185" t="n">
        <v>0</v>
      </c>
      <c r="O185" t="n">
        <v>0</v>
      </c>
      <c r="P185" t="n">
        <v>0</v>
      </c>
      <c r="Q185" t="n">
        <v>0</v>
      </c>
      <c r="R185" s="2" t="inlineStr"/>
    </row>
    <row r="186" ht="15" customHeight="1">
      <c r="A186" t="inlineStr">
        <is>
          <t>A 9282-2023</t>
        </is>
      </c>
      <c r="B186" s="1" t="n">
        <v>44977</v>
      </c>
      <c r="C186" s="1" t="n">
        <v>45887</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1312-2024</t>
        </is>
      </c>
      <c r="B187" s="1" t="n">
        <v>45303</v>
      </c>
      <c r="C187" s="1" t="n">
        <v>45887</v>
      </c>
      <c r="D187" t="inlineStr">
        <is>
          <t>NORRBOTTENS LÄN</t>
        </is>
      </c>
      <c r="E187" t="inlineStr">
        <is>
          <t>LULEÅ</t>
        </is>
      </c>
      <c r="F187" t="inlineStr">
        <is>
          <t>Kyrkan</t>
        </is>
      </c>
      <c r="G187" t="n">
        <v>1</v>
      </c>
      <c r="H187" t="n">
        <v>0</v>
      </c>
      <c r="I187" t="n">
        <v>0</v>
      </c>
      <c r="J187" t="n">
        <v>0</v>
      </c>
      <c r="K187" t="n">
        <v>0</v>
      </c>
      <c r="L187" t="n">
        <v>0</v>
      </c>
      <c r="M187" t="n">
        <v>0</v>
      </c>
      <c r="N187" t="n">
        <v>0</v>
      </c>
      <c r="O187" t="n">
        <v>0</v>
      </c>
      <c r="P187" t="n">
        <v>0</v>
      </c>
      <c r="Q187" t="n">
        <v>0</v>
      </c>
      <c r="R187" s="2" t="inlineStr"/>
    </row>
    <row r="188" ht="15" customHeight="1">
      <c r="A188" t="inlineStr">
        <is>
          <t>A 52444-2021</t>
        </is>
      </c>
      <c r="B188" s="1" t="n">
        <v>44463</v>
      </c>
      <c r="C188" s="1" t="n">
        <v>45887</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25578-2024</t>
        </is>
      </c>
      <c r="B189" s="1" t="n">
        <v>45463</v>
      </c>
      <c r="C189" s="1" t="n">
        <v>45887</v>
      </c>
      <c r="D189" t="inlineStr">
        <is>
          <t>NORRBOTTENS LÄN</t>
        </is>
      </c>
      <c r="E189" t="inlineStr">
        <is>
          <t>LULEÅ</t>
        </is>
      </c>
      <c r="G189" t="n">
        <v>7.9</v>
      </c>
      <c r="H189" t="n">
        <v>0</v>
      </c>
      <c r="I189" t="n">
        <v>0</v>
      </c>
      <c r="J189" t="n">
        <v>0</v>
      </c>
      <c r="K189" t="n">
        <v>0</v>
      </c>
      <c r="L189" t="n">
        <v>0</v>
      </c>
      <c r="M189" t="n">
        <v>0</v>
      </c>
      <c r="N189" t="n">
        <v>0</v>
      </c>
      <c r="O189" t="n">
        <v>0</v>
      </c>
      <c r="P189" t="n">
        <v>0</v>
      </c>
      <c r="Q189" t="n">
        <v>0</v>
      </c>
      <c r="R189" s="2" t="inlineStr"/>
    </row>
    <row r="190" ht="15" customHeight="1">
      <c r="A190" t="inlineStr">
        <is>
          <t>A 47063-2020</t>
        </is>
      </c>
      <c r="B190" s="1" t="n">
        <v>44096</v>
      </c>
      <c r="C190" s="1" t="n">
        <v>45887</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18166-2023</t>
        </is>
      </c>
      <c r="B191" s="1" t="n">
        <v>45040.94335648148</v>
      </c>
      <c r="C191" s="1" t="n">
        <v>45887</v>
      </c>
      <c r="D191" t="inlineStr">
        <is>
          <t>NORRBOTTENS LÄN</t>
        </is>
      </c>
      <c r="E191" t="inlineStr">
        <is>
          <t>LULEÅ</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30727-2023</t>
        </is>
      </c>
      <c r="B192" s="1" t="n">
        <v>45112</v>
      </c>
      <c r="C192" s="1" t="n">
        <v>45887</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72756-2021</t>
        </is>
      </c>
      <c r="B193" s="1" t="n">
        <v>44546.92277777778</v>
      </c>
      <c r="C193" s="1" t="n">
        <v>45887</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72752-2021</t>
        </is>
      </c>
      <c r="B194" s="1" t="n">
        <v>44546.92262731482</v>
      </c>
      <c r="C194" s="1" t="n">
        <v>45887</v>
      </c>
      <c r="D194" t="inlineStr">
        <is>
          <t>NORRBOTTENS LÄN</t>
        </is>
      </c>
      <c r="E194" t="inlineStr">
        <is>
          <t>LULEÅ</t>
        </is>
      </c>
      <c r="G194" t="n">
        <v>1.8</v>
      </c>
      <c r="H194" t="n">
        <v>0</v>
      </c>
      <c r="I194" t="n">
        <v>0</v>
      </c>
      <c r="J194" t="n">
        <v>0</v>
      </c>
      <c r="K194" t="n">
        <v>0</v>
      </c>
      <c r="L194" t="n">
        <v>0</v>
      </c>
      <c r="M194" t="n">
        <v>0</v>
      </c>
      <c r="N194" t="n">
        <v>0</v>
      </c>
      <c r="O194" t="n">
        <v>0</v>
      </c>
      <c r="P194" t="n">
        <v>0</v>
      </c>
      <c r="Q194" t="n">
        <v>0</v>
      </c>
      <c r="R194" s="2" t="inlineStr"/>
    </row>
    <row r="195" ht="15" customHeight="1">
      <c r="A195" t="inlineStr">
        <is>
          <t>A 7880-2025</t>
        </is>
      </c>
      <c r="B195" s="1" t="n">
        <v>45706.785</v>
      </c>
      <c r="C195" s="1" t="n">
        <v>45887</v>
      </c>
      <c r="D195" t="inlineStr">
        <is>
          <t>NORRBOTTENS LÄN</t>
        </is>
      </c>
      <c r="E195" t="inlineStr">
        <is>
          <t>LULEÅ</t>
        </is>
      </c>
      <c r="G195" t="n">
        <v>1</v>
      </c>
      <c r="H195" t="n">
        <v>0</v>
      </c>
      <c r="I195" t="n">
        <v>0</v>
      </c>
      <c r="J195" t="n">
        <v>0</v>
      </c>
      <c r="K195" t="n">
        <v>0</v>
      </c>
      <c r="L195" t="n">
        <v>0</v>
      </c>
      <c r="M195" t="n">
        <v>0</v>
      </c>
      <c r="N195" t="n">
        <v>0</v>
      </c>
      <c r="O195" t="n">
        <v>0</v>
      </c>
      <c r="P195" t="n">
        <v>0</v>
      </c>
      <c r="Q195" t="n">
        <v>0</v>
      </c>
      <c r="R195" s="2" t="inlineStr"/>
    </row>
    <row r="196" ht="15" customHeight="1">
      <c r="A196" t="inlineStr">
        <is>
          <t>A 38358-2023</t>
        </is>
      </c>
      <c r="B196" s="1" t="n">
        <v>45161.94293981481</v>
      </c>
      <c r="C196" s="1" t="n">
        <v>45887</v>
      </c>
      <c r="D196" t="inlineStr">
        <is>
          <t>NORRBOTTENS LÄN</t>
        </is>
      </c>
      <c r="E196" t="inlineStr">
        <is>
          <t>LULEÅ</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49208-2024</t>
        </is>
      </c>
      <c r="B197" s="1" t="n">
        <v>45595.37256944444</v>
      </c>
      <c r="C197" s="1" t="n">
        <v>45887</v>
      </c>
      <c r="D197" t="inlineStr">
        <is>
          <t>NORRBOTTENS LÄN</t>
        </is>
      </c>
      <c r="E197" t="inlineStr">
        <is>
          <t>LULEÅ</t>
        </is>
      </c>
      <c r="G197" t="n">
        <v>5.2</v>
      </c>
      <c r="H197" t="n">
        <v>0</v>
      </c>
      <c r="I197" t="n">
        <v>0</v>
      </c>
      <c r="J197" t="n">
        <v>0</v>
      </c>
      <c r="K197" t="n">
        <v>0</v>
      </c>
      <c r="L197" t="n">
        <v>0</v>
      </c>
      <c r="M197" t="n">
        <v>0</v>
      </c>
      <c r="N197" t="n">
        <v>0</v>
      </c>
      <c r="O197" t="n">
        <v>0</v>
      </c>
      <c r="P197" t="n">
        <v>0</v>
      </c>
      <c r="Q197" t="n">
        <v>0</v>
      </c>
      <c r="R197" s="2" t="inlineStr"/>
    </row>
    <row r="198" ht="15" customHeight="1">
      <c r="A198" t="inlineStr">
        <is>
          <t>A 29490-2023</t>
        </is>
      </c>
      <c r="B198" s="1" t="n">
        <v>45098</v>
      </c>
      <c r="C198" s="1" t="n">
        <v>45887</v>
      </c>
      <c r="D198" t="inlineStr">
        <is>
          <t>NORRBOTTENS LÄN</t>
        </is>
      </c>
      <c r="E198" t="inlineStr">
        <is>
          <t>LULEÅ</t>
        </is>
      </c>
      <c r="G198" t="n">
        <v>1.7</v>
      </c>
      <c r="H198" t="n">
        <v>0</v>
      </c>
      <c r="I198" t="n">
        <v>0</v>
      </c>
      <c r="J198" t="n">
        <v>0</v>
      </c>
      <c r="K198" t="n">
        <v>0</v>
      </c>
      <c r="L198" t="n">
        <v>0</v>
      </c>
      <c r="M198" t="n">
        <v>0</v>
      </c>
      <c r="N198" t="n">
        <v>0</v>
      </c>
      <c r="O198" t="n">
        <v>0</v>
      </c>
      <c r="P198" t="n">
        <v>0</v>
      </c>
      <c r="Q198" t="n">
        <v>0</v>
      </c>
      <c r="R198" s="2" t="inlineStr"/>
    </row>
    <row r="199" ht="15" customHeight="1">
      <c r="A199" t="inlineStr">
        <is>
          <t>A 29510-2023</t>
        </is>
      </c>
      <c r="B199" s="1" t="n">
        <v>45098</v>
      </c>
      <c r="C199" s="1" t="n">
        <v>45887</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3895-2025</t>
        </is>
      </c>
      <c r="B200" s="1" t="n">
        <v>45683</v>
      </c>
      <c r="C200" s="1" t="n">
        <v>45887</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8521-2022</t>
        </is>
      </c>
      <c r="B201" s="1" t="n">
        <v>44610</v>
      </c>
      <c r="C201" s="1" t="n">
        <v>45887</v>
      </c>
      <c r="D201" t="inlineStr">
        <is>
          <t>NORRBOTTENS LÄN</t>
        </is>
      </c>
      <c r="E201" t="inlineStr">
        <is>
          <t>LULEÅ</t>
        </is>
      </c>
      <c r="G201" t="n">
        <v>2.2</v>
      </c>
      <c r="H201" t="n">
        <v>0</v>
      </c>
      <c r="I201" t="n">
        <v>0</v>
      </c>
      <c r="J201" t="n">
        <v>0</v>
      </c>
      <c r="K201" t="n">
        <v>0</v>
      </c>
      <c r="L201" t="n">
        <v>0</v>
      </c>
      <c r="M201" t="n">
        <v>0</v>
      </c>
      <c r="N201" t="n">
        <v>0</v>
      </c>
      <c r="O201" t="n">
        <v>0</v>
      </c>
      <c r="P201" t="n">
        <v>0</v>
      </c>
      <c r="Q201" t="n">
        <v>0</v>
      </c>
      <c r="R201" s="2" t="inlineStr"/>
    </row>
    <row r="202" ht="15" customHeight="1">
      <c r="A202" t="inlineStr">
        <is>
          <t>A 62732-2021</t>
        </is>
      </c>
      <c r="B202" s="1" t="n">
        <v>44503</v>
      </c>
      <c r="C202" s="1" t="n">
        <v>45887</v>
      </c>
      <c r="D202" t="inlineStr">
        <is>
          <t>NORRBOTTENS LÄN</t>
        </is>
      </c>
      <c r="E202" t="inlineStr">
        <is>
          <t>LULEÅ</t>
        </is>
      </c>
      <c r="G202" t="n">
        <v>2.5</v>
      </c>
      <c r="H202" t="n">
        <v>0</v>
      </c>
      <c r="I202" t="n">
        <v>0</v>
      </c>
      <c r="J202" t="n">
        <v>0</v>
      </c>
      <c r="K202" t="n">
        <v>0</v>
      </c>
      <c r="L202" t="n">
        <v>0</v>
      </c>
      <c r="M202" t="n">
        <v>0</v>
      </c>
      <c r="N202" t="n">
        <v>0</v>
      </c>
      <c r="O202" t="n">
        <v>0</v>
      </c>
      <c r="P202" t="n">
        <v>0</v>
      </c>
      <c r="Q202" t="n">
        <v>0</v>
      </c>
      <c r="R202" s="2" t="inlineStr"/>
    </row>
    <row r="203" ht="15" customHeight="1">
      <c r="A203" t="inlineStr">
        <is>
          <t>A 29555-2024</t>
        </is>
      </c>
      <c r="B203" s="1" t="n">
        <v>45484</v>
      </c>
      <c r="C203" s="1" t="n">
        <v>45887</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22007-2024</t>
        </is>
      </c>
      <c r="B204" s="1" t="n">
        <v>45443</v>
      </c>
      <c r="C204" s="1" t="n">
        <v>45887</v>
      </c>
      <c r="D204" t="inlineStr">
        <is>
          <t>NORRBOTTENS LÄN</t>
        </is>
      </c>
      <c r="E204" t="inlineStr">
        <is>
          <t>LULEÅ</t>
        </is>
      </c>
      <c r="G204" t="n">
        <v>1.4</v>
      </c>
      <c r="H204" t="n">
        <v>0</v>
      </c>
      <c r="I204" t="n">
        <v>0</v>
      </c>
      <c r="J204" t="n">
        <v>0</v>
      </c>
      <c r="K204" t="n">
        <v>0</v>
      </c>
      <c r="L204" t="n">
        <v>0</v>
      </c>
      <c r="M204" t="n">
        <v>0</v>
      </c>
      <c r="N204" t="n">
        <v>0</v>
      </c>
      <c r="O204" t="n">
        <v>0</v>
      </c>
      <c r="P204" t="n">
        <v>0</v>
      </c>
      <c r="Q204" t="n">
        <v>0</v>
      </c>
      <c r="R204" s="2" t="inlineStr"/>
    </row>
    <row r="205" ht="15" customHeight="1">
      <c r="A205" t="inlineStr">
        <is>
          <t>A 59400-2024</t>
        </is>
      </c>
      <c r="B205" s="1" t="n">
        <v>45638</v>
      </c>
      <c r="C205" s="1" t="n">
        <v>45887</v>
      </c>
      <c r="D205" t="inlineStr">
        <is>
          <t>NORRBOTTENS LÄN</t>
        </is>
      </c>
      <c r="E205" t="inlineStr">
        <is>
          <t>LULEÅ</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62061-2022</t>
        </is>
      </c>
      <c r="B206" s="1" t="n">
        <v>44914</v>
      </c>
      <c r="C206" s="1" t="n">
        <v>45887</v>
      </c>
      <c r="D206" t="inlineStr">
        <is>
          <t>NORRBOTTENS LÄN</t>
        </is>
      </c>
      <c r="E206" t="inlineStr">
        <is>
          <t>LULEÅ</t>
        </is>
      </c>
      <c r="G206" t="n">
        <v>2.4</v>
      </c>
      <c r="H206" t="n">
        <v>0</v>
      </c>
      <c r="I206" t="n">
        <v>0</v>
      </c>
      <c r="J206" t="n">
        <v>0</v>
      </c>
      <c r="K206" t="n">
        <v>0</v>
      </c>
      <c r="L206" t="n">
        <v>0</v>
      </c>
      <c r="M206" t="n">
        <v>0</v>
      </c>
      <c r="N206" t="n">
        <v>0</v>
      </c>
      <c r="O206" t="n">
        <v>0</v>
      </c>
      <c r="P206" t="n">
        <v>0</v>
      </c>
      <c r="Q206" t="n">
        <v>0</v>
      </c>
      <c r="R206" s="2" t="inlineStr"/>
    </row>
    <row r="207" ht="15" customHeight="1">
      <c r="A207" t="inlineStr">
        <is>
          <t>A 35090-2023</t>
        </is>
      </c>
      <c r="B207" s="1" t="n">
        <v>45145</v>
      </c>
      <c r="C207" s="1" t="n">
        <v>45887</v>
      </c>
      <c r="D207" t="inlineStr">
        <is>
          <t>NORRBOTTENS LÄN</t>
        </is>
      </c>
      <c r="E207" t="inlineStr">
        <is>
          <t>LULEÅ</t>
        </is>
      </c>
      <c r="G207" t="n">
        <v>3</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45887</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45887</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45887</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23505-2025</t>
        </is>
      </c>
      <c r="B211" s="1" t="n">
        <v>45792</v>
      </c>
      <c r="C211" s="1" t="n">
        <v>45887</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23520-2025</t>
        </is>
      </c>
      <c r="B212" s="1" t="n">
        <v>45792.51074074074</v>
      </c>
      <c r="C212" s="1" t="n">
        <v>45887</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23524-2025</t>
        </is>
      </c>
      <c r="B213" s="1" t="n">
        <v>45792</v>
      </c>
      <c r="C213" s="1" t="n">
        <v>45887</v>
      </c>
      <c r="D213" t="inlineStr">
        <is>
          <t>NORRBOTTENS LÄN</t>
        </is>
      </c>
      <c r="E213" t="inlineStr">
        <is>
          <t>LULEÅ</t>
        </is>
      </c>
      <c r="G213" t="n">
        <v>6.5</v>
      </c>
      <c r="H213" t="n">
        <v>0</v>
      </c>
      <c r="I213" t="n">
        <v>0</v>
      </c>
      <c r="J213" t="n">
        <v>0</v>
      </c>
      <c r="K213" t="n">
        <v>0</v>
      </c>
      <c r="L213" t="n">
        <v>0</v>
      </c>
      <c r="M213" t="n">
        <v>0</v>
      </c>
      <c r="N213" t="n">
        <v>0</v>
      </c>
      <c r="O213" t="n">
        <v>0</v>
      </c>
      <c r="P213" t="n">
        <v>0</v>
      </c>
      <c r="Q213" t="n">
        <v>0</v>
      </c>
      <c r="R213" s="2" t="inlineStr"/>
    </row>
    <row r="214" ht="15" customHeight="1">
      <c r="A214" t="inlineStr">
        <is>
          <t>A 14990-2024</t>
        </is>
      </c>
      <c r="B214" s="1" t="n">
        <v>45399.36019675926</v>
      </c>
      <c r="C214" s="1" t="n">
        <v>45887</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52697-2023</t>
        </is>
      </c>
      <c r="B215" s="1" t="n">
        <v>45219</v>
      </c>
      <c r="C215" s="1" t="n">
        <v>45887</v>
      </c>
      <c r="D215" t="inlineStr">
        <is>
          <t>NORRBOTTENS LÄN</t>
        </is>
      </c>
      <c r="E215" t="inlineStr">
        <is>
          <t>LULEÅ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35918-2024</t>
        </is>
      </c>
      <c r="B216" s="1" t="n">
        <v>45533</v>
      </c>
      <c r="C216" s="1" t="n">
        <v>45887</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60651-2023</t>
        </is>
      </c>
      <c r="B217" s="1" t="n">
        <v>45260</v>
      </c>
      <c r="C217" s="1" t="n">
        <v>45887</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23516-2025</t>
        </is>
      </c>
      <c r="B218" s="1" t="n">
        <v>45792</v>
      </c>
      <c r="C218" s="1" t="n">
        <v>45887</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23519-2025</t>
        </is>
      </c>
      <c r="B219" s="1" t="n">
        <v>45792.51074074074</v>
      </c>
      <c r="C219" s="1" t="n">
        <v>45887</v>
      </c>
      <c r="D219" t="inlineStr">
        <is>
          <t>NORRBOTTENS LÄN</t>
        </is>
      </c>
      <c r="E219" t="inlineStr">
        <is>
          <t>LULEÅ</t>
        </is>
      </c>
      <c r="G219" t="n">
        <v>2.6</v>
      </c>
      <c r="H219" t="n">
        <v>0</v>
      </c>
      <c r="I219" t="n">
        <v>0</v>
      </c>
      <c r="J219" t="n">
        <v>0</v>
      </c>
      <c r="K219" t="n">
        <v>0</v>
      </c>
      <c r="L219" t="n">
        <v>0</v>
      </c>
      <c r="M219" t="n">
        <v>0</v>
      </c>
      <c r="N219" t="n">
        <v>0</v>
      </c>
      <c r="O219" t="n">
        <v>0</v>
      </c>
      <c r="P219" t="n">
        <v>0</v>
      </c>
      <c r="Q219" t="n">
        <v>0</v>
      </c>
      <c r="R219" s="2" t="inlineStr"/>
    </row>
    <row r="220" ht="15" customHeight="1">
      <c r="A220" t="inlineStr">
        <is>
          <t>A 23531-2025</t>
        </is>
      </c>
      <c r="B220" s="1" t="n">
        <v>45792</v>
      </c>
      <c r="C220" s="1" t="n">
        <v>45887</v>
      </c>
      <c r="D220" t="inlineStr">
        <is>
          <t>NORRBOTTENS LÄN</t>
        </is>
      </c>
      <c r="E220" t="inlineStr">
        <is>
          <t>LULEÅ</t>
        </is>
      </c>
      <c r="G220" t="n">
        <v>5.1</v>
      </c>
      <c r="H220" t="n">
        <v>0</v>
      </c>
      <c r="I220" t="n">
        <v>0</v>
      </c>
      <c r="J220" t="n">
        <v>0</v>
      </c>
      <c r="K220" t="n">
        <v>0</v>
      </c>
      <c r="L220" t="n">
        <v>0</v>
      </c>
      <c r="M220" t="n">
        <v>0</v>
      </c>
      <c r="N220" t="n">
        <v>0</v>
      </c>
      <c r="O220" t="n">
        <v>0</v>
      </c>
      <c r="P220" t="n">
        <v>0</v>
      </c>
      <c r="Q220" t="n">
        <v>0</v>
      </c>
      <c r="R220" s="2" t="inlineStr"/>
    </row>
    <row r="221" ht="15" customHeight="1">
      <c r="A221" t="inlineStr">
        <is>
          <t>A 23534-2025</t>
        </is>
      </c>
      <c r="B221" s="1" t="n">
        <v>45792</v>
      </c>
      <c r="C221" s="1" t="n">
        <v>45887</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19986-2025</t>
        </is>
      </c>
      <c r="B222" s="1" t="n">
        <v>45771.71979166667</v>
      </c>
      <c r="C222" s="1" t="n">
        <v>45887</v>
      </c>
      <c r="D222" t="inlineStr">
        <is>
          <t>NORRBOTTENS LÄN</t>
        </is>
      </c>
      <c r="E222" t="inlineStr">
        <is>
          <t>LULEÅ</t>
        </is>
      </c>
      <c r="F222" t="inlineStr">
        <is>
          <t>Naturvårdsverket</t>
        </is>
      </c>
      <c r="G222" t="n">
        <v>1.3</v>
      </c>
      <c r="H222" t="n">
        <v>0</v>
      </c>
      <c r="I222" t="n">
        <v>0</v>
      </c>
      <c r="J222" t="n">
        <v>0</v>
      </c>
      <c r="K222" t="n">
        <v>0</v>
      </c>
      <c r="L222" t="n">
        <v>0</v>
      </c>
      <c r="M222" t="n">
        <v>0</v>
      </c>
      <c r="N222" t="n">
        <v>0</v>
      </c>
      <c r="O222" t="n">
        <v>0</v>
      </c>
      <c r="P222" t="n">
        <v>0</v>
      </c>
      <c r="Q222" t="n">
        <v>0</v>
      </c>
      <c r="R222" s="2" t="inlineStr"/>
    </row>
    <row r="223" ht="15" customHeight="1">
      <c r="A223" t="inlineStr">
        <is>
          <t>A 23719-2025</t>
        </is>
      </c>
      <c r="B223" s="1" t="n">
        <v>45793.40042824074</v>
      </c>
      <c r="C223" s="1" t="n">
        <v>45887</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4919-2025</t>
        </is>
      </c>
      <c r="B224" s="1" t="n">
        <v>45688.68407407407</v>
      </c>
      <c r="C224" s="1" t="n">
        <v>45887</v>
      </c>
      <c r="D224" t="inlineStr">
        <is>
          <t>NORRBOTTENS LÄN</t>
        </is>
      </c>
      <c r="E224" t="inlineStr">
        <is>
          <t>LULEÅ</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15127-2023</t>
        </is>
      </c>
      <c r="B225" s="1" t="n">
        <v>45016</v>
      </c>
      <c r="C225" s="1" t="n">
        <v>45887</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63828-2020</t>
        </is>
      </c>
      <c r="B226" s="1" t="n">
        <v>44165</v>
      </c>
      <c r="C226" s="1" t="n">
        <v>45887</v>
      </c>
      <c r="D226" t="inlineStr">
        <is>
          <t>NORRBOTTENS LÄN</t>
        </is>
      </c>
      <c r="E226" t="inlineStr">
        <is>
          <t>LULEÅ</t>
        </is>
      </c>
      <c r="G226" t="n">
        <v>5.3</v>
      </c>
      <c r="H226" t="n">
        <v>0</v>
      </c>
      <c r="I226" t="n">
        <v>0</v>
      </c>
      <c r="J226" t="n">
        <v>0</v>
      </c>
      <c r="K226" t="n">
        <v>0</v>
      </c>
      <c r="L226" t="n">
        <v>0</v>
      </c>
      <c r="M226" t="n">
        <v>0</v>
      </c>
      <c r="N226" t="n">
        <v>0</v>
      </c>
      <c r="O226" t="n">
        <v>0</v>
      </c>
      <c r="P226" t="n">
        <v>0</v>
      </c>
      <c r="Q226" t="n">
        <v>0</v>
      </c>
      <c r="R226" s="2" t="inlineStr"/>
    </row>
    <row r="227" ht="15" customHeight="1">
      <c r="A227" t="inlineStr">
        <is>
          <t>A 86-2025</t>
        </is>
      </c>
      <c r="B227" s="1" t="n">
        <v>45659.45902777778</v>
      </c>
      <c r="C227" s="1" t="n">
        <v>45887</v>
      </c>
      <c r="D227" t="inlineStr">
        <is>
          <t>NORRBOTTENS LÄN</t>
        </is>
      </c>
      <c r="E227" t="inlineStr">
        <is>
          <t>LULEÅ</t>
        </is>
      </c>
      <c r="G227" t="n">
        <v>2.2</v>
      </c>
      <c r="H227" t="n">
        <v>0</v>
      </c>
      <c r="I227" t="n">
        <v>0</v>
      </c>
      <c r="J227" t="n">
        <v>0</v>
      </c>
      <c r="K227" t="n">
        <v>0</v>
      </c>
      <c r="L227" t="n">
        <v>0</v>
      </c>
      <c r="M227" t="n">
        <v>0</v>
      </c>
      <c r="N227" t="n">
        <v>0</v>
      </c>
      <c r="O227" t="n">
        <v>0</v>
      </c>
      <c r="P227" t="n">
        <v>0</v>
      </c>
      <c r="Q227" t="n">
        <v>0</v>
      </c>
      <c r="R227" s="2" t="inlineStr"/>
    </row>
    <row r="228" ht="15" customHeight="1">
      <c r="A228" t="inlineStr">
        <is>
          <t>A 6459-2025</t>
        </is>
      </c>
      <c r="B228" s="1" t="n">
        <v>45699.56368055556</v>
      </c>
      <c r="C228" s="1" t="n">
        <v>45887</v>
      </c>
      <c r="D228" t="inlineStr">
        <is>
          <t>NORRBOTTENS LÄN</t>
        </is>
      </c>
      <c r="E228" t="inlineStr">
        <is>
          <t>LULEÅ</t>
        </is>
      </c>
      <c r="F228" t="inlineStr">
        <is>
          <t>Övriga Aktiebolag</t>
        </is>
      </c>
      <c r="G228" t="n">
        <v>2.8</v>
      </c>
      <c r="H228" t="n">
        <v>0</v>
      </c>
      <c r="I228" t="n">
        <v>0</v>
      </c>
      <c r="J228" t="n">
        <v>0</v>
      </c>
      <c r="K228" t="n">
        <v>0</v>
      </c>
      <c r="L228" t="n">
        <v>0</v>
      </c>
      <c r="M228" t="n">
        <v>0</v>
      </c>
      <c r="N228" t="n">
        <v>0</v>
      </c>
      <c r="O228" t="n">
        <v>0</v>
      </c>
      <c r="P228" t="n">
        <v>0</v>
      </c>
      <c r="Q228" t="n">
        <v>0</v>
      </c>
      <c r="R228" s="2" t="inlineStr"/>
    </row>
    <row r="229" ht="15" customHeight="1">
      <c r="A229" t="inlineStr">
        <is>
          <t>A 49721-2022</t>
        </is>
      </c>
      <c r="B229" s="1" t="n">
        <v>44859</v>
      </c>
      <c r="C229" s="1" t="n">
        <v>45887</v>
      </c>
      <c r="D229" t="inlineStr">
        <is>
          <t>NORRBOTTENS LÄN</t>
        </is>
      </c>
      <c r="E229" t="inlineStr">
        <is>
          <t>LULEÅ</t>
        </is>
      </c>
      <c r="G229" t="n">
        <v>1.4</v>
      </c>
      <c r="H229" t="n">
        <v>0</v>
      </c>
      <c r="I229" t="n">
        <v>0</v>
      </c>
      <c r="J229" t="n">
        <v>0</v>
      </c>
      <c r="K229" t="n">
        <v>0</v>
      </c>
      <c r="L229" t="n">
        <v>0</v>
      </c>
      <c r="M229" t="n">
        <v>0</v>
      </c>
      <c r="N229" t="n">
        <v>0</v>
      </c>
      <c r="O229" t="n">
        <v>0</v>
      </c>
      <c r="P229" t="n">
        <v>0</v>
      </c>
      <c r="Q229" t="n">
        <v>0</v>
      </c>
      <c r="R229" s="2" t="inlineStr"/>
    </row>
    <row r="230" ht="15" customHeight="1">
      <c r="A230" t="inlineStr">
        <is>
          <t>A 59825-2024</t>
        </is>
      </c>
      <c r="B230" s="1" t="n">
        <v>45639.64152777778</v>
      </c>
      <c r="C230" s="1" t="n">
        <v>45887</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12323-2023</t>
        </is>
      </c>
      <c r="B231" s="1" t="n">
        <v>44995</v>
      </c>
      <c r="C231" s="1" t="n">
        <v>45887</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23722-2025</t>
        </is>
      </c>
      <c r="B232" s="1" t="n">
        <v>45793.40636574074</v>
      </c>
      <c r="C232" s="1" t="n">
        <v>45887</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30950-2024</t>
        </is>
      </c>
      <c r="B233" s="1" t="n">
        <v>45499</v>
      </c>
      <c r="C233" s="1" t="n">
        <v>45887</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53836-2024</t>
        </is>
      </c>
      <c r="B234" s="1" t="n">
        <v>45615.62185185185</v>
      </c>
      <c r="C234" s="1" t="n">
        <v>45887</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34680-2023</t>
        </is>
      </c>
      <c r="B235" s="1" t="n">
        <v>45140</v>
      </c>
      <c r="C235" s="1" t="n">
        <v>45887</v>
      </c>
      <c r="D235" t="inlineStr">
        <is>
          <t>NORRBOTTENS LÄN</t>
        </is>
      </c>
      <c r="E235" t="inlineStr">
        <is>
          <t>LULEÅ</t>
        </is>
      </c>
      <c r="G235" t="n">
        <v>4.9</v>
      </c>
      <c r="H235" t="n">
        <v>0</v>
      </c>
      <c r="I235" t="n">
        <v>0</v>
      </c>
      <c r="J235" t="n">
        <v>0</v>
      </c>
      <c r="K235" t="n">
        <v>0</v>
      </c>
      <c r="L235" t="n">
        <v>0</v>
      </c>
      <c r="M235" t="n">
        <v>0</v>
      </c>
      <c r="N235" t="n">
        <v>0</v>
      </c>
      <c r="O235" t="n">
        <v>0</v>
      </c>
      <c r="P235" t="n">
        <v>0</v>
      </c>
      <c r="Q235" t="n">
        <v>0</v>
      </c>
      <c r="R235" s="2" t="inlineStr"/>
    </row>
    <row r="236" ht="15" customHeight="1">
      <c r="A236" t="inlineStr">
        <is>
          <t>A 60387-2024</t>
        </is>
      </c>
      <c r="B236" s="1" t="n">
        <v>45643.48357638889</v>
      </c>
      <c r="C236" s="1" t="n">
        <v>45887</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4137-2024</t>
        </is>
      </c>
      <c r="B237" s="1" t="n">
        <v>45323</v>
      </c>
      <c r="C237" s="1" t="n">
        <v>45887</v>
      </c>
      <c r="D237" t="inlineStr">
        <is>
          <t>NORRBOTTENS LÄN</t>
        </is>
      </c>
      <c r="E237" t="inlineStr">
        <is>
          <t>LULEÅ</t>
        </is>
      </c>
      <c r="G237" t="n">
        <v>13.1</v>
      </c>
      <c r="H237" t="n">
        <v>0</v>
      </c>
      <c r="I237" t="n">
        <v>0</v>
      </c>
      <c r="J237" t="n">
        <v>0</v>
      </c>
      <c r="K237" t="n">
        <v>0</v>
      </c>
      <c r="L237" t="n">
        <v>0</v>
      </c>
      <c r="M237" t="n">
        <v>0</v>
      </c>
      <c r="N237" t="n">
        <v>0</v>
      </c>
      <c r="O237" t="n">
        <v>0</v>
      </c>
      <c r="P237" t="n">
        <v>0</v>
      </c>
      <c r="Q237" t="n">
        <v>0</v>
      </c>
      <c r="R237" s="2" t="inlineStr"/>
    </row>
    <row r="238" ht="15" customHeight="1">
      <c r="A238" t="inlineStr">
        <is>
          <t>A 52667-2024</t>
        </is>
      </c>
      <c r="B238" s="1" t="n">
        <v>45610</v>
      </c>
      <c r="C238" s="1" t="n">
        <v>45887</v>
      </c>
      <c r="D238" t="inlineStr">
        <is>
          <t>NORRBOTTENS LÄN</t>
        </is>
      </c>
      <c r="E238" t="inlineStr">
        <is>
          <t>LULEÅ</t>
        </is>
      </c>
      <c r="G238" t="n">
        <v>1.3</v>
      </c>
      <c r="H238" t="n">
        <v>0</v>
      </c>
      <c r="I238" t="n">
        <v>0</v>
      </c>
      <c r="J238" t="n">
        <v>0</v>
      </c>
      <c r="K238" t="n">
        <v>0</v>
      </c>
      <c r="L238" t="n">
        <v>0</v>
      </c>
      <c r="M238" t="n">
        <v>0</v>
      </c>
      <c r="N238" t="n">
        <v>0</v>
      </c>
      <c r="O238" t="n">
        <v>0</v>
      </c>
      <c r="P238" t="n">
        <v>0</v>
      </c>
      <c r="Q238" t="n">
        <v>0</v>
      </c>
      <c r="R238" s="2" t="inlineStr"/>
    </row>
    <row r="239" ht="15" customHeight="1">
      <c r="A239" t="inlineStr">
        <is>
          <t>A 23726-2025</t>
        </is>
      </c>
      <c r="B239" s="1" t="n">
        <v>45793.40854166666</v>
      </c>
      <c r="C239" s="1" t="n">
        <v>45887</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6731-2025</t>
        </is>
      </c>
      <c r="B240" s="1" t="n">
        <v>45700.59357638889</v>
      </c>
      <c r="C240" s="1" t="n">
        <v>45887</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339-2025</t>
        </is>
      </c>
      <c r="B241" s="1" t="n">
        <v>45660.6911574074</v>
      </c>
      <c r="C241" s="1" t="n">
        <v>45887</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58827-2024</t>
        </is>
      </c>
      <c r="B242" s="1" t="n">
        <v>45635</v>
      </c>
      <c r="C242" s="1" t="n">
        <v>45887</v>
      </c>
      <c r="D242" t="inlineStr">
        <is>
          <t>NORRBOTTENS LÄN</t>
        </is>
      </c>
      <c r="E242" t="inlineStr">
        <is>
          <t>LULEÅ</t>
        </is>
      </c>
      <c r="G242" t="n">
        <v>0.9</v>
      </c>
      <c r="H242" t="n">
        <v>0</v>
      </c>
      <c r="I242" t="n">
        <v>0</v>
      </c>
      <c r="J242" t="n">
        <v>0</v>
      </c>
      <c r="K242" t="n">
        <v>0</v>
      </c>
      <c r="L242" t="n">
        <v>0</v>
      </c>
      <c r="M242" t="n">
        <v>0</v>
      </c>
      <c r="N242" t="n">
        <v>0</v>
      </c>
      <c r="O242" t="n">
        <v>0</v>
      </c>
      <c r="P242" t="n">
        <v>0</v>
      </c>
      <c r="Q242" t="n">
        <v>0</v>
      </c>
      <c r="R242" s="2" t="inlineStr"/>
    </row>
    <row r="243" ht="15" customHeight="1">
      <c r="A243" t="inlineStr">
        <is>
          <t>A 57115-2024</t>
        </is>
      </c>
      <c r="B243" s="1" t="n">
        <v>45629.36509259259</v>
      </c>
      <c r="C243" s="1" t="n">
        <v>45887</v>
      </c>
      <c r="D243" t="inlineStr">
        <is>
          <t>NORRBOTTENS LÄN</t>
        </is>
      </c>
      <c r="E243" t="inlineStr">
        <is>
          <t>LULEÅ</t>
        </is>
      </c>
      <c r="G243" t="n">
        <v>10.4</v>
      </c>
      <c r="H243" t="n">
        <v>0</v>
      </c>
      <c r="I243" t="n">
        <v>0</v>
      </c>
      <c r="J243" t="n">
        <v>0</v>
      </c>
      <c r="K243" t="n">
        <v>0</v>
      </c>
      <c r="L243" t="n">
        <v>0</v>
      </c>
      <c r="M243" t="n">
        <v>0</v>
      </c>
      <c r="N243" t="n">
        <v>0</v>
      </c>
      <c r="O243" t="n">
        <v>0</v>
      </c>
      <c r="P243" t="n">
        <v>0</v>
      </c>
      <c r="Q243" t="n">
        <v>0</v>
      </c>
      <c r="R243" s="2" t="inlineStr"/>
    </row>
    <row r="244" ht="15" customHeight="1">
      <c r="A244" t="inlineStr">
        <is>
          <t>A 817-2025</t>
        </is>
      </c>
      <c r="B244" s="1" t="n">
        <v>45664</v>
      </c>
      <c r="C244" s="1" t="n">
        <v>45887</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8903-2025</t>
        </is>
      </c>
      <c r="B245" s="1" t="n">
        <v>45712</v>
      </c>
      <c r="C245" s="1" t="n">
        <v>45887</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18053-2024</t>
        </is>
      </c>
      <c r="B246" s="1" t="n">
        <v>45420</v>
      </c>
      <c r="C246" s="1" t="n">
        <v>45887</v>
      </c>
      <c r="D246" t="inlineStr">
        <is>
          <t>NORRBOTTENS LÄN</t>
        </is>
      </c>
      <c r="E246" t="inlineStr">
        <is>
          <t>LULEÅ</t>
        </is>
      </c>
      <c r="G246" t="n">
        <v>3.7</v>
      </c>
      <c r="H246" t="n">
        <v>0</v>
      </c>
      <c r="I246" t="n">
        <v>0</v>
      </c>
      <c r="J246" t="n">
        <v>0</v>
      </c>
      <c r="K246" t="n">
        <v>0</v>
      </c>
      <c r="L246" t="n">
        <v>0</v>
      </c>
      <c r="M246" t="n">
        <v>0</v>
      </c>
      <c r="N246" t="n">
        <v>0</v>
      </c>
      <c r="O246" t="n">
        <v>0</v>
      </c>
      <c r="P246" t="n">
        <v>0</v>
      </c>
      <c r="Q246" t="n">
        <v>0</v>
      </c>
      <c r="R246" s="2" t="inlineStr"/>
    </row>
    <row r="247" ht="15" customHeight="1">
      <c r="A247" t="inlineStr">
        <is>
          <t>A 5137-2024</t>
        </is>
      </c>
      <c r="B247" s="1" t="n">
        <v>45330.46430555556</v>
      </c>
      <c r="C247" s="1" t="n">
        <v>45887</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55720-2024</t>
        </is>
      </c>
      <c r="B248" s="1" t="n">
        <v>45622.7453125</v>
      </c>
      <c r="C248" s="1" t="n">
        <v>45887</v>
      </c>
      <c r="D248" t="inlineStr">
        <is>
          <t>NORRBOTTENS LÄN</t>
        </is>
      </c>
      <c r="E248" t="inlineStr">
        <is>
          <t>LULEÅ</t>
        </is>
      </c>
      <c r="G248" t="n">
        <v>11.6</v>
      </c>
      <c r="H248" t="n">
        <v>0</v>
      </c>
      <c r="I248" t="n">
        <v>0</v>
      </c>
      <c r="J248" t="n">
        <v>0</v>
      </c>
      <c r="K248" t="n">
        <v>0</v>
      </c>
      <c r="L248" t="n">
        <v>0</v>
      </c>
      <c r="M248" t="n">
        <v>0</v>
      </c>
      <c r="N248" t="n">
        <v>0</v>
      </c>
      <c r="O248" t="n">
        <v>0</v>
      </c>
      <c r="P248" t="n">
        <v>0</v>
      </c>
      <c r="Q248" t="n">
        <v>0</v>
      </c>
      <c r="R248" s="2" t="inlineStr"/>
    </row>
    <row r="249" ht="15" customHeight="1">
      <c r="A249" t="inlineStr">
        <is>
          <t>A 8750-2025</t>
        </is>
      </c>
      <c r="B249" s="1" t="n">
        <v>45712.56173611111</v>
      </c>
      <c r="C249" s="1" t="n">
        <v>45887</v>
      </c>
      <c r="D249" t="inlineStr">
        <is>
          <t>NORRBOTTENS LÄN</t>
        </is>
      </c>
      <c r="E249" t="inlineStr">
        <is>
          <t>LULEÅ</t>
        </is>
      </c>
      <c r="G249" t="n">
        <v>10.8</v>
      </c>
      <c r="H249" t="n">
        <v>0</v>
      </c>
      <c r="I249" t="n">
        <v>0</v>
      </c>
      <c r="J249" t="n">
        <v>0</v>
      </c>
      <c r="K249" t="n">
        <v>0</v>
      </c>
      <c r="L249" t="n">
        <v>0</v>
      </c>
      <c r="M249" t="n">
        <v>0</v>
      </c>
      <c r="N249" t="n">
        <v>0</v>
      </c>
      <c r="O249" t="n">
        <v>0</v>
      </c>
      <c r="P249" t="n">
        <v>0</v>
      </c>
      <c r="Q249" t="n">
        <v>0</v>
      </c>
      <c r="R249" s="2" t="inlineStr"/>
    </row>
    <row r="250" ht="15" customHeight="1">
      <c r="A250" t="inlineStr">
        <is>
          <t>A 4921-2025</t>
        </is>
      </c>
      <c r="B250" s="1" t="n">
        <v>45688.68416666667</v>
      </c>
      <c r="C250" s="1" t="n">
        <v>45887</v>
      </c>
      <c r="D250" t="inlineStr">
        <is>
          <t>NORRBOTTENS LÄN</t>
        </is>
      </c>
      <c r="E250" t="inlineStr">
        <is>
          <t>LULEÅ</t>
        </is>
      </c>
      <c r="G250" t="n">
        <v>2.7</v>
      </c>
      <c r="H250" t="n">
        <v>0</v>
      </c>
      <c r="I250" t="n">
        <v>0</v>
      </c>
      <c r="J250" t="n">
        <v>0</v>
      </c>
      <c r="K250" t="n">
        <v>0</v>
      </c>
      <c r="L250" t="n">
        <v>0</v>
      </c>
      <c r="M250" t="n">
        <v>0</v>
      </c>
      <c r="N250" t="n">
        <v>0</v>
      </c>
      <c r="O250" t="n">
        <v>0</v>
      </c>
      <c r="P250" t="n">
        <v>0</v>
      </c>
      <c r="Q250" t="n">
        <v>0</v>
      </c>
      <c r="R250" s="2" t="inlineStr"/>
    </row>
    <row r="251" ht="15" customHeight="1">
      <c r="A251" t="inlineStr">
        <is>
          <t>A 43861-2023</t>
        </is>
      </c>
      <c r="B251" s="1" t="n">
        <v>45187</v>
      </c>
      <c r="C251" s="1" t="n">
        <v>45887</v>
      </c>
      <c r="D251" t="inlineStr">
        <is>
          <t>NORRBOTTENS LÄN</t>
        </is>
      </c>
      <c r="E251" t="inlineStr">
        <is>
          <t>LULEÅ</t>
        </is>
      </c>
      <c r="G251" t="n">
        <v>5.1</v>
      </c>
      <c r="H251" t="n">
        <v>0</v>
      </c>
      <c r="I251" t="n">
        <v>0</v>
      </c>
      <c r="J251" t="n">
        <v>0</v>
      </c>
      <c r="K251" t="n">
        <v>0</v>
      </c>
      <c r="L251" t="n">
        <v>0</v>
      </c>
      <c r="M251" t="n">
        <v>0</v>
      </c>
      <c r="N251" t="n">
        <v>0</v>
      </c>
      <c r="O251" t="n">
        <v>0</v>
      </c>
      <c r="P251" t="n">
        <v>0</v>
      </c>
      <c r="Q251" t="n">
        <v>0</v>
      </c>
      <c r="R251" s="2" t="inlineStr"/>
    </row>
    <row r="252" ht="15" customHeight="1">
      <c r="A252" t="inlineStr">
        <is>
          <t>A 24752-2025</t>
        </is>
      </c>
      <c r="B252" s="1" t="n">
        <v>45799.3653587963</v>
      </c>
      <c r="C252" s="1" t="n">
        <v>45887</v>
      </c>
      <c r="D252" t="inlineStr">
        <is>
          <t>NORRBOTTENS LÄN</t>
        </is>
      </c>
      <c r="E252" t="inlineStr">
        <is>
          <t>LULEÅ</t>
        </is>
      </c>
      <c r="G252" t="n">
        <v>0.7</v>
      </c>
      <c r="H252" t="n">
        <v>0</v>
      </c>
      <c r="I252" t="n">
        <v>0</v>
      </c>
      <c r="J252" t="n">
        <v>0</v>
      </c>
      <c r="K252" t="n">
        <v>0</v>
      </c>
      <c r="L252" t="n">
        <v>0</v>
      </c>
      <c r="M252" t="n">
        <v>0</v>
      </c>
      <c r="N252" t="n">
        <v>0</v>
      </c>
      <c r="O252" t="n">
        <v>0</v>
      </c>
      <c r="P252" t="n">
        <v>0</v>
      </c>
      <c r="Q252" t="n">
        <v>0</v>
      </c>
      <c r="R252" s="2" t="inlineStr"/>
    </row>
    <row r="253" ht="15" customHeight="1">
      <c r="A253" t="inlineStr">
        <is>
          <t>A 60721-2024</t>
        </is>
      </c>
      <c r="B253" s="1" t="n">
        <v>45644</v>
      </c>
      <c r="C253" s="1" t="n">
        <v>45887</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10608-2025</t>
        </is>
      </c>
      <c r="B254" s="1" t="n">
        <v>45721</v>
      </c>
      <c r="C254" s="1" t="n">
        <v>45887</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50642-2024</t>
        </is>
      </c>
      <c r="B255" s="1" t="n">
        <v>45601.68076388889</v>
      </c>
      <c r="C255" s="1" t="n">
        <v>45887</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50645-2024</t>
        </is>
      </c>
      <c r="B256" s="1" t="n">
        <v>45601.68283564815</v>
      </c>
      <c r="C256" s="1" t="n">
        <v>45887</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61942-2024</t>
        </is>
      </c>
      <c r="B257" s="1" t="n">
        <v>45653.48405092592</v>
      </c>
      <c r="C257" s="1" t="n">
        <v>45887</v>
      </c>
      <c r="D257" t="inlineStr">
        <is>
          <t>NORRBOTTENS LÄN</t>
        </is>
      </c>
      <c r="E257" t="inlineStr">
        <is>
          <t>LULEÅ</t>
        </is>
      </c>
      <c r="G257" t="n">
        <v>2.2</v>
      </c>
      <c r="H257" t="n">
        <v>0</v>
      </c>
      <c r="I257" t="n">
        <v>0</v>
      </c>
      <c r="J257" t="n">
        <v>0</v>
      </c>
      <c r="K257" t="n">
        <v>0</v>
      </c>
      <c r="L257" t="n">
        <v>0</v>
      </c>
      <c r="M257" t="n">
        <v>0</v>
      </c>
      <c r="N257" t="n">
        <v>0</v>
      </c>
      <c r="O257" t="n">
        <v>0</v>
      </c>
      <c r="P257" t="n">
        <v>0</v>
      </c>
      <c r="Q257" t="n">
        <v>0</v>
      </c>
      <c r="R257" s="2" t="inlineStr"/>
    </row>
    <row r="258" ht="15" customHeight="1">
      <c r="A258" t="inlineStr">
        <is>
          <t>A 39169-2020</t>
        </is>
      </c>
      <c r="B258" s="1" t="n">
        <v>44063</v>
      </c>
      <c r="C258" s="1" t="n">
        <v>45887</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12116-2025</t>
        </is>
      </c>
      <c r="B259" s="1" t="n">
        <v>45729.36509259259</v>
      </c>
      <c r="C259" s="1" t="n">
        <v>45887</v>
      </c>
      <c r="D259" t="inlineStr">
        <is>
          <t>NORRBOTTENS LÄN</t>
        </is>
      </c>
      <c r="E259" t="inlineStr">
        <is>
          <t>LULEÅ</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34655-2025</t>
        </is>
      </c>
      <c r="B260" s="1" t="n">
        <v>45847</v>
      </c>
      <c r="C260" s="1" t="n">
        <v>45887</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46547-2021</t>
        </is>
      </c>
      <c r="B261" s="1" t="n">
        <v>44445</v>
      </c>
      <c r="C261" s="1" t="n">
        <v>45887</v>
      </c>
      <c r="D261" t="inlineStr">
        <is>
          <t>NORRBOTTENS LÄN</t>
        </is>
      </c>
      <c r="E261" t="inlineStr">
        <is>
          <t>LULEÅ</t>
        </is>
      </c>
      <c r="G261" t="n">
        <v>1.7</v>
      </c>
      <c r="H261" t="n">
        <v>0</v>
      </c>
      <c r="I261" t="n">
        <v>0</v>
      </c>
      <c r="J261" t="n">
        <v>0</v>
      </c>
      <c r="K261" t="n">
        <v>0</v>
      </c>
      <c r="L261" t="n">
        <v>0</v>
      </c>
      <c r="M261" t="n">
        <v>0</v>
      </c>
      <c r="N261" t="n">
        <v>0</v>
      </c>
      <c r="O261" t="n">
        <v>0</v>
      </c>
      <c r="P261" t="n">
        <v>0</v>
      </c>
      <c r="Q261" t="n">
        <v>0</v>
      </c>
      <c r="R261" s="2" t="inlineStr"/>
    </row>
    <row r="262" ht="15" customHeight="1">
      <c r="A262" t="inlineStr">
        <is>
          <t>A 48059-2023</t>
        </is>
      </c>
      <c r="B262" s="1" t="n">
        <v>45204</v>
      </c>
      <c r="C262" s="1" t="n">
        <v>45887</v>
      </c>
      <c r="D262" t="inlineStr">
        <is>
          <t>NORRBOTTENS LÄN</t>
        </is>
      </c>
      <c r="E262" t="inlineStr">
        <is>
          <t>LULEÅ</t>
        </is>
      </c>
      <c r="G262" t="n">
        <v>2</v>
      </c>
      <c r="H262" t="n">
        <v>0</v>
      </c>
      <c r="I262" t="n">
        <v>0</v>
      </c>
      <c r="J262" t="n">
        <v>0</v>
      </c>
      <c r="K262" t="n">
        <v>0</v>
      </c>
      <c r="L262" t="n">
        <v>0</v>
      </c>
      <c r="M262" t="n">
        <v>0</v>
      </c>
      <c r="N262" t="n">
        <v>0</v>
      </c>
      <c r="O262" t="n">
        <v>0</v>
      </c>
      <c r="P262" t="n">
        <v>0</v>
      </c>
      <c r="Q262" t="n">
        <v>0</v>
      </c>
      <c r="R262" s="2" t="inlineStr"/>
    </row>
    <row r="263" ht="15" customHeight="1">
      <c r="A263" t="inlineStr">
        <is>
          <t>A 56043-2021</t>
        </is>
      </c>
      <c r="B263" s="1" t="n">
        <v>44477</v>
      </c>
      <c r="C263" s="1" t="n">
        <v>45887</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56057-2021</t>
        </is>
      </c>
      <c r="B264" s="1" t="n">
        <v>44477</v>
      </c>
      <c r="C264" s="1" t="n">
        <v>45887</v>
      </c>
      <c r="D264" t="inlineStr">
        <is>
          <t>NORRBOTTENS LÄN</t>
        </is>
      </c>
      <c r="E264" t="inlineStr">
        <is>
          <t>LULEÅ</t>
        </is>
      </c>
      <c r="G264" t="n">
        <v>3.7</v>
      </c>
      <c r="H264" t="n">
        <v>0</v>
      </c>
      <c r="I264" t="n">
        <v>0</v>
      </c>
      <c r="J264" t="n">
        <v>0</v>
      </c>
      <c r="K264" t="n">
        <v>0</v>
      </c>
      <c r="L264" t="n">
        <v>0</v>
      </c>
      <c r="M264" t="n">
        <v>0</v>
      </c>
      <c r="N264" t="n">
        <v>0</v>
      </c>
      <c r="O264" t="n">
        <v>0</v>
      </c>
      <c r="P264" t="n">
        <v>0</v>
      </c>
      <c r="Q264" t="n">
        <v>0</v>
      </c>
      <c r="R264" s="2" t="inlineStr"/>
    </row>
    <row r="265" ht="15" customHeight="1">
      <c r="A265" t="inlineStr">
        <is>
          <t>A 57327-2024</t>
        </is>
      </c>
      <c r="B265" s="1" t="n">
        <v>45629.62572916667</v>
      </c>
      <c r="C265" s="1" t="n">
        <v>45887</v>
      </c>
      <c r="D265" t="inlineStr">
        <is>
          <t>NORRBOTTENS LÄN</t>
        </is>
      </c>
      <c r="E265" t="inlineStr">
        <is>
          <t>LULEÅ</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53754-2023</t>
        </is>
      </c>
      <c r="B266" s="1" t="n">
        <v>45230</v>
      </c>
      <c r="C266" s="1" t="n">
        <v>45887</v>
      </c>
      <c r="D266" t="inlineStr">
        <is>
          <t>NORRBOTTENS LÄN</t>
        </is>
      </c>
      <c r="E266" t="inlineStr">
        <is>
          <t>LULEÅ</t>
        </is>
      </c>
      <c r="G266" t="n">
        <v>2.5</v>
      </c>
      <c r="H266" t="n">
        <v>0</v>
      </c>
      <c r="I266" t="n">
        <v>0</v>
      </c>
      <c r="J266" t="n">
        <v>0</v>
      </c>
      <c r="K266" t="n">
        <v>0</v>
      </c>
      <c r="L266" t="n">
        <v>0</v>
      </c>
      <c r="M266" t="n">
        <v>0</v>
      </c>
      <c r="N266" t="n">
        <v>0</v>
      </c>
      <c r="O266" t="n">
        <v>0</v>
      </c>
      <c r="P266" t="n">
        <v>0</v>
      </c>
      <c r="Q266" t="n">
        <v>0</v>
      </c>
      <c r="R266" s="2" t="inlineStr"/>
    </row>
    <row r="267" ht="15" customHeight="1">
      <c r="A267" t="inlineStr">
        <is>
          <t>A 46587-2023</t>
        </is>
      </c>
      <c r="B267" s="1" t="n">
        <v>45194</v>
      </c>
      <c r="C267" s="1" t="n">
        <v>45887</v>
      </c>
      <c r="D267" t="inlineStr">
        <is>
          <t>NORRBOTTENS LÄN</t>
        </is>
      </c>
      <c r="E267" t="inlineStr">
        <is>
          <t>LULEÅ</t>
        </is>
      </c>
      <c r="G267" t="n">
        <v>15.3</v>
      </c>
      <c r="H267" t="n">
        <v>0</v>
      </c>
      <c r="I267" t="n">
        <v>0</v>
      </c>
      <c r="J267" t="n">
        <v>0</v>
      </c>
      <c r="K267" t="n">
        <v>0</v>
      </c>
      <c r="L267" t="n">
        <v>0</v>
      </c>
      <c r="M267" t="n">
        <v>0</v>
      </c>
      <c r="N267" t="n">
        <v>0</v>
      </c>
      <c r="O267" t="n">
        <v>0</v>
      </c>
      <c r="P267" t="n">
        <v>0</v>
      </c>
      <c r="Q267" t="n">
        <v>0</v>
      </c>
      <c r="R267" s="2" t="inlineStr"/>
    </row>
    <row r="268" ht="15" customHeight="1">
      <c r="A268" t="inlineStr">
        <is>
          <t>A 43765-2023</t>
        </is>
      </c>
      <c r="B268" s="1" t="n">
        <v>45187</v>
      </c>
      <c r="C268" s="1" t="n">
        <v>45887</v>
      </c>
      <c r="D268" t="inlineStr">
        <is>
          <t>NORRBOTTENS LÄN</t>
        </is>
      </c>
      <c r="E268" t="inlineStr">
        <is>
          <t>LULEÅ</t>
        </is>
      </c>
      <c r="G268" t="n">
        <v>13.7</v>
      </c>
      <c r="H268" t="n">
        <v>0</v>
      </c>
      <c r="I268" t="n">
        <v>0</v>
      </c>
      <c r="J268" t="n">
        <v>0</v>
      </c>
      <c r="K268" t="n">
        <v>0</v>
      </c>
      <c r="L268" t="n">
        <v>0</v>
      </c>
      <c r="M268" t="n">
        <v>0</v>
      </c>
      <c r="N268" t="n">
        <v>0</v>
      </c>
      <c r="O268" t="n">
        <v>0</v>
      </c>
      <c r="P268" t="n">
        <v>0</v>
      </c>
      <c r="Q268" t="n">
        <v>0</v>
      </c>
      <c r="R268" s="2" t="inlineStr"/>
    </row>
    <row r="269" ht="15" customHeight="1">
      <c r="A269" t="inlineStr">
        <is>
          <t>A 25676-2024</t>
        </is>
      </c>
      <c r="B269" s="1" t="n">
        <v>45463</v>
      </c>
      <c r="C269" s="1" t="n">
        <v>45887</v>
      </c>
      <c r="D269" t="inlineStr">
        <is>
          <t>NORRBOTTENS LÄN</t>
        </is>
      </c>
      <c r="E269" t="inlineStr">
        <is>
          <t>LULEÅ</t>
        </is>
      </c>
      <c r="G269" t="n">
        <v>0.5</v>
      </c>
      <c r="H269" t="n">
        <v>0</v>
      </c>
      <c r="I269" t="n">
        <v>0</v>
      </c>
      <c r="J269" t="n">
        <v>0</v>
      </c>
      <c r="K269" t="n">
        <v>0</v>
      </c>
      <c r="L269" t="n">
        <v>0</v>
      </c>
      <c r="M269" t="n">
        <v>0</v>
      </c>
      <c r="N269" t="n">
        <v>0</v>
      </c>
      <c r="O269" t="n">
        <v>0</v>
      </c>
      <c r="P269" t="n">
        <v>0</v>
      </c>
      <c r="Q269" t="n">
        <v>0</v>
      </c>
      <c r="R269" s="2" t="inlineStr"/>
    </row>
    <row r="270" ht="15" customHeight="1">
      <c r="A270" t="inlineStr">
        <is>
          <t>A 13068-2024</t>
        </is>
      </c>
      <c r="B270" s="1" t="n">
        <v>45385</v>
      </c>
      <c r="C270" s="1" t="n">
        <v>45887</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31465-2024</t>
        </is>
      </c>
      <c r="B271" s="1" t="n">
        <v>45505</v>
      </c>
      <c r="C271" s="1" t="n">
        <v>45887</v>
      </c>
      <c r="D271" t="inlineStr">
        <is>
          <t>NORRBOTTENS LÄN</t>
        </is>
      </c>
      <c r="E271" t="inlineStr">
        <is>
          <t>LULEÅ</t>
        </is>
      </c>
      <c r="F271" t="inlineStr">
        <is>
          <t>Naturvårdsverket</t>
        </is>
      </c>
      <c r="G271" t="n">
        <v>7.1</v>
      </c>
      <c r="H271" t="n">
        <v>0</v>
      </c>
      <c r="I271" t="n">
        <v>0</v>
      </c>
      <c r="J271" t="n">
        <v>0</v>
      </c>
      <c r="K271" t="n">
        <v>0</v>
      </c>
      <c r="L271" t="n">
        <v>0</v>
      </c>
      <c r="M271" t="n">
        <v>0</v>
      </c>
      <c r="N271" t="n">
        <v>0</v>
      </c>
      <c r="O271" t="n">
        <v>0</v>
      </c>
      <c r="P271" t="n">
        <v>0</v>
      </c>
      <c r="Q271" t="n">
        <v>0</v>
      </c>
      <c r="R271" s="2" t="inlineStr"/>
    </row>
    <row r="272" ht="15" customHeight="1">
      <c r="A272" t="inlineStr">
        <is>
          <t>A 52240-2023</t>
        </is>
      </c>
      <c r="B272" s="1" t="n">
        <v>45224</v>
      </c>
      <c r="C272" s="1" t="n">
        <v>45887</v>
      </c>
      <c r="D272" t="inlineStr">
        <is>
          <t>NORRBOTTENS LÄN</t>
        </is>
      </c>
      <c r="E272" t="inlineStr">
        <is>
          <t>LULEÅ</t>
        </is>
      </c>
      <c r="G272" t="n">
        <v>4.5</v>
      </c>
      <c r="H272" t="n">
        <v>0</v>
      </c>
      <c r="I272" t="n">
        <v>0</v>
      </c>
      <c r="J272" t="n">
        <v>0</v>
      </c>
      <c r="K272" t="n">
        <v>0</v>
      </c>
      <c r="L272" t="n">
        <v>0</v>
      </c>
      <c r="M272" t="n">
        <v>0</v>
      </c>
      <c r="N272" t="n">
        <v>0</v>
      </c>
      <c r="O272" t="n">
        <v>0</v>
      </c>
      <c r="P272" t="n">
        <v>0</v>
      </c>
      <c r="Q272" t="n">
        <v>0</v>
      </c>
      <c r="R272" s="2" t="inlineStr"/>
    </row>
    <row r="273" ht="15" customHeight="1">
      <c r="A273" t="inlineStr">
        <is>
          <t>A 25798-2024</t>
        </is>
      </c>
      <c r="B273" s="1" t="n">
        <v>45463</v>
      </c>
      <c r="C273" s="1" t="n">
        <v>45887</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26582-2024</t>
        </is>
      </c>
      <c r="B274" s="1" t="n">
        <v>45469.66545138889</v>
      </c>
      <c r="C274" s="1" t="n">
        <v>45887</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53960-2023</t>
        </is>
      </c>
      <c r="B275" s="1" t="n">
        <v>45225</v>
      </c>
      <c r="C275" s="1" t="n">
        <v>45887</v>
      </c>
      <c r="D275" t="inlineStr">
        <is>
          <t>NORRBOTTENS LÄN</t>
        </is>
      </c>
      <c r="E275" t="inlineStr">
        <is>
          <t>LULEÅ</t>
        </is>
      </c>
      <c r="G275" t="n">
        <v>0.8</v>
      </c>
      <c r="H275" t="n">
        <v>0</v>
      </c>
      <c r="I275" t="n">
        <v>0</v>
      </c>
      <c r="J275" t="n">
        <v>0</v>
      </c>
      <c r="K275" t="n">
        <v>0</v>
      </c>
      <c r="L275" t="n">
        <v>0</v>
      </c>
      <c r="M275" t="n">
        <v>0</v>
      </c>
      <c r="N275" t="n">
        <v>0</v>
      </c>
      <c r="O275" t="n">
        <v>0</v>
      </c>
      <c r="P275" t="n">
        <v>0</v>
      </c>
      <c r="Q275" t="n">
        <v>0</v>
      </c>
      <c r="R275" s="2" t="inlineStr"/>
    </row>
    <row r="276" ht="15" customHeight="1">
      <c r="A276" t="inlineStr">
        <is>
          <t>A 736-2025</t>
        </is>
      </c>
      <c r="B276" s="1" t="n">
        <v>45664</v>
      </c>
      <c r="C276" s="1" t="n">
        <v>45887</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34565-2025</t>
        </is>
      </c>
      <c r="B277" s="1" t="n">
        <v>45847</v>
      </c>
      <c r="C277" s="1" t="n">
        <v>45887</v>
      </c>
      <c r="D277" t="inlineStr">
        <is>
          <t>NORRBOTTENS LÄN</t>
        </is>
      </c>
      <c r="E277" t="inlineStr">
        <is>
          <t>LULEÅ</t>
        </is>
      </c>
      <c r="G277" t="n">
        <v>10.2</v>
      </c>
      <c r="H277" t="n">
        <v>0</v>
      </c>
      <c r="I277" t="n">
        <v>0</v>
      </c>
      <c r="J277" t="n">
        <v>0</v>
      </c>
      <c r="K277" t="n">
        <v>0</v>
      </c>
      <c r="L277" t="n">
        <v>0</v>
      </c>
      <c r="M277" t="n">
        <v>0</v>
      </c>
      <c r="N277" t="n">
        <v>0</v>
      </c>
      <c r="O277" t="n">
        <v>0</v>
      </c>
      <c r="P277" t="n">
        <v>0</v>
      </c>
      <c r="Q277" t="n">
        <v>0</v>
      </c>
      <c r="R277" s="2" t="inlineStr"/>
    </row>
    <row r="278" ht="15" customHeight="1">
      <c r="A278" t="inlineStr">
        <is>
          <t>A 53985-2023</t>
        </is>
      </c>
      <c r="B278" s="1" t="n">
        <v>45225</v>
      </c>
      <c r="C278" s="1" t="n">
        <v>45887</v>
      </c>
      <c r="D278" t="inlineStr">
        <is>
          <t>NORRBOTTENS LÄN</t>
        </is>
      </c>
      <c r="E278" t="inlineStr">
        <is>
          <t>LULEÅ</t>
        </is>
      </c>
      <c r="G278" t="n">
        <v>3.2</v>
      </c>
      <c r="H278" t="n">
        <v>0</v>
      </c>
      <c r="I278" t="n">
        <v>0</v>
      </c>
      <c r="J278" t="n">
        <v>0</v>
      </c>
      <c r="K278" t="n">
        <v>0</v>
      </c>
      <c r="L278" t="n">
        <v>0</v>
      </c>
      <c r="M278" t="n">
        <v>0</v>
      </c>
      <c r="N278" t="n">
        <v>0</v>
      </c>
      <c r="O278" t="n">
        <v>0</v>
      </c>
      <c r="P278" t="n">
        <v>0</v>
      </c>
      <c r="Q278" t="n">
        <v>0</v>
      </c>
      <c r="R278" s="2" t="inlineStr"/>
    </row>
    <row r="279" ht="15" customHeight="1">
      <c r="A279" t="inlineStr">
        <is>
          <t>A 20690-2024</t>
        </is>
      </c>
      <c r="B279" s="1" t="n">
        <v>45436</v>
      </c>
      <c r="C279" s="1" t="n">
        <v>45887</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1017-2025</t>
        </is>
      </c>
      <c r="B280" s="1" t="n">
        <v>45665</v>
      </c>
      <c r="C280" s="1" t="n">
        <v>45887</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34992-2024</t>
        </is>
      </c>
      <c r="B281" s="1" t="n">
        <v>45527</v>
      </c>
      <c r="C281" s="1" t="n">
        <v>45887</v>
      </c>
      <c r="D281" t="inlineStr">
        <is>
          <t>NORRBOTTENS LÄN</t>
        </is>
      </c>
      <c r="E281" t="inlineStr">
        <is>
          <t>LULEÅ</t>
        </is>
      </c>
      <c r="G281" t="n">
        <v>2.6</v>
      </c>
      <c r="H281" t="n">
        <v>0</v>
      </c>
      <c r="I281" t="n">
        <v>0</v>
      </c>
      <c r="J281" t="n">
        <v>0</v>
      </c>
      <c r="K281" t="n">
        <v>0</v>
      </c>
      <c r="L281" t="n">
        <v>0</v>
      </c>
      <c r="M281" t="n">
        <v>0</v>
      </c>
      <c r="N281" t="n">
        <v>0</v>
      </c>
      <c r="O281" t="n">
        <v>0</v>
      </c>
      <c r="P281" t="n">
        <v>0</v>
      </c>
      <c r="Q281" t="n">
        <v>0</v>
      </c>
      <c r="R281" s="2" t="inlineStr"/>
    </row>
    <row r="282" ht="15" customHeight="1">
      <c r="A282" t="inlineStr">
        <is>
          <t>A 58823-2024</t>
        </is>
      </c>
      <c r="B282" s="1" t="n">
        <v>45635</v>
      </c>
      <c r="C282" s="1" t="n">
        <v>45887</v>
      </c>
      <c r="D282" t="inlineStr">
        <is>
          <t>NORRBOTTENS LÄN</t>
        </is>
      </c>
      <c r="E282" t="inlineStr">
        <is>
          <t>LULEÅ</t>
        </is>
      </c>
      <c r="G282" t="n">
        <v>2.6</v>
      </c>
      <c r="H282" t="n">
        <v>0</v>
      </c>
      <c r="I282" t="n">
        <v>0</v>
      </c>
      <c r="J282" t="n">
        <v>0</v>
      </c>
      <c r="K282" t="n">
        <v>0</v>
      </c>
      <c r="L282" t="n">
        <v>0</v>
      </c>
      <c r="M282" t="n">
        <v>0</v>
      </c>
      <c r="N282" t="n">
        <v>0</v>
      </c>
      <c r="O282" t="n">
        <v>0</v>
      </c>
      <c r="P282" t="n">
        <v>0</v>
      </c>
      <c r="Q282" t="n">
        <v>0</v>
      </c>
      <c r="R282" s="2" t="inlineStr"/>
    </row>
    <row r="283" ht="15" customHeight="1">
      <c r="A283" t="inlineStr">
        <is>
          <t>A 58831-2024</t>
        </is>
      </c>
      <c r="B283" s="1" t="n">
        <v>45635</v>
      </c>
      <c r="C283" s="1" t="n">
        <v>45887</v>
      </c>
      <c r="D283" t="inlineStr">
        <is>
          <t>NORRBOTTENS LÄN</t>
        </is>
      </c>
      <c r="E283" t="inlineStr">
        <is>
          <t>LULEÅ</t>
        </is>
      </c>
      <c r="G283" t="n">
        <v>0.3</v>
      </c>
      <c r="H283" t="n">
        <v>0</v>
      </c>
      <c r="I283" t="n">
        <v>0</v>
      </c>
      <c r="J283" t="n">
        <v>0</v>
      </c>
      <c r="K283" t="n">
        <v>0</v>
      </c>
      <c r="L283" t="n">
        <v>0</v>
      </c>
      <c r="M283" t="n">
        <v>0</v>
      </c>
      <c r="N283" t="n">
        <v>0</v>
      </c>
      <c r="O283" t="n">
        <v>0</v>
      </c>
      <c r="P283" t="n">
        <v>0</v>
      </c>
      <c r="Q283" t="n">
        <v>0</v>
      </c>
      <c r="R283" s="2" t="inlineStr"/>
    </row>
    <row r="284" ht="15" customHeight="1">
      <c r="A284" t="inlineStr">
        <is>
          <t>A 14195-2025</t>
        </is>
      </c>
      <c r="B284" s="1" t="n">
        <v>45740.56263888889</v>
      </c>
      <c r="C284" s="1" t="n">
        <v>45887</v>
      </c>
      <c r="D284" t="inlineStr">
        <is>
          <t>NORRBOTTENS LÄN</t>
        </is>
      </c>
      <c r="E284" t="inlineStr">
        <is>
          <t>LULEÅ</t>
        </is>
      </c>
      <c r="G284" t="n">
        <v>0.8</v>
      </c>
      <c r="H284" t="n">
        <v>0</v>
      </c>
      <c r="I284" t="n">
        <v>0</v>
      </c>
      <c r="J284" t="n">
        <v>0</v>
      </c>
      <c r="K284" t="n">
        <v>0</v>
      </c>
      <c r="L284" t="n">
        <v>0</v>
      </c>
      <c r="M284" t="n">
        <v>0</v>
      </c>
      <c r="N284" t="n">
        <v>0</v>
      </c>
      <c r="O284" t="n">
        <v>0</v>
      </c>
      <c r="P284" t="n">
        <v>0</v>
      </c>
      <c r="Q284" t="n">
        <v>0</v>
      </c>
      <c r="R284" s="2" t="inlineStr"/>
    </row>
    <row r="285" ht="15" customHeight="1">
      <c r="A285" t="inlineStr">
        <is>
          <t>A 35234-2021</t>
        </is>
      </c>
      <c r="B285" s="1" t="n">
        <v>44384</v>
      </c>
      <c r="C285" s="1" t="n">
        <v>45887</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29537-2023</t>
        </is>
      </c>
      <c r="B286" s="1" t="n">
        <v>45098</v>
      </c>
      <c r="C286" s="1" t="n">
        <v>45887</v>
      </c>
      <c r="D286" t="inlineStr">
        <is>
          <t>NORRBOTTENS LÄN</t>
        </is>
      </c>
      <c r="E286" t="inlineStr">
        <is>
          <t>LULEÅ</t>
        </is>
      </c>
      <c r="G286" t="n">
        <v>0.3</v>
      </c>
      <c r="H286" t="n">
        <v>0</v>
      </c>
      <c r="I286" t="n">
        <v>0</v>
      </c>
      <c r="J286" t="n">
        <v>0</v>
      </c>
      <c r="K286" t="n">
        <v>0</v>
      </c>
      <c r="L286" t="n">
        <v>0</v>
      </c>
      <c r="M286" t="n">
        <v>0</v>
      </c>
      <c r="N286" t="n">
        <v>0</v>
      </c>
      <c r="O286" t="n">
        <v>0</v>
      </c>
      <c r="P286" t="n">
        <v>0</v>
      </c>
      <c r="Q286" t="n">
        <v>0</v>
      </c>
      <c r="R286" s="2" t="inlineStr"/>
    </row>
    <row r="287" ht="15" customHeight="1">
      <c r="A287" t="inlineStr">
        <is>
          <t>A 1685-2025</t>
        </is>
      </c>
      <c r="B287" s="1" t="n">
        <v>45670.69877314815</v>
      </c>
      <c r="C287" s="1" t="n">
        <v>45887</v>
      </c>
      <c r="D287" t="inlineStr">
        <is>
          <t>NORRBOTTENS LÄN</t>
        </is>
      </c>
      <c r="E287" t="inlineStr">
        <is>
          <t>LULEÅ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17421-2023</t>
        </is>
      </c>
      <c r="B288" s="1" t="n">
        <v>45035.92607638889</v>
      </c>
      <c r="C288" s="1" t="n">
        <v>45887</v>
      </c>
      <c r="D288" t="inlineStr">
        <is>
          <t>NORRBOTTENS LÄN</t>
        </is>
      </c>
      <c r="E288" t="inlineStr">
        <is>
          <t>LULEÅ</t>
        </is>
      </c>
      <c r="G288" t="n">
        <v>1</v>
      </c>
      <c r="H288" t="n">
        <v>0</v>
      </c>
      <c r="I288" t="n">
        <v>0</v>
      </c>
      <c r="J288" t="n">
        <v>0</v>
      </c>
      <c r="K288" t="n">
        <v>0</v>
      </c>
      <c r="L288" t="n">
        <v>0</v>
      </c>
      <c r="M288" t="n">
        <v>0</v>
      </c>
      <c r="N288" t="n">
        <v>0</v>
      </c>
      <c r="O288" t="n">
        <v>0</v>
      </c>
      <c r="P288" t="n">
        <v>0</v>
      </c>
      <c r="Q288" t="n">
        <v>0</v>
      </c>
      <c r="R288" s="2" t="inlineStr"/>
    </row>
    <row r="289" ht="15" customHeight="1">
      <c r="A289" t="inlineStr">
        <is>
          <t>A 17425-2023</t>
        </is>
      </c>
      <c r="B289" s="1" t="n">
        <v>45035</v>
      </c>
      <c r="C289" s="1" t="n">
        <v>45887</v>
      </c>
      <c r="D289" t="inlineStr">
        <is>
          <t>NORRBOTTENS LÄN</t>
        </is>
      </c>
      <c r="E289" t="inlineStr">
        <is>
          <t>LULEÅ</t>
        </is>
      </c>
      <c r="G289" t="n">
        <v>2.7</v>
      </c>
      <c r="H289" t="n">
        <v>0</v>
      </c>
      <c r="I289" t="n">
        <v>0</v>
      </c>
      <c r="J289" t="n">
        <v>0</v>
      </c>
      <c r="K289" t="n">
        <v>0</v>
      </c>
      <c r="L289" t="n">
        <v>0</v>
      </c>
      <c r="M289" t="n">
        <v>0</v>
      </c>
      <c r="N289" t="n">
        <v>0</v>
      </c>
      <c r="O289" t="n">
        <v>0</v>
      </c>
      <c r="P289" t="n">
        <v>0</v>
      </c>
      <c r="Q289" t="n">
        <v>0</v>
      </c>
      <c r="R289" s="2" t="inlineStr"/>
    </row>
    <row r="290" ht="15" customHeight="1">
      <c r="A290" t="inlineStr">
        <is>
          <t>A 30785-2024</t>
        </is>
      </c>
      <c r="B290" s="1" t="n">
        <v>45496</v>
      </c>
      <c r="C290" s="1" t="n">
        <v>45887</v>
      </c>
      <c r="D290" t="inlineStr">
        <is>
          <t>NORRBOTTENS LÄN</t>
        </is>
      </c>
      <c r="E290" t="inlineStr">
        <is>
          <t>LULEÅ</t>
        </is>
      </c>
      <c r="F290" t="inlineStr">
        <is>
          <t>Naturvårdsverket</t>
        </is>
      </c>
      <c r="G290" t="n">
        <v>11.7</v>
      </c>
      <c r="H290" t="n">
        <v>0</v>
      </c>
      <c r="I290" t="n">
        <v>0</v>
      </c>
      <c r="J290" t="n">
        <v>0</v>
      </c>
      <c r="K290" t="n">
        <v>0</v>
      </c>
      <c r="L290" t="n">
        <v>0</v>
      </c>
      <c r="M290" t="n">
        <v>0</v>
      </c>
      <c r="N290" t="n">
        <v>0</v>
      </c>
      <c r="O290" t="n">
        <v>0</v>
      </c>
      <c r="P290" t="n">
        <v>0</v>
      </c>
      <c r="Q290" t="n">
        <v>0</v>
      </c>
      <c r="R290" s="2" t="inlineStr"/>
    </row>
    <row r="291" ht="15" customHeight="1">
      <c r="A291" t="inlineStr">
        <is>
          <t>A 51277-2024</t>
        </is>
      </c>
      <c r="B291" s="1" t="n">
        <v>45603.74953703704</v>
      </c>
      <c r="C291" s="1" t="n">
        <v>45887</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822-2025</t>
        </is>
      </c>
      <c r="B292" s="1" t="n">
        <v>45664</v>
      </c>
      <c r="C292" s="1" t="n">
        <v>45887</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6552-2024</t>
        </is>
      </c>
      <c r="B293" s="1" t="n">
        <v>45341</v>
      </c>
      <c r="C293" s="1" t="n">
        <v>45887</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47918-2024</t>
        </is>
      </c>
      <c r="B294" s="1" t="n">
        <v>45589.34434027778</v>
      </c>
      <c r="C294" s="1" t="n">
        <v>45887</v>
      </c>
      <c r="D294" t="inlineStr">
        <is>
          <t>NORRBOTTENS LÄN</t>
        </is>
      </c>
      <c r="E294" t="inlineStr">
        <is>
          <t>LULEÅ</t>
        </is>
      </c>
      <c r="F294" t="inlineStr">
        <is>
          <t>Naturvårdsverket</t>
        </is>
      </c>
      <c r="G294" t="n">
        <v>6.2</v>
      </c>
      <c r="H294" t="n">
        <v>0</v>
      </c>
      <c r="I294" t="n">
        <v>0</v>
      </c>
      <c r="J294" t="n">
        <v>0</v>
      </c>
      <c r="K294" t="n">
        <v>0</v>
      </c>
      <c r="L294" t="n">
        <v>0</v>
      </c>
      <c r="M294" t="n">
        <v>0</v>
      </c>
      <c r="N294" t="n">
        <v>0</v>
      </c>
      <c r="O294" t="n">
        <v>0</v>
      </c>
      <c r="P294" t="n">
        <v>0</v>
      </c>
      <c r="Q294" t="n">
        <v>0</v>
      </c>
      <c r="R294" s="2" t="inlineStr"/>
    </row>
    <row r="295" ht="15" customHeight="1">
      <c r="A295" t="inlineStr">
        <is>
          <t>A 27107-2025</t>
        </is>
      </c>
      <c r="B295" s="1" t="n">
        <v>45811</v>
      </c>
      <c r="C295" s="1" t="n">
        <v>45887</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58759-2023</t>
        </is>
      </c>
      <c r="B296" s="1" t="n">
        <v>45251</v>
      </c>
      <c r="C296" s="1" t="n">
        <v>45887</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27526-2025</t>
        </is>
      </c>
      <c r="B297" s="1" t="n">
        <v>45813</v>
      </c>
      <c r="C297" s="1" t="n">
        <v>45887</v>
      </c>
      <c r="D297" t="inlineStr">
        <is>
          <t>NORRBOTTENS LÄN</t>
        </is>
      </c>
      <c r="E297" t="inlineStr">
        <is>
          <t>LULEÅ</t>
        </is>
      </c>
      <c r="G297" t="n">
        <v>5.7</v>
      </c>
      <c r="H297" t="n">
        <v>0</v>
      </c>
      <c r="I297" t="n">
        <v>0</v>
      </c>
      <c r="J297" t="n">
        <v>0</v>
      </c>
      <c r="K297" t="n">
        <v>0</v>
      </c>
      <c r="L297" t="n">
        <v>0</v>
      </c>
      <c r="M297" t="n">
        <v>0</v>
      </c>
      <c r="N297" t="n">
        <v>0</v>
      </c>
      <c r="O297" t="n">
        <v>0</v>
      </c>
      <c r="P297" t="n">
        <v>0</v>
      </c>
      <c r="Q297" t="n">
        <v>0</v>
      </c>
      <c r="R297" s="2" t="inlineStr"/>
    </row>
    <row r="298" ht="15" customHeight="1">
      <c r="A298" t="inlineStr">
        <is>
          <t>A 11716-2023</t>
        </is>
      </c>
      <c r="B298" s="1" t="n">
        <v>44992</v>
      </c>
      <c r="C298" s="1" t="n">
        <v>45887</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27463-2025</t>
        </is>
      </c>
      <c r="B299" s="1" t="n">
        <v>45813.34618055556</v>
      </c>
      <c r="C299" s="1" t="n">
        <v>45887</v>
      </c>
      <c r="D299" t="inlineStr">
        <is>
          <t>NORRBOTTENS LÄN</t>
        </is>
      </c>
      <c r="E299" t="inlineStr">
        <is>
          <t>LULEÅ</t>
        </is>
      </c>
      <c r="F299" t="inlineStr">
        <is>
          <t>Naturvårdsverket</t>
        </is>
      </c>
      <c r="G299" t="n">
        <v>8.6</v>
      </c>
      <c r="H299" t="n">
        <v>0</v>
      </c>
      <c r="I299" t="n">
        <v>0</v>
      </c>
      <c r="J299" t="n">
        <v>0</v>
      </c>
      <c r="K299" t="n">
        <v>0</v>
      </c>
      <c r="L299" t="n">
        <v>0</v>
      </c>
      <c r="M299" t="n">
        <v>0</v>
      </c>
      <c r="N299" t="n">
        <v>0</v>
      </c>
      <c r="O299" t="n">
        <v>0</v>
      </c>
      <c r="P299" t="n">
        <v>0</v>
      </c>
      <c r="Q299" t="n">
        <v>0</v>
      </c>
      <c r="R299" s="2" t="inlineStr"/>
    </row>
    <row r="300" ht="15" customHeight="1">
      <c r="A300" t="inlineStr">
        <is>
          <t>A 49727-2022</t>
        </is>
      </c>
      <c r="B300" s="1" t="n">
        <v>44859</v>
      </c>
      <c r="C300" s="1" t="n">
        <v>45887</v>
      </c>
      <c r="D300" t="inlineStr">
        <is>
          <t>NORRBOTTENS LÄN</t>
        </is>
      </c>
      <c r="E300" t="inlineStr">
        <is>
          <t>LULEÅ</t>
        </is>
      </c>
      <c r="G300" t="n">
        <v>3.5</v>
      </c>
      <c r="H300" t="n">
        <v>0</v>
      </c>
      <c r="I300" t="n">
        <v>0</v>
      </c>
      <c r="J300" t="n">
        <v>0</v>
      </c>
      <c r="K300" t="n">
        <v>0</v>
      </c>
      <c r="L300" t="n">
        <v>0</v>
      </c>
      <c r="M300" t="n">
        <v>0</v>
      </c>
      <c r="N300" t="n">
        <v>0</v>
      </c>
      <c r="O300" t="n">
        <v>0</v>
      </c>
      <c r="P300" t="n">
        <v>0</v>
      </c>
      <c r="Q300" t="n">
        <v>0</v>
      </c>
      <c r="R300" s="2" t="inlineStr"/>
    </row>
    <row r="301" ht="15" customHeight="1">
      <c r="A301" t="inlineStr">
        <is>
          <t>A 49746-2022</t>
        </is>
      </c>
      <c r="B301" s="1" t="n">
        <v>44859</v>
      </c>
      <c r="C301" s="1" t="n">
        <v>45887</v>
      </c>
      <c r="D301" t="inlineStr">
        <is>
          <t>NORRBOTTENS LÄN</t>
        </is>
      </c>
      <c r="E301" t="inlineStr">
        <is>
          <t>LULEÅ</t>
        </is>
      </c>
      <c r="G301" t="n">
        <v>1.6</v>
      </c>
      <c r="H301" t="n">
        <v>0</v>
      </c>
      <c r="I301" t="n">
        <v>0</v>
      </c>
      <c r="J301" t="n">
        <v>0</v>
      </c>
      <c r="K301" t="n">
        <v>0</v>
      </c>
      <c r="L301" t="n">
        <v>0</v>
      </c>
      <c r="M301" t="n">
        <v>0</v>
      </c>
      <c r="N301" t="n">
        <v>0</v>
      </c>
      <c r="O301" t="n">
        <v>0</v>
      </c>
      <c r="P301" t="n">
        <v>0</v>
      </c>
      <c r="Q301" t="n">
        <v>0</v>
      </c>
      <c r="R301" s="2" t="inlineStr"/>
    </row>
    <row r="302" ht="15" customHeight="1">
      <c r="A302" t="inlineStr">
        <is>
          <t>A 28344-2025</t>
        </is>
      </c>
      <c r="B302" s="1" t="n">
        <v>45817</v>
      </c>
      <c r="C302" s="1" t="n">
        <v>45887</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11135-2025</t>
        </is>
      </c>
      <c r="B303" s="1" t="n">
        <v>45723.65663194445</v>
      </c>
      <c r="C303" s="1" t="n">
        <v>45887</v>
      </c>
      <c r="D303" t="inlineStr">
        <is>
          <t>NORRBOTTENS LÄN</t>
        </is>
      </c>
      <c r="E303" t="inlineStr">
        <is>
          <t>LULEÅ</t>
        </is>
      </c>
      <c r="G303" t="n">
        <v>16.7</v>
      </c>
      <c r="H303" t="n">
        <v>0</v>
      </c>
      <c r="I303" t="n">
        <v>0</v>
      </c>
      <c r="J303" t="n">
        <v>0</v>
      </c>
      <c r="K303" t="n">
        <v>0</v>
      </c>
      <c r="L303" t="n">
        <v>0</v>
      </c>
      <c r="M303" t="n">
        <v>0</v>
      </c>
      <c r="N303" t="n">
        <v>0</v>
      </c>
      <c r="O303" t="n">
        <v>0</v>
      </c>
      <c r="P303" t="n">
        <v>0</v>
      </c>
      <c r="Q303" t="n">
        <v>0</v>
      </c>
      <c r="R303" s="2" t="inlineStr"/>
    </row>
    <row r="304" ht="15" customHeight="1">
      <c r="A304" t="inlineStr">
        <is>
          <t>A 11845-2025</t>
        </is>
      </c>
      <c r="B304" s="1" t="n">
        <v>45727</v>
      </c>
      <c r="C304" s="1" t="n">
        <v>45887</v>
      </c>
      <c r="D304" t="inlineStr">
        <is>
          <t>NORRBOTTENS LÄN</t>
        </is>
      </c>
      <c r="E304" t="inlineStr">
        <is>
          <t>LULEÅ</t>
        </is>
      </c>
      <c r="G304" t="n">
        <v>9.6</v>
      </c>
      <c r="H304" t="n">
        <v>0</v>
      </c>
      <c r="I304" t="n">
        <v>0</v>
      </c>
      <c r="J304" t="n">
        <v>0</v>
      </c>
      <c r="K304" t="n">
        <v>0</v>
      </c>
      <c r="L304" t="n">
        <v>0</v>
      </c>
      <c r="M304" t="n">
        <v>0</v>
      </c>
      <c r="N304" t="n">
        <v>0</v>
      </c>
      <c r="O304" t="n">
        <v>0</v>
      </c>
      <c r="P304" t="n">
        <v>0</v>
      </c>
      <c r="Q304" t="n">
        <v>0</v>
      </c>
      <c r="R304" s="2" t="inlineStr"/>
    </row>
    <row r="305" ht="15" customHeight="1">
      <c r="A305" t="inlineStr">
        <is>
          <t>A 35685-2025</t>
        </is>
      </c>
      <c r="B305" s="1" t="n">
        <v>45859.921875</v>
      </c>
      <c r="C305" s="1" t="n">
        <v>45887</v>
      </c>
      <c r="D305" t="inlineStr">
        <is>
          <t>NORRBOTTENS LÄN</t>
        </is>
      </c>
      <c r="E305" t="inlineStr">
        <is>
          <t>LULEÅ</t>
        </is>
      </c>
      <c r="G305" t="n">
        <v>4.7</v>
      </c>
      <c r="H305" t="n">
        <v>0</v>
      </c>
      <c r="I305" t="n">
        <v>0</v>
      </c>
      <c r="J305" t="n">
        <v>0</v>
      </c>
      <c r="K305" t="n">
        <v>0</v>
      </c>
      <c r="L305" t="n">
        <v>0</v>
      </c>
      <c r="M305" t="n">
        <v>0</v>
      </c>
      <c r="N305" t="n">
        <v>0</v>
      </c>
      <c r="O305" t="n">
        <v>0</v>
      </c>
      <c r="P305" t="n">
        <v>0</v>
      </c>
      <c r="Q305" t="n">
        <v>0</v>
      </c>
      <c r="R305" s="2" t="inlineStr"/>
    </row>
    <row r="306" ht="15" customHeight="1">
      <c r="A306" t="inlineStr">
        <is>
          <t>A 35686-2025</t>
        </is>
      </c>
      <c r="B306" s="1" t="n">
        <v>45859.92579861111</v>
      </c>
      <c r="C306" s="1" t="n">
        <v>45887</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58469-2024</t>
        </is>
      </c>
      <c r="B307" s="1" t="n">
        <v>45632</v>
      </c>
      <c r="C307" s="1" t="n">
        <v>45887</v>
      </c>
      <c r="D307" t="inlineStr">
        <is>
          <t>NORRBOTTENS LÄN</t>
        </is>
      </c>
      <c r="E307" t="inlineStr">
        <is>
          <t>LULEÅ</t>
        </is>
      </c>
      <c r="G307" t="n">
        <v>9</v>
      </c>
      <c r="H307" t="n">
        <v>0</v>
      </c>
      <c r="I307" t="n">
        <v>0</v>
      </c>
      <c r="J307" t="n">
        <v>0</v>
      </c>
      <c r="K307" t="n">
        <v>0</v>
      </c>
      <c r="L307" t="n">
        <v>0</v>
      </c>
      <c r="M307" t="n">
        <v>0</v>
      </c>
      <c r="N307" t="n">
        <v>0</v>
      </c>
      <c r="O307" t="n">
        <v>0</v>
      </c>
      <c r="P307" t="n">
        <v>0</v>
      </c>
      <c r="Q307" t="n">
        <v>0</v>
      </c>
      <c r="R307" s="2" t="inlineStr"/>
    </row>
    <row r="308" ht="15" customHeight="1">
      <c r="A308" t="inlineStr">
        <is>
          <t>A 705-2025</t>
        </is>
      </c>
      <c r="B308" s="1" t="n">
        <v>45663</v>
      </c>
      <c r="C308" s="1" t="n">
        <v>45887</v>
      </c>
      <c r="D308" t="inlineStr">
        <is>
          <t>NORRBOTTENS LÄN</t>
        </is>
      </c>
      <c r="E308" t="inlineStr">
        <is>
          <t>LULEÅ</t>
        </is>
      </c>
      <c r="G308" t="n">
        <v>1.6</v>
      </c>
      <c r="H308" t="n">
        <v>0</v>
      </c>
      <c r="I308" t="n">
        <v>0</v>
      </c>
      <c r="J308" t="n">
        <v>0</v>
      </c>
      <c r="K308" t="n">
        <v>0</v>
      </c>
      <c r="L308" t="n">
        <v>0</v>
      </c>
      <c r="M308" t="n">
        <v>0</v>
      </c>
      <c r="N308" t="n">
        <v>0</v>
      </c>
      <c r="O308" t="n">
        <v>0</v>
      </c>
      <c r="P308" t="n">
        <v>0</v>
      </c>
      <c r="Q308" t="n">
        <v>0</v>
      </c>
      <c r="R308" s="2" t="inlineStr"/>
    </row>
    <row r="309" ht="15" customHeight="1">
      <c r="A309" t="inlineStr">
        <is>
          <t>A 35595-2025</t>
        </is>
      </c>
      <c r="B309" s="1" t="n">
        <v>45858.32641203704</v>
      </c>
      <c r="C309" s="1" t="n">
        <v>45887</v>
      </c>
      <c r="D309" t="inlineStr">
        <is>
          <t>NORRBOTTENS LÄN</t>
        </is>
      </c>
      <c r="E309" t="inlineStr">
        <is>
          <t>LULEÅ</t>
        </is>
      </c>
      <c r="G309" t="n">
        <v>13.1</v>
      </c>
      <c r="H309" t="n">
        <v>0</v>
      </c>
      <c r="I309" t="n">
        <v>0</v>
      </c>
      <c r="J309" t="n">
        <v>0</v>
      </c>
      <c r="K309" t="n">
        <v>0</v>
      </c>
      <c r="L309" t="n">
        <v>0</v>
      </c>
      <c r="M309" t="n">
        <v>0</v>
      </c>
      <c r="N309" t="n">
        <v>0</v>
      </c>
      <c r="O309" t="n">
        <v>0</v>
      </c>
      <c r="P309" t="n">
        <v>0</v>
      </c>
      <c r="Q309" t="n">
        <v>0</v>
      </c>
      <c r="R309" s="2" t="inlineStr"/>
    </row>
    <row r="310" ht="15" customHeight="1">
      <c r="A310" t="inlineStr">
        <is>
          <t>A 17899-2025</t>
        </is>
      </c>
      <c r="B310" s="1" t="n">
        <v>45758.69832175926</v>
      </c>
      <c r="C310" s="1" t="n">
        <v>45887</v>
      </c>
      <c r="D310" t="inlineStr">
        <is>
          <t>NORRBOTTENS LÄN</t>
        </is>
      </c>
      <c r="E310" t="inlineStr">
        <is>
          <t>LULEÅ</t>
        </is>
      </c>
      <c r="G310" t="n">
        <v>3.1</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45887</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42133-2021</t>
        </is>
      </c>
      <c r="B312" s="1" t="n">
        <v>44426</v>
      </c>
      <c r="C312" s="1" t="n">
        <v>45887</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48379-2022</t>
        </is>
      </c>
      <c r="B313" s="1" t="n">
        <v>44854</v>
      </c>
      <c r="C313" s="1" t="n">
        <v>45887</v>
      </c>
      <c r="D313" t="inlineStr">
        <is>
          <t>NORRBOTTENS LÄN</t>
        </is>
      </c>
      <c r="E313" t="inlineStr">
        <is>
          <t>LULEÅ</t>
        </is>
      </c>
      <c r="G313" t="n">
        <v>2.1</v>
      </c>
      <c r="H313" t="n">
        <v>0</v>
      </c>
      <c r="I313" t="n">
        <v>0</v>
      </c>
      <c r="J313" t="n">
        <v>0</v>
      </c>
      <c r="K313" t="n">
        <v>0</v>
      </c>
      <c r="L313" t="n">
        <v>0</v>
      </c>
      <c r="M313" t="n">
        <v>0</v>
      </c>
      <c r="N313" t="n">
        <v>0</v>
      </c>
      <c r="O313" t="n">
        <v>0</v>
      </c>
      <c r="P313" t="n">
        <v>0</v>
      </c>
      <c r="Q313" t="n">
        <v>0</v>
      </c>
      <c r="R313" s="2" t="inlineStr"/>
    </row>
    <row r="314" ht="15" customHeight="1">
      <c r="A314" t="inlineStr">
        <is>
          <t>A 49401-2022</t>
        </is>
      </c>
      <c r="B314" s="1" t="n">
        <v>44861</v>
      </c>
      <c r="C314" s="1" t="n">
        <v>45887</v>
      </c>
      <c r="D314" t="inlineStr">
        <is>
          <t>NORRBOTTENS LÄN</t>
        </is>
      </c>
      <c r="E314" t="inlineStr">
        <is>
          <t>LULEÅ</t>
        </is>
      </c>
      <c r="G314" t="n">
        <v>8.4</v>
      </c>
      <c r="H314" t="n">
        <v>0</v>
      </c>
      <c r="I314" t="n">
        <v>0</v>
      </c>
      <c r="J314" t="n">
        <v>0</v>
      </c>
      <c r="K314" t="n">
        <v>0</v>
      </c>
      <c r="L314" t="n">
        <v>0</v>
      </c>
      <c r="M314" t="n">
        <v>0</v>
      </c>
      <c r="N314" t="n">
        <v>0</v>
      </c>
      <c r="O314" t="n">
        <v>0</v>
      </c>
      <c r="P314" t="n">
        <v>0</v>
      </c>
      <c r="Q314" t="n">
        <v>0</v>
      </c>
      <c r="R314" s="2" t="inlineStr"/>
    </row>
    <row r="315" ht="15" customHeight="1">
      <c r="A315" t="inlineStr">
        <is>
          <t>A 60585-2024</t>
        </is>
      </c>
      <c r="B315" s="1" t="n">
        <v>45644</v>
      </c>
      <c r="C315" s="1" t="n">
        <v>45887</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4237-2025</t>
        </is>
      </c>
      <c r="B316" s="1" t="n">
        <v>45685</v>
      </c>
      <c r="C316" s="1" t="n">
        <v>45887</v>
      </c>
      <c r="D316" t="inlineStr">
        <is>
          <t>NORRBOTTENS LÄN</t>
        </is>
      </c>
      <c r="E316" t="inlineStr">
        <is>
          <t>LULEÅ</t>
        </is>
      </c>
      <c r="G316" t="n">
        <v>4.9</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45887</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35902-2025</t>
        </is>
      </c>
      <c r="B318" s="1" t="n">
        <v>45862.48990740741</v>
      </c>
      <c r="C318" s="1" t="n">
        <v>45887</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47246-2022</t>
        </is>
      </c>
      <c r="B319" s="1" t="n">
        <v>44852</v>
      </c>
      <c r="C319" s="1" t="n">
        <v>45887</v>
      </c>
      <c r="D319" t="inlineStr">
        <is>
          <t>NORRBOTTENS LÄN</t>
        </is>
      </c>
      <c r="E319" t="inlineStr">
        <is>
          <t>LULEÅ</t>
        </is>
      </c>
      <c r="G319" t="n">
        <v>2.9</v>
      </c>
      <c r="H319" t="n">
        <v>0</v>
      </c>
      <c r="I319" t="n">
        <v>0</v>
      </c>
      <c r="J319" t="n">
        <v>0</v>
      </c>
      <c r="K319" t="n">
        <v>0</v>
      </c>
      <c r="L319" t="n">
        <v>0</v>
      </c>
      <c r="M319" t="n">
        <v>0</v>
      </c>
      <c r="N319" t="n">
        <v>0</v>
      </c>
      <c r="O319" t="n">
        <v>0</v>
      </c>
      <c r="P319" t="n">
        <v>0</v>
      </c>
      <c r="Q319" t="n">
        <v>0</v>
      </c>
      <c r="R319" s="2" t="inlineStr"/>
    </row>
    <row r="320" ht="15" customHeight="1">
      <c r="A320" t="inlineStr">
        <is>
          <t>A 35912-2025</t>
        </is>
      </c>
      <c r="B320" s="1" t="n">
        <v>45862.53150462963</v>
      </c>
      <c r="C320" s="1" t="n">
        <v>45887</v>
      </c>
      <c r="D320" t="inlineStr">
        <is>
          <t>NORRBOTTENS LÄN</t>
        </is>
      </c>
      <c r="E320" t="inlineStr">
        <is>
          <t>LULEÅ</t>
        </is>
      </c>
      <c r="G320" t="n">
        <v>5.5</v>
      </c>
      <c r="H320" t="n">
        <v>0</v>
      </c>
      <c r="I320" t="n">
        <v>0</v>
      </c>
      <c r="J320" t="n">
        <v>0</v>
      </c>
      <c r="K320" t="n">
        <v>0</v>
      </c>
      <c r="L320" t="n">
        <v>0</v>
      </c>
      <c r="M320" t="n">
        <v>0</v>
      </c>
      <c r="N320" t="n">
        <v>0</v>
      </c>
      <c r="O320" t="n">
        <v>0</v>
      </c>
      <c r="P320" t="n">
        <v>0</v>
      </c>
      <c r="Q320" t="n">
        <v>0</v>
      </c>
      <c r="R320" s="2" t="inlineStr"/>
    </row>
    <row r="321" ht="15" customHeight="1">
      <c r="A321" t="inlineStr">
        <is>
          <t>A 27305-2022</t>
        </is>
      </c>
      <c r="B321" s="1" t="n">
        <v>44741</v>
      </c>
      <c r="C321" s="1" t="n">
        <v>45887</v>
      </c>
      <c r="D321" t="inlineStr">
        <is>
          <t>NORRBOTTENS LÄN</t>
        </is>
      </c>
      <c r="E321" t="inlineStr">
        <is>
          <t>LULEÅ</t>
        </is>
      </c>
      <c r="G321" t="n">
        <v>1.4</v>
      </c>
      <c r="H321" t="n">
        <v>0</v>
      </c>
      <c r="I321" t="n">
        <v>0</v>
      </c>
      <c r="J321" t="n">
        <v>0</v>
      </c>
      <c r="K321" t="n">
        <v>0</v>
      </c>
      <c r="L321" t="n">
        <v>0</v>
      </c>
      <c r="M321" t="n">
        <v>0</v>
      </c>
      <c r="N321" t="n">
        <v>0</v>
      </c>
      <c r="O321" t="n">
        <v>0</v>
      </c>
      <c r="P321" t="n">
        <v>0</v>
      </c>
      <c r="Q321" t="n">
        <v>0</v>
      </c>
      <c r="R321" s="2" t="inlineStr"/>
    </row>
    <row r="322" ht="15" customHeight="1">
      <c r="A322" t="inlineStr">
        <is>
          <t>A 19526-2025</t>
        </is>
      </c>
      <c r="B322" s="1" t="n">
        <v>45770.46388888889</v>
      </c>
      <c r="C322" s="1" t="n">
        <v>45887</v>
      </c>
      <c r="D322" t="inlineStr">
        <is>
          <t>NORRBOTTENS LÄN</t>
        </is>
      </c>
      <c r="E322" t="inlineStr">
        <is>
          <t>LULEÅ</t>
        </is>
      </c>
      <c r="G322" t="n">
        <v>10.6</v>
      </c>
      <c r="H322" t="n">
        <v>0</v>
      </c>
      <c r="I322" t="n">
        <v>0</v>
      </c>
      <c r="J322" t="n">
        <v>0</v>
      </c>
      <c r="K322" t="n">
        <v>0</v>
      </c>
      <c r="L322" t="n">
        <v>0</v>
      </c>
      <c r="M322" t="n">
        <v>0</v>
      </c>
      <c r="N322" t="n">
        <v>0</v>
      </c>
      <c r="O322" t="n">
        <v>0</v>
      </c>
      <c r="P322" t="n">
        <v>0</v>
      </c>
      <c r="Q322" t="n">
        <v>0</v>
      </c>
      <c r="R322" s="2" t="inlineStr"/>
    </row>
    <row r="323" ht="15" customHeight="1">
      <c r="A323" t="inlineStr">
        <is>
          <t>A 48409-2023</t>
        </is>
      </c>
      <c r="B323" s="1" t="n">
        <v>45205</v>
      </c>
      <c r="C323" s="1" t="n">
        <v>45887</v>
      </c>
      <c r="D323" t="inlineStr">
        <is>
          <t>NORRBOTTENS LÄN</t>
        </is>
      </c>
      <c r="E323" t="inlineStr">
        <is>
          <t>LULEÅ</t>
        </is>
      </c>
      <c r="G323" t="n">
        <v>7.9</v>
      </c>
      <c r="H323" t="n">
        <v>0</v>
      </c>
      <c r="I323" t="n">
        <v>0</v>
      </c>
      <c r="J323" t="n">
        <v>0</v>
      </c>
      <c r="K323" t="n">
        <v>0</v>
      </c>
      <c r="L323" t="n">
        <v>0</v>
      </c>
      <c r="M323" t="n">
        <v>0</v>
      </c>
      <c r="N323" t="n">
        <v>0</v>
      </c>
      <c r="O323" t="n">
        <v>0</v>
      </c>
      <c r="P323" t="n">
        <v>0</v>
      </c>
      <c r="Q323" t="n">
        <v>0</v>
      </c>
      <c r="R323" s="2" t="inlineStr"/>
    </row>
    <row r="324" ht="15" customHeight="1">
      <c r="A324" t="inlineStr">
        <is>
          <t>A 48410-2023</t>
        </is>
      </c>
      <c r="B324" s="1" t="n">
        <v>45205</v>
      </c>
      <c r="C324" s="1" t="n">
        <v>45887</v>
      </c>
      <c r="D324" t="inlineStr">
        <is>
          <t>NORRBOTTENS LÄN</t>
        </is>
      </c>
      <c r="E324" t="inlineStr">
        <is>
          <t>LULEÅ</t>
        </is>
      </c>
      <c r="G324" t="n">
        <v>6.7</v>
      </c>
      <c r="H324" t="n">
        <v>0</v>
      </c>
      <c r="I324" t="n">
        <v>0</v>
      </c>
      <c r="J324" t="n">
        <v>0</v>
      </c>
      <c r="K324" t="n">
        <v>0</v>
      </c>
      <c r="L324" t="n">
        <v>0</v>
      </c>
      <c r="M324" t="n">
        <v>0</v>
      </c>
      <c r="N324" t="n">
        <v>0</v>
      </c>
      <c r="O324" t="n">
        <v>0</v>
      </c>
      <c r="P324" t="n">
        <v>0</v>
      </c>
      <c r="Q324" t="n">
        <v>0</v>
      </c>
      <c r="R324" s="2" t="inlineStr"/>
    </row>
    <row r="325" ht="15" customHeight="1">
      <c r="A325" t="inlineStr">
        <is>
          <t>A 9250-2025</t>
        </is>
      </c>
      <c r="B325" s="1" t="n">
        <v>45714</v>
      </c>
      <c r="C325" s="1" t="n">
        <v>45887</v>
      </c>
      <c r="D325" t="inlineStr">
        <is>
          <t>NORRBOTTENS LÄN</t>
        </is>
      </c>
      <c r="E325" t="inlineStr">
        <is>
          <t>LULEÅ</t>
        </is>
      </c>
      <c r="G325" t="n">
        <v>2.1</v>
      </c>
      <c r="H325" t="n">
        <v>0</v>
      </c>
      <c r="I325" t="n">
        <v>0</v>
      </c>
      <c r="J325" t="n">
        <v>0</v>
      </c>
      <c r="K325" t="n">
        <v>0</v>
      </c>
      <c r="L325" t="n">
        <v>0</v>
      </c>
      <c r="M325" t="n">
        <v>0</v>
      </c>
      <c r="N325" t="n">
        <v>0</v>
      </c>
      <c r="O325" t="n">
        <v>0</v>
      </c>
      <c r="P325" t="n">
        <v>0</v>
      </c>
      <c r="Q325" t="n">
        <v>0</v>
      </c>
      <c r="R325" s="2" t="inlineStr"/>
    </row>
    <row r="326" ht="15" customHeight="1">
      <c r="A326" t="inlineStr">
        <is>
          <t>A 10183-2025</t>
        </is>
      </c>
      <c r="B326" s="1" t="n">
        <v>45719</v>
      </c>
      <c r="C326" s="1" t="n">
        <v>45887</v>
      </c>
      <c r="D326" t="inlineStr">
        <is>
          <t>NORRBOTTENS LÄN</t>
        </is>
      </c>
      <c r="E326" t="inlineStr">
        <is>
          <t>LULEÅ</t>
        </is>
      </c>
      <c r="G326" t="n">
        <v>2.4</v>
      </c>
      <c r="H326" t="n">
        <v>0</v>
      </c>
      <c r="I326" t="n">
        <v>0</v>
      </c>
      <c r="J326" t="n">
        <v>0</v>
      </c>
      <c r="K326" t="n">
        <v>0</v>
      </c>
      <c r="L326" t="n">
        <v>0</v>
      </c>
      <c r="M326" t="n">
        <v>0</v>
      </c>
      <c r="N326" t="n">
        <v>0</v>
      </c>
      <c r="O326" t="n">
        <v>0</v>
      </c>
      <c r="P326" t="n">
        <v>0</v>
      </c>
      <c r="Q326" t="n">
        <v>0</v>
      </c>
      <c r="R326" s="2" t="inlineStr"/>
    </row>
    <row r="327" ht="15" customHeight="1">
      <c r="A327" t="inlineStr">
        <is>
          <t>A 29417-2025</t>
        </is>
      </c>
      <c r="B327" s="1" t="n">
        <v>45824.63576388889</v>
      </c>
      <c r="C327" s="1" t="n">
        <v>45887</v>
      </c>
      <c r="D327" t="inlineStr">
        <is>
          <t>NORRBOTTENS LÄN</t>
        </is>
      </c>
      <c r="E327" t="inlineStr">
        <is>
          <t>LULEÅ</t>
        </is>
      </c>
      <c r="G327" t="n">
        <v>1.9</v>
      </c>
      <c r="H327" t="n">
        <v>0</v>
      </c>
      <c r="I327" t="n">
        <v>0</v>
      </c>
      <c r="J327" t="n">
        <v>0</v>
      </c>
      <c r="K327" t="n">
        <v>0</v>
      </c>
      <c r="L327" t="n">
        <v>0</v>
      </c>
      <c r="M327" t="n">
        <v>0</v>
      </c>
      <c r="N327" t="n">
        <v>0</v>
      </c>
      <c r="O327" t="n">
        <v>0</v>
      </c>
      <c r="P327" t="n">
        <v>0</v>
      </c>
      <c r="Q327" t="n">
        <v>0</v>
      </c>
      <c r="R327" s="2" t="inlineStr"/>
    </row>
    <row r="328" ht="15" customHeight="1">
      <c r="A328" t="inlineStr">
        <is>
          <t>A 29375-2025</t>
        </is>
      </c>
      <c r="B328" s="1" t="n">
        <v>45824.58546296296</v>
      </c>
      <c r="C328" s="1" t="n">
        <v>45887</v>
      </c>
      <c r="D328" t="inlineStr">
        <is>
          <t>NORRBOTTENS LÄN</t>
        </is>
      </c>
      <c r="E328" t="inlineStr">
        <is>
          <t>LULEÅ</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29332-2025</t>
        </is>
      </c>
      <c r="B329" s="1" t="n">
        <v>45824</v>
      </c>
      <c r="C329" s="1" t="n">
        <v>45887</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26267-2022</t>
        </is>
      </c>
      <c r="B330" s="1" t="n">
        <v>44735.5158912037</v>
      </c>
      <c r="C330" s="1" t="n">
        <v>45887</v>
      </c>
      <c r="D330" t="inlineStr">
        <is>
          <t>NORRBOTTENS LÄN</t>
        </is>
      </c>
      <c r="E330" t="inlineStr">
        <is>
          <t>LULEÅ</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30080-2025</t>
        </is>
      </c>
      <c r="B331" s="1" t="n">
        <v>45826.65047453704</v>
      </c>
      <c r="C331" s="1" t="n">
        <v>45887</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63801-2023</t>
        </is>
      </c>
      <c r="B332" s="1" t="n">
        <v>45278.42126157408</v>
      </c>
      <c r="C332" s="1" t="n">
        <v>45887</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40697-2024</t>
        </is>
      </c>
      <c r="B333" s="1" t="n">
        <v>45558.41288194444</v>
      </c>
      <c r="C333" s="1" t="n">
        <v>45887</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57816-2022</t>
        </is>
      </c>
      <c r="B334" s="1" t="n">
        <v>44897.92487268519</v>
      </c>
      <c r="C334" s="1" t="n">
        <v>45887</v>
      </c>
      <c r="D334" t="inlineStr">
        <is>
          <t>NORRBOTTENS LÄN</t>
        </is>
      </c>
      <c r="E334" t="inlineStr">
        <is>
          <t>LULEÅ</t>
        </is>
      </c>
      <c r="G334" t="n">
        <v>3.4</v>
      </c>
      <c r="H334" t="n">
        <v>0</v>
      </c>
      <c r="I334" t="n">
        <v>0</v>
      </c>
      <c r="J334" t="n">
        <v>0</v>
      </c>
      <c r="K334" t="n">
        <v>0</v>
      </c>
      <c r="L334" t="n">
        <v>0</v>
      </c>
      <c r="M334" t="n">
        <v>0</v>
      </c>
      <c r="N334" t="n">
        <v>0</v>
      </c>
      <c r="O334" t="n">
        <v>0</v>
      </c>
      <c r="P334" t="n">
        <v>0</v>
      </c>
      <c r="Q334" t="n">
        <v>0</v>
      </c>
      <c r="R334" s="2" t="inlineStr"/>
    </row>
    <row r="335" ht="15" customHeight="1">
      <c r="A335" t="inlineStr">
        <is>
          <t>A 57821-2022</t>
        </is>
      </c>
      <c r="B335" s="1" t="n">
        <v>44897</v>
      </c>
      <c r="C335" s="1" t="n">
        <v>45887</v>
      </c>
      <c r="D335" t="inlineStr">
        <is>
          <t>NORRBOTTENS LÄN</t>
        </is>
      </c>
      <c r="E335" t="inlineStr">
        <is>
          <t>LULEÅ</t>
        </is>
      </c>
      <c r="G335" t="n">
        <v>8.6</v>
      </c>
      <c r="H335" t="n">
        <v>0</v>
      </c>
      <c r="I335" t="n">
        <v>0</v>
      </c>
      <c r="J335" t="n">
        <v>0</v>
      </c>
      <c r="K335" t="n">
        <v>0</v>
      </c>
      <c r="L335" t="n">
        <v>0</v>
      </c>
      <c r="M335" t="n">
        <v>0</v>
      </c>
      <c r="N335" t="n">
        <v>0</v>
      </c>
      <c r="O335" t="n">
        <v>0</v>
      </c>
      <c r="P335" t="n">
        <v>0</v>
      </c>
      <c r="Q335" t="n">
        <v>0</v>
      </c>
      <c r="R335" s="2" t="inlineStr"/>
    </row>
    <row r="336" ht="15" customHeight="1">
      <c r="A336" t="inlineStr">
        <is>
          <t>A 30059-2025</t>
        </is>
      </c>
      <c r="B336" s="1" t="n">
        <v>45826.61388888889</v>
      </c>
      <c r="C336" s="1" t="n">
        <v>45887</v>
      </c>
      <c r="D336" t="inlineStr">
        <is>
          <t>NORRBOTTENS LÄN</t>
        </is>
      </c>
      <c r="E336" t="inlineStr">
        <is>
          <t>LULEÅ</t>
        </is>
      </c>
      <c r="G336" t="n">
        <v>1.2</v>
      </c>
      <c r="H336" t="n">
        <v>0</v>
      </c>
      <c r="I336" t="n">
        <v>0</v>
      </c>
      <c r="J336" t="n">
        <v>0</v>
      </c>
      <c r="K336" t="n">
        <v>0</v>
      </c>
      <c r="L336" t="n">
        <v>0</v>
      </c>
      <c r="M336" t="n">
        <v>0</v>
      </c>
      <c r="N336" t="n">
        <v>0</v>
      </c>
      <c r="O336" t="n">
        <v>0</v>
      </c>
      <c r="P336" t="n">
        <v>0</v>
      </c>
      <c r="Q336" t="n">
        <v>0</v>
      </c>
      <c r="R336" s="2" t="inlineStr"/>
    </row>
    <row r="337" ht="15" customHeight="1">
      <c r="A337" t="inlineStr">
        <is>
          <t>A 30065-2025</t>
        </is>
      </c>
      <c r="B337" s="1" t="n">
        <v>45826.6207175926</v>
      </c>
      <c r="C337" s="1" t="n">
        <v>45887</v>
      </c>
      <c r="D337" t="inlineStr">
        <is>
          <t>NORRBOTTENS LÄN</t>
        </is>
      </c>
      <c r="E337" t="inlineStr">
        <is>
          <t>LULEÅ</t>
        </is>
      </c>
      <c r="G337" t="n">
        <v>4</v>
      </c>
      <c r="H337" t="n">
        <v>0</v>
      </c>
      <c r="I337" t="n">
        <v>0</v>
      </c>
      <c r="J337" t="n">
        <v>0</v>
      </c>
      <c r="K337" t="n">
        <v>0</v>
      </c>
      <c r="L337" t="n">
        <v>0</v>
      </c>
      <c r="M337" t="n">
        <v>0</v>
      </c>
      <c r="N337" t="n">
        <v>0</v>
      </c>
      <c r="O337" t="n">
        <v>0</v>
      </c>
      <c r="P337" t="n">
        <v>0</v>
      </c>
      <c r="Q337" t="n">
        <v>0</v>
      </c>
      <c r="R337" s="2" t="inlineStr"/>
    </row>
    <row r="338" ht="15" customHeight="1">
      <c r="A338" t="inlineStr">
        <is>
          <t>A 29975-2025</t>
        </is>
      </c>
      <c r="B338" s="1" t="n">
        <v>45826</v>
      </c>
      <c r="C338" s="1" t="n">
        <v>45887</v>
      </c>
      <c r="D338" t="inlineStr">
        <is>
          <t>NORRBOTTENS LÄN</t>
        </is>
      </c>
      <c r="E338" t="inlineStr">
        <is>
          <t>LULEÅ</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29896-2025</t>
        </is>
      </c>
      <c r="B339" s="1" t="n">
        <v>45826.38290509259</v>
      </c>
      <c r="C339" s="1" t="n">
        <v>45887</v>
      </c>
      <c r="D339" t="inlineStr">
        <is>
          <t>NORRBOTTENS LÄN</t>
        </is>
      </c>
      <c r="E339" t="inlineStr">
        <is>
          <t>LULEÅ</t>
        </is>
      </c>
      <c r="G339" t="n">
        <v>17.9</v>
      </c>
      <c r="H339" t="n">
        <v>0</v>
      </c>
      <c r="I339" t="n">
        <v>0</v>
      </c>
      <c r="J339" t="n">
        <v>0</v>
      </c>
      <c r="K339" t="n">
        <v>0</v>
      </c>
      <c r="L339" t="n">
        <v>0</v>
      </c>
      <c r="M339" t="n">
        <v>0</v>
      </c>
      <c r="N339" t="n">
        <v>0</v>
      </c>
      <c r="O339" t="n">
        <v>0</v>
      </c>
      <c r="P339" t="n">
        <v>0</v>
      </c>
      <c r="Q339" t="n">
        <v>0</v>
      </c>
      <c r="R339" s="2" t="inlineStr"/>
    </row>
    <row r="340" ht="15" customHeight="1">
      <c r="A340" t="inlineStr">
        <is>
          <t>A 30035-2025</t>
        </is>
      </c>
      <c r="B340" s="1" t="n">
        <v>45826.57041666667</v>
      </c>
      <c r="C340" s="1" t="n">
        <v>45887</v>
      </c>
      <c r="D340" t="inlineStr">
        <is>
          <t>NORRBOTTENS LÄN</t>
        </is>
      </c>
      <c r="E340" t="inlineStr">
        <is>
          <t>LULEÅ</t>
        </is>
      </c>
      <c r="G340" t="n">
        <v>16.6</v>
      </c>
      <c r="H340" t="n">
        <v>0</v>
      </c>
      <c r="I340" t="n">
        <v>0</v>
      </c>
      <c r="J340" t="n">
        <v>0</v>
      </c>
      <c r="K340" t="n">
        <v>0</v>
      </c>
      <c r="L340" t="n">
        <v>0</v>
      </c>
      <c r="M340" t="n">
        <v>0</v>
      </c>
      <c r="N340" t="n">
        <v>0</v>
      </c>
      <c r="O340" t="n">
        <v>0</v>
      </c>
      <c r="P340" t="n">
        <v>0</v>
      </c>
      <c r="Q340" t="n">
        <v>0</v>
      </c>
      <c r="R340" s="2" t="inlineStr"/>
    </row>
    <row r="341" ht="15" customHeight="1">
      <c r="A341" t="inlineStr">
        <is>
          <t>A 30048-2025</t>
        </is>
      </c>
      <c r="B341" s="1" t="n">
        <v>45826.58424768518</v>
      </c>
      <c r="C341" s="1" t="n">
        <v>45887</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30052-2025</t>
        </is>
      </c>
      <c r="B342" s="1" t="n">
        <v>45826.59502314815</v>
      </c>
      <c r="C342" s="1" t="n">
        <v>45887</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5688-2023</t>
        </is>
      </c>
      <c r="B343" s="1" t="n">
        <v>44960.92371527778</v>
      </c>
      <c r="C343" s="1" t="n">
        <v>45887</v>
      </c>
      <c r="D343" t="inlineStr">
        <is>
          <t>NORRBOTTENS LÄN</t>
        </is>
      </c>
      <c r="E343" t="inlineStr">
        <is>
          <t>LULEÅ</t>
        </is>
      </c>
      <c r="G343" t="n">
        <v>5.9</v>
      </c>
      <c r="H343" t="n">
        <v>0</v>
      </c>
      <c r="I343" t="n">
        <v>0</v>
      </c>
      <c r="J343" t="n">
        <v>0</v>
      </c>
      <c r="K343" t="n">
        <v>0</v>
      </c>
      <c r="L343" t="n">
        <v>0</v>
      </c>
      <c r="M343" t="n">
        <v>0</v>
      </c>
      <c r="N343" t="n">
        <v>0</v>
      </c>
      <c r="O343" t="n">
        <v>0</v>
      </c>
      <c r="P343" t="n">
        <v>0</v>
      </c>
      <c r="Q343" t="n">
        <v>0</v>
      </c>
      <c r="R343" s="2" t="inlineStr"/>
    </row>
    <row r="344" ht="15" customHeight="1">
      <c r="A344" t="inlineStr">
        <is>
          <t>A 30056-2025</t>
        </is>
      </c>
      <c r="B344" s="1" t="n">
        <v>45826.6047800926</v>
      </c>
      <c r="C344" s="1" t="n">
        <v>45887</v>
      </c>
      <c r="D344" t="inlineStr">
        <is>
          <t>NORRBOTTENS LÄN</t>
        </is>
      </c>
      <c r="E344" t="inlineStr">
        <is>
          <t>LULEÅ</t>
        </is>
      </c>
      <c r="G344" t="n">
        <v>3.6</v>
      </c>
      <c r="H344" t="n">
        <v>0</v>
      </c>
      <c r="I344" t="n">
        <v>0</v>
      </c>
      <c r="J344" t="n">
        <v>0</v>
      </c>
      <c r="K344" t="n">
        <v>0</v>
      </c>
      <c r="L344" t="n">
        <v>0</v>
      </c>
      <c r="M344" t="n">
        <v>0</v>
      </c>
      <c r="N344" t="n">
        <v>0</v>
      </c>
      <c r="O344" t="n">
        <v>0</v>
      </c>
      <c r="P344" t="n">
        <v>0</v>
      </c>
      <c r="Q344" t="n">
        <v>0</v>
      </c>
      <c r="R344" s="2" t="inlineStr"/>
    </row>
    <row r="345" ht="15" customHeight="1">
      <c r="A345" t="inlineStr">
        <is>
          <t>A 29530-2025</t>
        </is>
      </c>
      <c r="B345" s="1" t="n">
        <v>45825.3443287037</v>
      </c>
      <c r="C345" s="1" t="n">
        <v>45887</v>
      </c>
      <c r="D345" t="inlineStr">
        <is>
          <t>NORRBOTTENS LÄN</t>
        </is>
      </c>
      <c r="E345" t="inlineStr">
        <is>
          <t>LULEÅ</t>
        </is>
      </c>
      <c r="F345" t="inlineStr">
        <is>
          <t>SCA</t>
        </is>
      </c>
      <c r="G345" t="n">
        <v>17.5</v>
      </c>
      <c r="H345" t="n">
        <v>0</v>
      </c>
      <c r="I345" t="n">
        <v>0</v>
      </c>
      <c r="J345" t="n">
        <v>0</v>
      </c>
      <c r="K345" t="n">
        <v>0</v>
      </c>
      <c r="L345" t="n">
        <v>0</v>
      </c>
      <c r="M345" t="n">
        <v>0</v>
      </c>
      <c r="N345" t="n">
        <v>0</v>
      </c>
      <c r="O345" t="n">
        <v>0</v>
      </c>
      <c r="P345" t="n">
        <v>0</v>
      </c>
      <c r="Q345" t="n">
        <v>0</v>
      </c>
      <c r="R345" s="2" t="inlineStr"/>
    </row>
    <row r="346" ht="15" customHeight="1">
      <c r="A346" t="inlineStr">
        <is>
          <t>A 16052-2025</t>
        </is>
      </c>
      <c r="B346" s="1" t="n">
        <v>45749.64261574074</v>
      </c>
      <c r="C346" s="1" t="n">
        <v>45887</v>
      </c>
      <c r="D346" t="inlineStr">
        <is>
          <t>NORRBOTTENS LÄN</t>
        </is>
      </c>
      <c r="E346" t="inlineStr">
        <is>
          <t>LULEÅ</t>
        </is>
      </c>
      <c r="G346" t="n">
        <v>4.3</v>
      </c>
      <c r="H346" t="n">
        <v>0</v>
      </c>
      <c r="I346" t="n">
        <v>0</v>
      </c>
      <c r="J346" t="n">
        <v>0</v>
      </c>
      <c r="K346" t="n">
        <v>0</v>
      </c>
      <c r="L346" t="n">
        <v>0</v>
      </c>
      <c r="M346" t="n">
        <v>0</v>
      </c>
      <c r="N346" t="n">
        <v>0</v>
      </c>
      <c r="O346" t="n">
        <v>0</v>
      </c>
      <c r="P346" t="n">
        <v>0</v>
      </c>
      <c r="Q346" t="n">
        <v>0</v>
      </c>
      <c r="R346" s="2" t="inlineStr"/>
    </row>
    <row r="347" ht="15" customHeight="1">
      <c r="A347" t="inlineStr">
        <is>
          <t>A 62697-2022</t>
        </is>
      </c>
      <c r="B347" s="1" t="n">
        <v>44917</v>
      </c>
      <c r="C347" s="1" t="n">
        <v>45887</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17290-2025</t>
        </is>
      </c>
      <c r="B348" s="1" t="n">
        <v>45756.58515046296</v>
      </c>
      <c r="C348" s="1" t="n">
        <v>45887</v>
      </c>
      <c r="D348" t="inlineStr">
        <is>
          <t>NORRBOTTENS LÄN</t>
        </is>
      </c>
      <c r="E348" t="inlineStr">
        <is>
          <t>LULEÅ</t>
        </is>
      </c>
      <c r="G348" t="n">
        <v>5.6</v>
      </c>
      <c r="H348" t="n">
        <v>0</v>
      </c>
      <c r="I348" t="n">
        <v>0</v>
      </c>
      <c r="J348" t="n">
        <v>0</v>
      </c>
      <c r="K348" t="n">
        <v>0</v>
      </c>
      <c r="L348" t="n">
        <v>0</v>
      </c>
      <c r="M348" t="n">
        <v>0</v>
      </c>
      <c r="N348" t="n">
        <v>0</v>
      </c>
      <c r="O348" t="n">
        <v>0</v>
      </c>
      <c r="P348" t="n">
        <v>0</v>
      </c>
      <c r="Q348" t="n">
        <v>0</v>
      </c>
      <c r="R348" s="2" t="inlineStr"/>
    </row>
    <row r="349" ht="15" customHeight="1">
      <c r="A349" t="inlineStr">
        <is>
          <t>A 30091-2025</t>
        </is>
      </c>
      <c r="B349" s="1" t="n">
        <v>45826</v>
      </c>
      <c r="C349" s="1" t="n">
        <v>45887</v>
      </c>
      <c r="D349" t="inlineStr">
        <is>
          <t>NORRBOTTENS LÄN</t>
        </is>
      </c>
      <c r="E349" t="inlineStr">
        <is>
          <t>LULEÅ</t>
        </is>
      </c>
      <c r="G349" t="n">
        <v>1.3</v>
      </c>
      <c r="H349" t="n">
        <v>0</v>
      </c>
      <c r="I349" t="n">
        <v>0</v>
      </c>
      <c r="J349" t="n">
        <v>0</v>
      </c>
      <c r="K349" t="n">
        <v>0</v>
      </c>
      <c r="L349" t="n">
        <v>0</v>
      </c>
      <c r="M349" t="n">
        <v>0</v>
      </c>
      <c r="N349" t="n">
        <v>0</v>
      </c>
      <c r="O349" t="n">
        <v>0</v>
      </c>
      <c r="P349" t="n">
        <v>0</v>
      </c>
      <c r="Q349" t="n">
        <v>0</v>
      </c>
      <c r="R349" s="2" t="inlineStr"/>
    </row>
    <row r="350" ht="15" customHeight="1">
      <c r="A350" t="inlineStr">
        <is>
          <t>A 11853-2025</t>
        </is>
      </c>
      <c r="B350" s="1" t="n">
        <v>45727</v>
      </c>
      <c r="C350" s="1" t="n">
        <v>45887</v>
      </c>
      <c r="D350" t="inlineStr">
        <is>
          <t>NORRBOTTENS LÄN</t>
        </is>
      </c>
      <c r="E350" t="inlineStr">
        <is>
          <t>LULEÅ</t>
        </is>
      </c>
      <c r="G350" t="n">
        <v>6</v>
      </c>
      <c r="H350" t="n">
        <v>0</v>
      </c>
      <c r="I350" t="n">
        <v>0</v>
      </c>
      <c r="J350" t="n">
        <v>0</v>
      </c>
      <c r="K350" t="n">
        <v>0</v>
      </c>
      <c r="L350" t="n">
        <v>0</v>
      </c>
      <c r="M350" t="n">
        <v>0</v>
      </c>
      <c r="N350" t="n">
        <v>0</v>
      </c>
      <c r="O350" t="n">
        <v>0</v>
      </c>
      <c r="P350" t="n">
        <v>0</v>
      </c>
      <c r="Q350" t="n">
        <v>0</v>
      </c>
      <c r="R350" s="2" t="inlineStr"/>
    </row>
    <row r="351" ht="15" customHeight="1">
      <c r="A351" t="inlineStr">
        <is>
          <t>A 2006-2023</t>
        </is>
      </c>
      <c r="B351" s="1" t="n">
        <v>44937</v>
      </c>
      <c r="C351" s="1" t="n">
        <v>45887</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59681-2023</t>
        </is>
      </c>
      <c r="B352" s="1" t="n">
        <v>45255</v>
      </c>
      <c r="C352" s="1" t="n">
        <v>45887</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28275-2022</t>
        </is>
      </c>
      <c r="B353" s="1" t="n">
        <v>44746</v>
      </c>
      <c r="C353" s="1" t="n">
        <v>45887</v>
      </c>
      <c r="D353" t="inlineStr">
        <is>
          <t>NORRBOTTENS LÄN</t>
        </is>
      </c>
      <c r="E353" t="inlineStr">
        <is>
          <t>LULEÅ</t>
        </is>
      </c>
      <c r="G353" t="n">
        <v>2.7</v>
      </c>
      <c r="H353" t="n">
        <v>0</v>
      </c>
      <c r="I353" t="n">
        <v>0</v>
      </c>
      <c r="J353" t="n">
        <v>0</v>
      </c>
      <c r="K353" t="n">
        <v>0</v>
      </c>
      <c r="L353" t="n">
        <v>0</v>
      </c>
      <c r="M353" t="n">
        <v>0</v>
      </c>
      <c r="N353" t="n">
        <v>0</v>
      </c>
      <c r="O353" t="n">
        <v>0</v>
      </c>
      <c r="P353" t="n">
        <v>0</v>
      </c>
      <c r="Q353" t="n">
        <v>0</v>
      </c>
      <c r="R353" s="2" t="inlineStr"/>
    </row>
    <row r="354" ht="15" customHeight="1">
      <c r="A354" t="inlineStr">
        <is>
          <t>A 30241-2025</t>
        </is>
      </c>
      <c r="B354" s="1" t="n">
        <v>45827.40512731481</v>
      </c>
      <c r="C354" s="1" t="n">
        <v>45887</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7393-2023</t>
        </is>
      </c>
      <c r="B355" s="1" t="n">
        <v>44966</v>
      </c>
      <c r="C355" s="1" t="n">
        <v>45887</v>
      </c>
      <c r="D355" t="inlineStr">
        <is>
          <t>NORRBOTTENS LÄN</t>
        </is>
      </c>
      <c r="E355" t="inlineStr">
        <is>
          <t>LULEÅ</t>
        </is>
      </c>
      <c r="G355" t="n">
        <v>1</v>
      </c>
      <c r="H355" t="n">
        <v>0</v>
      </c>
      <c r="I355" t="n">
        <v>0</v>
      </c>
      <c r="J355" t="n">
        <v>0</v>
      </c>
      <c r="K355" t="n">
        <v>0</v>
      </c>
      <c r="L355" t="n">
        <v>0</v>
      </c>
      <c r="M355" t="n">
        <v>0</v>
      </c>
      <c r="N355" t="n">
        <v>0</v>
      </c>
      <c r="O355" t="n">
        <v>0</v>
      </c>
      <c r="P355" t="n">
        <v>0</v>
      </c>
      <c r="Q355" t="n">
        <v>0</v>
      </c>
      <c r="R355" s="2" t="inlineStr"/>
    </row>
    <row r="356" ht="15" customHeight="1">
      <c r="A356" t="inlineStr">
        <is>
          <t>A 13846-2024</t>
        </is>
      </c>
      <c r="B356" s="1" t="n">
        <v>45390</v>
      </c>
      <c r="C356" s="1" t="n">
        <v>45887</v>
      </c>
      <c r="D356" t="inlineStr">
        <is>
          <t>NORRBOTTENS LÄN</t>
        </is>
      </c>
      <c r="E356" t="inlineStr">
        <is>
          <t>LULEÅ</t>
        </is>
      </c>
      <c r="G356" t="n">
        <v>16.4</v>
      </c>
      <c r="H356" t="n">
        <v>0</v>
      </c>
      <c r="I356" t="n">
        <v>0</v>
      </c>
      <c r="J356" t="n">
        <v>0</v>
      </c>
      <c r="K356" t="n">
        <v>0</v>
      </c>
      <c r="L356" t="n">
        <v>0</v>
      </c>
      <c r="M356" t="n">
        <v>0</v>
      </c>
      <c r="N356" t="n">
        <v>0</v>
      </c>
      <c r="O356" t="n">
        <v>0</v>
      </c>
      <c r="P356" t="n">
        <v>0</v>
      </c>
      <c r="Q356" t="n">
        <v>0</v>
      </c>
      <c r="R356" s="2" t="inlineStr"/>
    </row>
    <row r="357" ht="15" customHeight="1">
      <c r="A357" t="inlineStr">
        <is>
          <t>A 30237-2025</t>
        </is>
      </c>
      <c r="B357" s="1" t="n">
        <v>45827.39997685186</v>
      </c>
      <c r="C357" s="1" t="n">
        <v>45887</v>
      </c>
      <c r="D357" t="inlineStr">
        <is>
          <t>NORRBOTTENS LÄN</t>
        </is>
      </c>
      <c r="E357" t="inlineStr">
        <is>
          <t>LULEÅ</t>
        </is>
      </c>
      <c r="G357" t="n">
        <v>17.6</v>
      </c>
      <c r="H357" t="n">
        <v>0</v>
      </c>
      <c r="I357" t="n">
        <v>0</v>
      </c>
      <c r="J357" t="n">
        <v>0</v>
      </c>
      <c r="K357" t="n">
        <v>0</v>
      </c>
      <c r="L357" t="n">
        <v>0</v>
      </c>
      <c r="M357" t="n">
        <v>0</v>
      </c>
      <c r="N357" t="n">
        <v>0</v>
      </c>
      <c r="O357" t="n">
        <v>0</v>
      </c>
      <c r="P357" t="n">
        <v>0</v>
      </c>
      <c r="Q357" t="n">
        <v>0</v>
      </c>
      <c r="R357" s="2" t="inlineStr"/>
    </row>
    <row r="358" ht="15" customHeight="1">
      <c r="A358" t="inlineStr">
        <is>
          <t>A 30238-2025</t>
        </is>
      </c>
      <c r="B358" s="1" t="n">
        <v>45827.40238425926</v>
      </c>
      <c r="C358" s="1" t="n">
        <v>45887</v>
      </c>
      <c r="D358" t="inlineStr">
        <is>
          <t>NORRBOTTENS LÄN</t>
        </is>
      </c>
      <c r="E358" t="inlineStr">
        <is>
          <t>LULEÅ</t>
        </is>
      </c>
      <c r="G358" t="n">
        <v>10.2</v>
      </c>
      <c r="H358" t="n">
        <v>0</v>
      </c>
      <c r="I358" t="n">
        <v>0</v>
      </c>
      <c r="J358" t="n">
        <v>0</v>
      </c>
      <c r="K358" t="n">
        <v>0</v>
      </c>
      <c r="L358" t="n">
        <v>0</v>
      </c>
      <c r="M358" t="n">
        <v>0</v>
      </c>
      <c r="N358" t="n">
        <v>0</v>
      </c>
      <c r="O358" t="n">
        <v>0</v>
      </c>
      <c r="P358" t="n">
        <v>0</v>
      </c>
      <c r="Q358" t="n">
        <v>0</v>
      </c>
      <c r="R358" s="2" t="inlineStr"/>
    </row>
    <row r="359" ht="15" customHeight="1">
      <c r="A359" t="inlineStr">
        <is>
          <t>A 30245-2025</t>
        </is>
      </c>
      <c r="B359" s="1" t="n">
        <v>45827.4106712963</v>
      </c>
      <c r="C359" s="1" t="n">
        <v>45887</v>
      </c>
      <c r="D359" t="inlineStr">
        <is>
          <t>NORRBOTTENS LÄN</t>
        </is>
      </c>
      <c r="E359" t="inlineStr">
        <is>
          <t>LULEÅ</t>
        </is>
      </c>
      <c r="G359" t="n">
        <v>1.9</v>
      </c>
      <c r="H359" t="n">
        <v>0</v>
      </c>
      <c r="I359" t="n">
        <v>0</v>
      </c>
      <c r="J359" t="n">
        <v>0</v>
      </c>
      <c r="K359" t="n">
        <v>0</v>
      </c>
      <c r="L359" t="n">
        <v>0</v>
      </c>
      <c r="M359" t="n">
        <v>0</v>
      </c>
      <c r="N359" t="n">
        <v>0</v>
      </c>
      <c r="O359" t="n">
        <v>0</v>
      </c>
      <c r="P359" t="n">
        <v>0</v>
      </c>
      <c r="Q359" t="n">
        <v>0</v>
      </c>
      <c r="R359" s="2" t="inlineStr"/>
    </row>
    <row r="360" ht="15" customHeight="1">
      <c r="A360" t="inlineStr">
        <is>
          <t>A 14187-2025</t>
        </is>
      </c>
      <c r="B360" s="1" t="n">
        <v>45740.54577546296</v>
      </c>
      <c r="C360" s="1" t="n">
        <v>45887</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23884-2022</t>
        </is>
      </c>
      <c r="B361" s="1" t="n">
        <v>44722.57129629629</v>
      </c>
      <c r="C361" s="1" t="n">
        <v>45887</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16296-2025</t>
        </is>
      </c>
      <c r="B362" s="1" t="n">
        <v>45751.34513888889</v>
      </c>
      <c r="C362" s="1" t="n">
        <v>45887</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14193-2025</t>
        </is>
      </c>
      <c r="B363" s="1" t="n">
        <v>45740.56127314815</v>
      </c>
      <c r="C363" s="1" t="n">
        <v>45887</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27303-2022</t>
        </is>
      </c>
      <c r="B364" s="1" t="n">
        <v>44741</v>
      </c>
      <c r="C364" s="1" t="n">
        <v>45887</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58760-2023</t>
        </is>
      </c>
      <c r="B365" s="1" t="n">
        <v>45251</v>
      </c>
      <c r="C365" s="1" t="n">
        <v>45887</v>
      </c>
      <c r="D365" t="inlineStr">
        <is>
          <t>NORRBOTTENS LÄN</t>
        </is>
      </c>
      <c r="E365" t="inlineStr">
        <is>
          <t>LULEÅ</t>
        </is>
      </c>
      <c r="G365" t="n">
        <v>5.4</v>
      </c>
      <c r="H365" t="n">
        <v>0</v>
      </c>
      <c r="I365" t="n">
        <v>0</v>
      </c>
      <c r="J365" t="n">
        <v>0</v>
      </c>
      <c r="K365" t="n">
        <v>0</v>
      </c>
      <c r="L365" t="n">
        <v>0</v>
      </c>
      <c r="M365" t="n">
        <v>0</v>
      </c>
      <c r="N365" t="n">
        <v>0</v>
      </c>
      <c r="O365" t="n">
        <v>0</v>
      </c>
      <c r="P365" t="n">
        <v>0</v>
      </c>
      <c r="Q365" t="n">
        <v>0</v>
      </c>
      <c r="R365" s="2" t="inlineStr"/>
    </row>
    <row r="366" ht="15" customHeight="1">
      <c r="A366" t="inlineStr">
        <is>
          <t>A 5050-2025</t>
        </is>
      </c>
      <c r="B366" s="1" t="n">
        <v>45691.44899305556</v>
      </c>
      <c r="C366" s="1" t="n">
        <v>45887</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38551-2023</t>
        </is>
      </c>
      <c r="B367" s="1" t="n">
        <v>45160</v>
      </c>
      <c r="C367" s="1" t="n">
        <v>45887</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30907-2025</t>
        </is>
      </c>
      <c r="B368" s="1" t="n">
        <v>45832.36484953704</v>
      </c>
      <c r="C368" s="1" t="n">
        <v>45887</v>
      </c>
      <c r="D368" t="inlineStr">
        <is>
          <t>NORRBOTTENS LÄN</t>
        </is>
      </c>
      <c r="E368" t="inlineStr">
        <is>
          <t>LULEÅ</t>
        </is>
      </c>
      <c r="G368" t="n">
        <v>2</v>
      </c>
      <c r="H368" t="n">
        <v>0</v>
      </c>
      <c r="I368" t="n">
        <v>0</v>
      </c>
      <c r="J368" t="n">
        <v>0</v>
      </c>
      <c r="K368" t="n">
        <v>0</v>
      </c>
      <c r="L368" t="n">
        <v>0</v>
      </c>
      <c r="M368" t="n">
        <v>0</v>
      </c>
      <c r="N368" t="n">
        <v>0</v>
      </c>
      <c r="O368" t="n">
        <v>0</v>
      </c>
      <c r="P368" t="n">
        <v>0</v>
      </c>
      <c r="Q368" t="n">
        <v>0</v>
      </c>
      <c r="R368" s="2" t="inlineStr"/>
    </row>
    <row r="369" ht="15" customHeight="1">
      <c r="A369" t="inlineStr">
        <is>
          <t>A 26587-2024</t>
        </is>
      </c>
      <c r="B369" s="1" t="n">
        <v>45469.67459490741</v>
      </c>
      <c r="C369" s="1" t="n">
        <v>45887</v>
      </c>
      <c r="D369" t="inlineStr">
        <is>
          <t>NORRBOTTENS LÄN</t>
        </is>
      </c>
      <c r="E369" t="inlineStr">
        <is>
          <t>LULEÅ</t>
        </is>
      </c>
      <c r="G369" t="n">
        <v>3.9</v>
      </c>
      <c r="H369" t="n">
        <v>0</v>
      </c>
      <c r="I369" t="n">
        <v>0</v>
      </c>
      <c r="J369" t="n">
        <v>0</v>
      </c>
      <c r="K369" t="n">
        <v>0</v>
      </c>
      <c r="L369" t="n">
        <v>0</v>
      </c>
      <c r="M369" t="n">
        <v>0</v>
      </c>
      <c r="N369" t="n">
        <v>0</v>
      </c>
      <c r="O369" t="n">
        <v>0</v>
      </c>
      <c r="P369" t="n">
        <v>0</v>
      </c>
      <c r="Q369" t="n">
        <v>0</v>
      </c>
      <c r="R369" s="2" t="inlineStr"/>
    </row>
    <row r="370" ht="15" customHeight="1">
      <c r="A370" t="inlineStr">
        <is>
          <t>A 31025-2025</t>
        </is>
      </c>
      <c r="B370" s="1" t="n">
        <v>45831</v>
      </c>
      <c r="C370" s="1" t="n">
        <v>45887</v>
      </c>
      <c r="D370" t="inlineStr">
        <is>
          <t>NORRBOTTENS LÄN</t>
        </is>
      </c>
      <c r="E370" t="inlineStr">
        <is>
          <t>LULEÅ</t>
        </is>
      </c>
      <c r="G370" t="n">
        <v>2.2</v>
      </c>
      <c r="H370" t="n">
        <v>0</v>
      </c>
      <c r="I370" t="n">
        <v>0</v>
      </c>
      <c r="J370" t="n">
        <v>0</v>
      </c>
      <c r="K370" t="n">
        <v>0</v>
      </c>
      <c r="L370" t="n">
        <v>0</v>
      </c>
      <c r="M370" t="n">
        <v>0</v>
      </c>
      <c r="N370" t="n">
        <v>0</v>
      </c>
      <c r="O370" t="n">
        <v>0</v>
      </c>
      <c r="P370" t="n">
        <v>0</v>
      </c>
      <c r="Q370" t="n">
        <v>0</v>
      </c>
      <c r="R370" s="2" t="inlineStr"/>
    </row>
    <row r="371" ht="15" customHeight="1">
      <c r="A371" t="inlineStr">
        <is>
          <t>A 33594-2022</t>
        </is>
      </c>
      <c r="B371" s="1" t="n">
        <v>44789</v>
      </c>
      <c r="C371" s="1" t="n">
        <v>45887</v>
      </c>
      <c r="D371" t="inlineStr">
        <is>
          <t>NORRBOTTENS LÄN</t>
        </is>
      </c>
      <c r="E371" t="inlineStr">
        <is>
          <t>LULEÅ</t>
        </is>
      </c>
      <c r="G371" t="n">
        <v>5.1</v>
      </c>
      <c r="H371" t="n">
        <v>0</v>
      </c>
      <c r="I371" t="n">
        <v>0</v>
      </c>
      <c r="J371" t="n">
        <v>0</v>
      </c>
      <c r="K371" t="n">
        <v>0</v>
      </c>
      <c r="L371" t="n">
        <v>0</v>
      </c>
      <c r="M371" t="n">
        <v>0</v>
      </c>
      <c r="N371" t="n">
        <v>0</v>
      </c>
      <c r="O371" t="n">
        <v>0</v>
      </c>
      <c r="P371" t="n">
        <v>0</v>
      </c>
      <c r="Q371" t="n">
        <v>0</v>
      </c>
      <c r="R371" s="2" t="inlineStr"/>
    </row>
    <row r="372" ht="15" customHeight="1">
      <c r="A372" t="inlineStr">
        <is>
          <t>A 14128-2023</t>
        </is>
      </c>
      <c r="B372" s="1" t="n">
        <v>45009</v>
      </c>
      <c r="C372" s="1" t="n">
        <v>45887</v>
      </c>
      <c r="D372" t="inlineStr">
        <is>
          <t>NORRBOTTENS LÄN</t>
        </is>
      </c>
      <c r="E372" t="inlineStr">
        <is>
          <t>LULEÅ</t>
        </is>
      </c>
      <c r="G372" t="n">
        <v>1.2</v>
      </c>
      <c r="H372" t="n">
        <v>0</v>
      </c>
      <c r="I372" t="n">
        <v>0</v>
      </c>
      <c r="J372" t="n">
        <v>0</v>
      </c>
      <c r="K372" t="n">
        <v>0</v>
      </c>
      <c r="L372" t="n">
        <v>0</v>
      </c>
      <c r="M372" t="n">
        <v>0</v>
      </c>
      <c r="N372" t="n">
        <v>0</v>
      </c>
      <c r="O372" t="n">
        <v>0</v>
      </c>
      <c r="P372" t="n">
        <v>0</v>
      </c>
      <c r="Q372" t="n">
        <v>0</v>
      </c>
      <c r="R372" s="2" t="inlineStr"/>
    </row>
    <row r="373" ht="15" customHeight="1">
      <c r="A373" t="inlineStr">
        <is>
          <t>A 54213-2023</t>
        </is>
      </c>
      <c r="B373" s="1" t="n">
        <v>45232</v>
      </c>
      <c r="C373" s="1" t="n">
        <v>45887</v>
      </c>
      <c r="D373" t="inlineStr">
        <is>
          <t>NORRBOTTENS LÄN</t>
        </is>
      </c>
      <c r="E373" t="inlineStr">
        <is>
          <t>LULEÅ</t>
        </is>
      </c>
      <c r="G373" t="n">
        <v>0.2</v>
      </c>
      <c r="H373" t="n">
        <v>0</v>
      </c>
      <c r="I373" t="n">
        <v>0</v>
      </c>
      <c r="J373" t="n">
        <v>0</v>
      </c>
      <c r="K373" t="n">
        <v>0</v>
      </c>
      <c r="L373" t="n">
        <v>0</v>
      </c>
      <c r="M373" t="n">
        <v>0</v>
      </c>
      <c r="N373" t="n">
        <v>0</v>
      </c>
      <c r="O373" t="n">
        <v>0</v>
      </c>
      <c r="P373" t="n">
        <v>0</v>
      </c>
      <c r="Q373" t="n">
        <v>0</v>
      </c>
      <c r="R373" s="2" t="inlineStr"/>
    </row>
    <row r="374" ht="15" customHeight="1">
      <c r="A374" t="inlineStr">
        <is>
          <t>A 59656-2024</t>
        </is>
      </c>
      <c r="B374" s="1" t="n">
        <v>45639</v>
      </c>
      <c r="C374" s="1" t="n">
        <v>45887</v>
      </c>
      <c r="D374" t="inlineStr">
        <is>
          <t>NORRBOTTENS LÄN</t>
        </is>
      </c>
      <c r="E374" t="inlineStr">
        <is>
          <t>LULEÅ</t>
        </is>
      </c>
      <c r="G374" t="n">
        <v>4.3</v>
      </c>
      <c r="H374" t="n">
        <v>0</v>
      </c>
      <c r="I374" t="n">
        <v>0</v>
      </c>
      <c r="J374" t="n">
        <v>0</v>
      </c>
      <c r="K374" t="n">
        <v>0</v>
      </c>
      <c r="L374" t="n">
        <v>0</v>
      </c>
      <c r="M374" t="n">
        <v>0</v>
      </c>
      <c r="N374" t="n">
        <v>0</v>
      </c>
      <c r="O374" t="n">
        <v>0</v>
      </c>
      <c r="P374" t="n">
        <v>0</v>
      </c>
      <c r="Q374" t="n">
        <v>0</v>
      </c>
      <c r="R374" s="2" t="inlineStr"/>
    </row>
    <row r="375" ht="15" customHeight="1">
      <c r="A375" t="inlineStr">
        <is>
          <t>A 49712-2022</t>
        </is>
      </c>
      <c r="B375" s="1" t="n">
        <v>44859</v>
      </c>
      <c r="C375" s="1" t="n">
        <v>45887</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46158-2021</t>
        </is>
      </c>
      <c r="B376" s="1" t="n">
        <v>44442.43422453704</v>
      </c>
      <c r="C376" s="1" t="n">
        <v>45887</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30569-2025</t>
        </is>
      </c>
      <c r="B377" s="1" t="n">
        <v>45831</v>
      </c>
      <c r="C377" s="1" t="n">
        <v>45887</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30570-2025</t>
        </is>
      </c>
      <c r="B378" s="1" t="n">
        <v>45831.40694444445</v>
      </c>
      <c r="C378" s="1" t="n">
        <v>45887</v>
      </c>
      <c r="D378" t="inlineStr">
        <is>
          <t>NORRBOTTENS LÄN</t>
        </is>
      </c>
      <c r="E378" t="inlineStr">
        <is>
          <t>LULEÅ</t>
        </is>
      </c>
      <c r="G378" t="n">
        <v>4.8</v>
      </c>
      <c r="H378" t="n">
        <v>0</v>
      </c>
      <c r="I378" t="n">
        <v>0</v>
      </c>
      <c r="J378" t="n">
        <v>0</v>
      </c>
      <c r="K378" t="n">
        <v>0</v>
      </c>
      <c r="L378" t="n">
        <v>0</v>
      </c>
      <c r="M378" t="n">
        <v>0</v>
      </c>
      <c r="N378" t="n">
        <v>0</v>
      </c>
      <c r="O378" t="n">
        <v>0</v>
      </c>
      <c r="P378" t="n">
        <v>0</v>
      </c>
      <c r="Q378" t="n">
        <v>0</v>
      </c>
      <c r="R378" s="2" t="inlineStr"/>
    </row>
    <row r="379" ht="15" customHeight="1">
      <c r="A379" t="inlineStr">
        <is>
          <t>A 31620-2025</t>
        </is>
      </c>
      <c r="B379" s="1" t="n">
        <v>45833.87428240741</v>
      </c>
      <c r="C379" s="1" t="n">
        <v>45887</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44330-2024</t>
        </is>
      </c>
      <c r="B380" s="1" t="n">
        <v>45573.60027777778</v>
      </c>
      <c r="C380" s="1" t="n">
        <v>45887</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26513-2025</t>
        </is>
      </c>
      <c r="B381" s="1" t="n">
        <v>45807</v>
      </c>
      <c r="C381" s="1" t="n">
        <v>45887</v>
      </c>
      <c r="D381" t="inlineStr">
        <is>
          <t>NORRBOTTENS LÄN</t>
        </is>
      </c>
      <c r="E381" t="inlineStr">
        <is>
          <t>LULEÅ</t>
        </is>
      </c>
      <c r="G381" t="n">
        <v>5</v>
      </c>
      <c r="H381" t="n">
        <v>0</v>
      </c>
      <c r="I381" t="n">
        <v>0</v>
      </c>
      <c r="J381" t="n">
        <v>0</v>
      </c>
      <c r="K381" t="n">
        <v>0</v>
      </c>
      <c r="L381" t="n">
        <v>0</v>
      </c>
      <c r="M381" t="n">
        <v>0</v>
      </c>
      <c r="N381" t="n">
        <v>0</v>
      </c>
      <c r="O381" t="n">
        <v>0</v>
      </c>
      <c r="P381" t="n">
        <v>0</v>
      </c>
      <c r="Q381" t="n">
        <v>0</v>
      </c>
      <c r="R381" s="2" t="inlineStr"/>
    </row>
    <row r="382" ht="15" customHeight="1">
      <c r="A382" t="inlineStr">
        <is>
          <t>A 8228-2024</t>
        </is>
      </c>
      <c r="B382" s="1" t="n">
        <v>45351</v>
      </c>
      <c r="C382" s="1" t="n">
        <v>45887</v>
      </c>
      <c r="D382" t="inlineStr">
        <is>
          <t>NORRBOTTENS LÄN</t>
        </is>
      </c>
      <c r="E382" t="inlineStr">
        <is>
          <t>LULEÅ</t>
        </is>
      </c>
      <c r="G382" t="n">
        <v>10.1</v>
      </c>
      <c r="H382" t="n">
        <v>0</v>
      </c>
      <c r="I382" t="n">
        <v>0</v>
      </c>
      <c r="J382" t="n">
        <v>0</v>
      </c>
      <c r="K382" t="n">
        <v>0</v>
      </c>
      <c r="L382" t="n">
        <v>0</v>
      </c>
      <c r="M382" t="n">
        <v>0</v>
      </c>
      <c r="N382" t="n">
        <v>0</v>
      </c>
      <c r="O382" t="n">
        <v>0</v>
      </c>
      <c r="P382" t="n">
        <v>0</v>
      </c>
      <c r="Q382" t="n">
        <v>0</v>
      </c>
      <c r="R382" s="2" t="inlineStr"/>
    </row>
    <row r="383" ht="15" customHeight="1">
      <c r="A383" t="inlineStr">
        <is>
          <t>A 5822-2025</t>
        </is>
      </c>
      <c r="B383" s="1" t="n">
        <v>45694</v>
      </c>
      <c r="C383" s="1" t="n">
        <v>45887</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32154-2025</t>
        </is>
      </c>
      <c r="B384" s="1" t="n">
        <v>45835.53480324074</v>
      </c>
      <c r="C384" s="1" t="n">
        <v>45887</v>
      </c>
      <c r="D384" t="inlineStr">
        <is>
          <t>NORRBOTTENS LÄN</t>
        </is>
      </c>
      <c r="E384" t="inlineStr">
        <is>
          <t>LULEÅ</t>
        </is>
      </c>
      <c r="F384" t="inlineStr">
        <is>
          <t>Sveaskog</t>
        </is>
      </c>
      <c r="G384" t="n">
        <v>2.9</v>
      </c>
      <c r="H384" t="n">
        <v>0</v>
      </c>
      <c r="I384" t="n">
        <v>0</v>
      </c>
      <c r="J384" t="n">
        <v>0</v>
      </c>
      <c r="K384" t="n">
        <v>0</v>
      </c>
      <c r="L384" t="n">
        <v>0</v>
      </c>
      <c r="M384" t="n">
        <v>0</v>
      </c>
      <c r="N384" t="n">
        <v>0</v>
      </c>
      <c r="O384" t="n">
        <v>0</v>
      </c>
      <c r="P384" t="n">
        <v>0</v>
      </c>
      <c r="Q384" t="n">
        <v>0</v>
      </c>
      <c r="R384" s="2" t="inlineStr"/>
    </row>
    <row r="385" ht="15" customHeight="1">
      <c r="A385" t="inlineStr">
        <is>
          <t>A 4941-2025</t>
        </is>
      </c>
      <c r="B385" s="1" t="n">
        <v>45688.6995949074</v>
      </c>
      <c r="C385" s="1" t="n">
        <v>45887</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32223-2025</t>
        </is>
      </c>
      <c r="B386" s="1" t="n">
        <v>45835.59313657408</v>
      </c>
      <c r="C386" s="1" t="n">
        <v>45887</v>
      </c>
      <c r="D386" t="inlineStr">
        <is>
          <t>NORRBOTTENS LÄN</t>
        </is>
      </c>
      <c r="E386" t="inlineStr">
        <is>
          <t>LULEÅ</t>
        </is>
      </c>
      <c r="G386" t="n">
        <v>6.3</v>
      </c>
      <c r="H386" t="n">
        <v>0</v>
      </c>
      <c r="I386" t="n">
        <v>0</v>
      </c>
      <c r="J386" t="n">
        <v>0</v>
      </c>
      <c r="K386" t="n">
        <v>0</v>
      </c>
      <c r="L386" t="n">
        <v>0</v>
      </c>
      <c r="M386" t="n">
        <v>0</v>
      </c>
      <c r="N386" t="n">
        <v>0</v>
      </c>
      <c r="O386" t="n">
        <v>0</v>
      </c>
      <c r="P386" t="n">
        <v>0</v>
      </c>
      <c r="Q386" t="n">
        <v>0</v>
      </c>
      <c r="R386" s="2" t="inlineStr"/>
    </row>
    <row r="387" ht="15" customHeight="1">
      <c r="A387" t="inlineStr">
        <is>
          <t>A 61891-2023</t>
        </is>
      </c>
      <c r="B387" s="1" t="n">
        <v>45264</v>
      </c>
      <c r="C387" s="1" t="n">
        <v>45887</v>
      </c>
      <c r="D387" t="inlineStr">
        <is>
          <t>NORRBOTTENS LÄN</t>
        </is>
      </c>
      <c r="E387" t="inlineStr">
        <is>
          <t>LULEÅ</t>
        </is>
      </c>
      <c r="G387" t="n">
        <v>1.7</v>
      </c>
      <c r="H387" t="n">
        <v>0</v>
      </c>
      <c r="I387" t="n">
        <v>0</v>
      </c>
      <c r="J387" t="n">
        <v>0</v>
      </c>
      <c r="K387" t="n">
        <v>0</v>
      </c>
      <c r="L387" t="n">
        <v>0</v>
      </c>
      <c r="M387" t="n">
        <v>0</v>
      </c>
      <c r="N387" t="n">
        <v>0</v>
      </c>
      <c r="O387" t="n">
        <v>0</v>
      </c>
      <c r="P387" t="n">
        <v>0</v>
      </c>
      <c r="Q387" t="n">
        <v>0</v>
      </c>
      <c r="R387" s="2" t="inlineStr"/>
    </row>
    <row r="388" ht="15" customHeight="1">
      <c r="A388" t="inlineStr">
        <is>
          <t>A 32127-2025</t>
        </is>
      </c>
      <c r="B388" s="1" t="n">
        <v>45835.49930555555</v>
      </c>
      <c r="C388" s="1" t="n">
        <v>45887</v>
      </c>
      <c r="D388" t="inlineStr">
        <is>
          <t>NORRBOTTENS LÄN</t>
        </is>
      </c>
      <c r="E388" t="inlineStr">
        <is>
          <t>LULEÅ</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32253-2025</t>
        </is>
      </c>
      <c r="B389" s="1" t="n">
        <v>45835.63008101852</v>
      </c>
      <c r="C389" s="1" t="n">
        <v>45887</v>
      </c>
      <c r="D389" t="inlineStr">
        <is>
          <t>NORRBOTTENS LÄN</t>
        </is>
      </c>
      <c r="E389" t="inlineStr">
        <is>
          <t>LULEÅ</t>
        </is>
      </c>
      <c r="G389" t="n">
        <v>7.4</v>
      </c>
      <c r="H389" t="n">
        <v>0</v>
      </c>
      <c r="I389" t="n">
        <v>0</v>
      </c>
      <c r="J389" t="n">
        <v>0</v>
      </c>
      <c r="K389" t="n">
        <v>0</v>
      </c>
      <c r="L389" t="n">
        <v>0</v>
      </c>
      <c r="M389" t="n">
        <v>0</v>
      </c>
      <c r="N389" t="n">
        <v>0</v>
      </c>
      <c r="O389" t="n">
        <v>0</v>
      </c>
      <c r="P389" t="n">
        <v>0</v>
      </c>
      <c r="Q389" t="n">
        <v>0</v>
      </c>
      <c r="R389" s="2" t="inlineStr"/>
    </row>
    <row r="390" ht="15" customHeight="1">
      <c r="A390" t="inlineStr">
        <is>
          <t>A 32260-2025</t>
        </is>
      </c>
      <c r="B390" s="1" t="n">
        <v>45835.64260416666</v>
      </c>
      <c r="C390" s="1" t="n">
        <v>45887</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32255-2025</t>
        </is>
      </c>
      <c r="B391" s="1" t="n">
        <v>45835.63332175926</v>
      </c>
      <c r="C391" s="1" t="n">
        <v>45887</v>
      </c>
      <c r="D391" t="inlineStr">
        <is>
          <t>NORRBOTTENS LÄN</t>
        </is>
      </c>
      <c r="E391" t="inlineStr">
        <is>
          <t>LULEÅ</t>
        </is>
      </c>
      <c r="G391" t="n">
        <v>1.6</v>
      </c>
      <c r="H391" t="n">
        <v>0</v>
      </c>
      <c r="I391" t="n">
        <v>0</v>
      </c>
      <c r="J391" t="n">
        <v>0</v>
      </c>
      <c r="K391" t="n">
        <v>0</v>
      </c>
      <c r="L391" t="n">
        <v>0</v>
      </c>
      <c r="M391" t="n">
        <v>0</v>
      </c>
      <c r="N391" t="n">
        <v>0</v>
      </c>
      <c r="O391" t="n">
        <v>0</v>
      </c>
      <c r="P391" t="n">
        <v>0</v>
      </c>
      <c r="Q391" t="n">
        <v>0</v>
      </c>
      <c r="R391" s="2" t="inlineStr"/>
    </row>
    <row r="392" ht="15" customHeight="1">
      <c r="A392" t="inlineStr">
        <is>
          <t>A 30120-2025</t>
        </is>
      </c>
      <c r="B392" s="1" t="n">
        <v>45826</v>
      </c>
      <c r="C392" s="1" t="n">
        <v>45887</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c r="U392">
        <f>HYPERLINK("https://klasma.github.io/Logging_2580/knärot/A 30120-2025 karta knärot.png", "A 30120-2025")</f>
        <v/>
      </c>
      <c r="V392">
        <f>HYPERLINK("https://klasma.github.io/Logging_2580/klagomål/A 30120-2025 FSC-klagomål.docx", "A 30120-2025")</f>
        <v/>
      </c>
      <c r="W392">
        <f>HYPERLINK("https://klasma.github.io/Logging_2580/klagomålsmail/A 30120-2025 FSC-klagomål mail.docx", "A 30120-2025")</f>
        <v/>
      </c>
      <c r="X392">
        <f>HYPERLINK("https://klasma.github.io/Logging_2580/tillsyn/A 30120-2025 tillsynsbegäran.docx", "A 30120-2025")</f>
        <v/>
      </c>
      <c r="Y392">
        <f>HYPERLINK("https://klasma.github.io/Logging_2580/tillsynsmail/A 30120-2025 tillsynsbegäran mail.docx", "A 30120-2025")</f>
        <v/>
      </c>
    </row>
    <row r="393" ht="15" customHeight="1">
      <c r="A393" t="inlineStr">
        <is>
          <t>A 32264-2025</t>
        </is>
      </c>
      <c r="B393" s="1" t="n">
        <v>45835.64934027778</v>
      </c>
      <c r="C393" s="1" t="n">
        <v>45887</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6739-2024</t>
        </is>
      </c>
      <c r="B394" s="1" t="n">
        <v>45342</v>
      </c>
      <c r="C394" s="1" t="n">
        <v>45887</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32458-2025</t>
        </is>
      </c>
      <c r="B395" s="1" t="n">
        <v>45838.41445601852</v>
      </c>
      <c r="C395" s="1" t="n">
        <v>45887</v>
      </c>
      <c r="D395" t="inlineStr">
        <is>
          <t>NORRBOTTENS LÄN</t>
        </is>
      </c>
      <c r="E395" t="inlineStr">
        <is>
          <t>LULEÅ</t>
        </is>
      </c>
      <c r="G395" t="n">
        <v>10.8</v>
      </c>
      <c r="H395" t="n">
        <v>0</v>
      </c>
      <c r="I395" t="n">
        <v>0</v>
      </c>
      <c r="J395" t="n">
        <v>0</v>
      </c>
      <c r="K395" t="n">
        <v>0</v>
      </c>
      <c r="L395" t="n">
        <v>0</v>
      </c>
      <c r="M395" t="n">
        <v>0</v>
      </c>
      <c r="N395" t="n">
        <v>0</v>
      </c>
      <c r="O395" t="n">
        <v>0</v>
      </c>
      <c r="P395" t="n">
        <v>0</v>
      </c>
      <c r="Q395" t="n">
        <v>0</v>
      </c>
      <c r="R395" s="2" t="inlineStr"/>
    </row>
    <row r="396" ht="15" customHeight="1">
      <c r="A396" t="inlineStr">
        <is>
          <t>A 32460-2025</t>
        </is>
      </c>
      <c r="B396" s="1" t="n">
        <v>45838.41540509259</v>
      </c>
      <c r="C396" s="1" t="n">
        <v>45887</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46869-2024</t>
        </is>
      </c>
      <c r="B397" s="1" t="n">
        <v>45583</v>
      </c>
      <c r="C397" s="1" t="n">
        <v>45887</v>
      </c>
      <c r="D397" t="inlineStr">
        <is>
          <t>NORRBOTTENS LÄN</t>
        </is>
      </c>
      <c r="E397" t="inlineStr">
        <is>
          <t>LULEÅ</t>
        </is>
      </c>
      <c r="G397" t="n">
        <v>4.4</v>
      </c>
      <c r="H397" t="n">
        <v>0</v>
      </c>
      <c r="I397" t="n">
        <v>0</v>
      </c>
      <c r="J397" t="n">
        <v>0</v>
      </c>
      <c r="K397" t="n">
        <v>0</v>
      </c>
      <c r="L397" t="n">
        <v>0</v>
      </c>
      <c r="M397" t="n">
        <v>0</v>
      </c>
      <c r="N397" t="n">
        <v>0</v>
      </c>
      <c r="O397" t="n">
        <v>0</v>
      </c>
      <c r="P397" t="n">
        <v>0</v>
      </c>
      <c r="Q397" t="n">
        <v>0</v>
      </c>
      <c r="R397" s="2" t="inlineStr"/>
    </row>
    <row r="398" ht="15" customHeight="1">
      <c r="A398" t="inlineStr">
        <is>
          <t>A 57911-2023</t>
        </is>
      </c>
      <c r="B398" s="1" t="n">
        <v>45247</v>
      </c>
      <c r="C398" s="1" t="n">
        <v>45887</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46395-2020</t>
        </is>
      </c>
      <c r="B399" s="1" t="n">
        <v>44094</v>
      </c>
      <c r="C399" s="1" t="n">
        <v>45887</v>
      </c>
      <c r="D399" t="inlineStr">
        <is>
          <t>NORRBOTTENS LÄN</t>
        </is>
      </c>
      <c r="E399" t="inlineStr">
        <is>
          <t>LULEÅ</t>
        </is>
      </c>
      <c r="G399" t="n">
        <v>2.8</v>
      </c>
      <c r="H399" t="n">
        <v>0</v>
      </c>
      <c r="I399" t="n">
        <v>0</v>
      </c>
      <c r="J399" t="n">
        <v>0</v>
      </c>
      <c r="K399" t="n">
        <v>0</v>
      </c>
      <c r="L399" t="n">
        <v>0</v>
      </c>
      <c r="M399" t="n">
        <v>0</v>
      </c>
      <c r="N399" t="n">
        <v>0</v>
      </c>
      <c r="O399" t="n">
        <v>0</v>
      </c>
      <c r="P399" t="n">
        <v>0</v>
      </c>
      <c r="Q399" t="n">
        <v>0</v>
      </c>
      <c r="R399" s="2" t="inlineStr"/>
    </row>
    <row r="400" ht="15" customHeight="1">
      <c r="A400" t="inlineStr">
        <is>
          <t>A 4771-2024</t>
        </is>
      </c>
      <c r="B400" s="1" t="n">
        <v>45328</v>
      </c>
      <c r="C400" s="1" t="n">
        <v>45887</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29550-2024</t>
        </is>
      </c>
      <c r="B401" s="1" t="n">
        <v>45484</v>
      </c>
      <c r="C401" s="1" t="n">
        <v>45887</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32462-2025</t>
        </is>
      </c>
      <c r="B402" s="1" t="n">
        <v>45838.41660879629</v>
      </c>
      <c r="C402" s="1" t="n">
        <v>45887</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37948-2025</t>
        </is>
      </c>
      <c r="B403" s="1" t="n">
        <v>45881.61543981481</v>
      </c>
      <c r="C403" s="1" t="n">
        <v>45887</v>
      </c>
      <c r="D403" t="inlineStr">
        <is>
          <t>NORRBOTTENS LÄN</t>
        </is>
      </c>
      <c r="E403" t="inlineStr">
        <is>
          <t>LULEÅ</t>
        </is>
      </c>
      <c r="G403" t="n">
        <v>2.7</v>
      </c>
      <c r="H403" t="n">
        <v>0</v>
      </c>
      <c r="I403" t="n">
        <v>0</v>
      </c>
      <c r="J403" t="n">
        <v>0</v>
      </c>
      <c r="K403" t="n">
        <v>0</v>
      </c>
      <c r="L403" t="n">
        <v>0</v>
      </c>
      <c r="M403" t="n">
        <v>0</v>
      </c>
      <c r="N403" t="n">
        <v>0</v>
      </c>
      <c r="O403" t="n">
        <v>0</v>
      </c>
      <c r="P403" t="n">
        <v>0</v>
      </c>
      <c r="Q403" t="n">
        <v>0</v>
      </c>
      <c r="R403" s="2" t="inlineStr"/>
    </row>
    <row r="404" ht="15" customHeight="1">
      <c r="A404" t="inlineStr">
        <is>
          <t>A 37784-2025</t>
        </is>
      </c>
      <c r="B404" s="1" t="n">
        <v>45880.95241898148</v>
      </c>
      <c r="C404" s="1" t="n">
        <v>45887</v>
      </c>
      <c r="D404" t="inlineStr">
        <is>
          <t>NORRBOTTENS LÄN</t>
        </is>
      </c>
      <c r="E404" t="inlineStr">
        <is>
          <t>LULEÅ</t>
        </is>
      </c>
      <c r="G404" t="n">
        <v>4.3</v>
      </c>
      <c r="H404" t="n">
        <v>0</v>
      </c>
      <c r="I404" t="n">
        <v>0</v>
      </c>
      <c r="J404" t="n">
        <v>0</v>
      </c>
      <c r="K404" t="n">
        <v>0</v>
      </c>
      <c r="L404" t="n">
        <v>0</v>
      </c>
      <c r="M404" t="n">
        <v>0</v>
      </c>
      <c r="N404" t="n">
        <v>0</v>
      </c>
      <c r="O404" t="n">
        <v>0</v>
      </c>
      <c r="P404" t="n">
        <v>0</v>
      </c>
      <c r="Q404" t="n">
        <v>0</v>
      </c>
      <c r="R404" s="2" t="inlineStr"/>
    </row>
    <row r="405" ht="15" customHeight="1">
      <c r="A405" t="inlineStr">
        <is>
          <t>A 38151-2025</t>
        </is>
      </c>
      <c r="B405" s="1" t="n">
        <v>45882.59465277778</v>
      </c>
      <c r="C405" s="1" t="n">
        <v>45887</v>
      </c>
      <c r="D405" t="inlineStr">
        <is>
          <t>NORRBOTTENS LÄN</t>
        </is>
      </c>
      <c r="E405" t="inlineStr">
        <is>
          <t>LULEÅ</t>
        </is>
      </c>
      <c r="G405" t="n">
        <v>6.1</v>
      </c>
      <c r="H405" t="n">
        <v>0</v>
      </c>
      <c r="I405" t="n">
        <v>0</v>
      </c>
      <c r="J405" t="n">
        <v>0</v>
      </c>
      <c r="K405" t="n">
        <v>0</v>
      </c>
      <c r="L405" t="n">
        <v>0</v>
      </c>
      <c r="M405" t="n">
        <v>0</v>
      </c>
      <c r="N405" t="n">
        <v>0</v>
      </c>
      <c r="O405" t="n">
        <v>0</v>
      </c>
      <c r="P405" t="n">
        <v>0</v>
      </c>
      <c r="Q405" t="n">
        <v>0</v>
      </c>
      <c r="R405" s="2" t="inlineStr"/>
    </row>
    <row r="406" ht="15" customHeight="1">
      <c r="A406" t="inlineStr">
        <is>
          <t>A 37783-2025</t>
        </is>
      </c>
      <c r="B406" s="1" t="n">
        <v>45880.94430555555</v>
      </c>
      <c r="C406" s="1" t="n">
        <v>45887</v>
      </c>
      <c r="D406" t="inlineStr">
        <is>
          <t>NORRBOTTENS LÄN</t>
        </is>
      </c>
      <c r="E406" t="inlineStr">
        <is>
          <t>LULEÅ</t>
        </is>
      </c>
      <c r="G406" t="n">
        <v>7.2</v>
      </c>
      <c r="H406" t="n">
        <v>0</v>
      </c>
      <c r="I406" t="n">
        <v>0</v>
      </c>
      <c r="J406" t="n">
        <v>0</v>
      </c>
      <c r="K406" t="n">
        <v>0</v>
      </c>
      <c r="L406" t="n">
        <v>0</v>
      </c>
      <c r="M406" t="n">
        <v>0</v>
      </c>
      <c r="N406" t="n">
        <v>0</v>
      </c>
      <c r="O406" t="n">
        <v>0</v>
      </c>
      <c r="P406" t="n">
        <v>0</v>
      </c>
      <c r="Q406" t="n">
        <v>0</v>
      </c>
      <c r="R406" s="2" t="inlineStr"/>
    </row>
    <row r="407" ht="15" customHeight="1">
      <c r="A407" t="inlineStr">
        <is>
          <t>A 38685-2025</t>
        </is>
      </c>
      <c r="B407" s="1" t="n">
        <v>45884.65607638889</v>
      </c>
      <c r="C407" s="1" t="n">
        <v>45887</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35158-2024</t>
        </is>
      </c>
      <c r="B408" s="1" t="n">
        <v>45530.39005787037</v>
      </c>
      <c r="C408" s="1" t="n">
        <v>45887</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46371-2024</t>
        </is>
      </c>
      <c r="B409" s="1" t="n">
        <v>45582.3734837963</v>
      </c>
      <c r="C409" s="1" t="n">
        <v>45887</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46374-2024</t>
        </is>
      </c>
      <c r="B410" s="1" t="n">
        <v>45582</v>
      </c>
      <c r="C410" s="1" t="n">
        <v>45887</v>
      </c>
      <c r="D410" t="inlineStr">
        <is>
          <t>NORRBOTTENS LÄN</t>
        </is>
      </c>
      <c r="E410" t="inlineStr">
        <is>
          <t>LULEÅ</t>
        </is>
      </c>
      <c r="G410" t="n">
        <v>0.6</v>
      </c>
      <c r="H410" t="n">
        <v>0</v>
      </c>
      <c r="I410" t="n">
        <v>0</v>
      </c>
      <c r="J410" t="n">
        <v>0</v>
      </c>
      <c r="K410" t="n">
        <v>0</v>
      </c>
      <c r="L410" t="n">
        <v>0</v>
      </c>
      <c r="M410" t="n">
        <v>0</v>
      </c>
      <c r="N410" t="n">
        <v>0</v>
      </c>
      <c r="O410" t="n">
        <v>0</v>
      </c>
      <c r="P410" t="n">
        <v>0</v>
      </c>
      <c r="Q410" t="n">
        <v>0</v>
      </c>
      <c r="R410" s="2" t="inlineStr"/>
    </row>
    <row r="411" ht="15" customHeight="1">
      <c r="A411" t="inlineStr">
        <is>
          <t>A 33692-2025</t>
        </is>
      </c>
      <c r="B411" s="1" t="n">
        <v>45841.69819444444</v>
      </c>
      <c r="C411" s="1" t="n">
        <v>45887</v>
      </c>
      <c r="D411" t="inlineStr">
        <is>
          <t>NORRBOTTENS LÄN</t>
        </is>
      </c>
      <c r="E411" t="inlineStr">
        <is>
          <t>LULEÅ</t>
        </is>
      </c>
      <c r="G411" t="n">
        <v>2</v>
      </c>
      <c r="H411" t="n">
        <v>0</v>
      </c>
      <c r="I411" t="n">
        <v>0</v>
      </c>
      <c r="J411" t="n">
        <v>0</v>
      </c>
      <c r="K411" t="n">
        <v>0</v>
      </c>
      <c r="L411" t="n">
        <v>0</v>
      </c>
      <c r="M411" t="n">
        <v>0</v>
      </c>
      <c r="N411" t="n">
        <v>0</v>
      </c>
      <c r="O411" t="n">
        <v>0</v>
      </c>
      <c r="P411" t="n">
        <v>0</v>
      </c>
      <c r="Q411" t="n">
        <v>0</v>
      </c>
      <c r="R411" s="2" t="inlineStr"/>
    </row>
    <row r="412" ht="15" customHeight="1">
      <c r="A412" t="inlineStr">
        <is>
          <t>A 53624-2023</t>
        </is>
      </c>
      <c r="B412" s="1" t="n">
        <v>45224</v>
      </c>
      <c r="C412" s="1" t="n">
        <v>45887</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48642-2023</t>
        </is>
      </c>
      <c r="B413" s="1" t="n">
        <v>45208</v>
      </c>
      <c r="C413" s="1" t="n">
        <v>45887</v>
      </c>
      <c r="D413" t="inlineStr">
        <is>
          <t>NORRBOTTENS LÄN</t>
        </is>
      </c>
      <c r="E413" t="inlineStr">
        <is>
          <t>LULEÅ</t>
        </is>
      </c>
      <c r="G413" t="n">
        <v>4.5</v>
      </c>
      <c r="H413" t="n">
        <v>0</v>
      </c>
      <c r="I413" t="n">
        <v>0</v>
      </c>
      <c r="J413" t="n">
        <v>0</v>
      </c>
      <c r="K413" t="n">
        <v>0</v>
      </c>
      <c r="L413" t="n">
        <v>0</v>
      </c>
      <c r="M413" t="n">
        <v>0</v>
      </c>
      <c r="N413" t="n">
        <v>0</v>
      </c>
      <c r="O413" t="n">
        <v>0</v>
      </c>
      <c r="P413" t="n">
        <v>0</v>
      </c>
      <c r="Q413" t="n">
        <v>0</v>
      </c>
      <c r="R413" s="2" t="inlineStr"/>
    </row>
    <row r="414" ht="15" customHeight="1">
      <c r="A414" t="inlineStr">
        <is>
          <t>A 61510-2024</t>
        </is>
      </c>
      <c r="B414" s="1" t="n">
        <v>45646.56674768519</v>
      </c>
      <c r="C414" s="1" t="n">
        <v>45887</v>
      </c>
      <c r="D414" t="inlineStr">
        <is>
          <t>NORRBOTTENS LÄN</t>
        </is>
      </c>
      <c r="E414" t="inlineStr">
        <is>
          <t>LULEÅ</t>
        </is>
      </c>
      <c r="G414" t="n">
        <v>0.6</v>
      </c>
      <c r="H414" t="n">
        <v>0</v>
      </c>
      <c r="I414" t="n">
        <v>0</v>
      </c>
      <c r="J414" t="n">
        <v>0</v>
      </c>
      <c r="K414" t="n">
        <v>0</v>
      </c>
      <c r="L414" t="n">
        <v>0</v>
      </c>
      <c r="M414" t="n">
        <v>0</v>
      </c>
      <c r="N414" t="n">
        <v>0</v>
      </c>
      <c r="O414" t="n">
        <v>0</v>
      </c>
      <c r="P414" t="n">
        <v>0</v>
      </c>
      <c r="Q414" t="n">
        <v>0</v>
      </c>
      <c r="R414" s="2" t="inlineStr"/>
    </row>
    <row r="415" ht="15" customHeight="1">
      <c r="A415" t="inlineStr">
        <is>
          <t>A 38434-2025</t>
        </is>
      </c>
      <c r="B415" s="1" t="n">
        <v>45883.64178240741</v>
      </c>
      <c r="C415" s="1" t="n">
        <v>45887</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4547-2025</t>
        </is>
      </c>
      <c r="B416" s="1" t="n">
        <v>45687.40212962963</v>
      </c>
      <c r="C416" s="1" t="n">
        <v>45887</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45887</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6269-2023</t>
        </is>
      </c>
      <c r="B418" s="1" t="n">
        <v>44960</v>
      </c>
      <c r="C418" s="1" t="n">
        <v>45887</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33608-2025</t>
        </is>
      </c>
      <c r="B419" s="1" t="n">
        <v>45841.61747685185</v>
      </c>
      <c r="C419" s="1" t="n">
        <v>45887</v>
      </c>
      <c r="D419" t="inlineStr">
        <is>
          <t>NORRBOTTENS LÄN</t>
        </is>
      </c>
      <c r="E419" t="inlineStr">
        <is>
          <t>LULEÅ</t>
        </is>
      </c>
      <c r="G419" t="n">
        <v>3.8</v>
      </c>
      <c r="H419" t="n">
        <v>0</v>
      </c>
      <c r="I419" t="n">
        <v>0</v>
      </c>
      <c r="J419" t="n">
        <v>0</v>
      </c>
      <c r="K419" t="n">
        <v>0</v>
      </c>
      <c r="L419" t="n">
        <v>0</v>
      </c>
      <c r="M419" t="n">
        <v>0</v>
      </c>
      <c r="N419" t="n">
        <v>0</v>
      </c>
      <c r="O419" t="n">
        <v>0</v>
      </c>
      <c r="P419" t="n">
        <v>0</v>
      </c>
      <c r="Q419" t="n">
        <v>0</v>
      </c>
      <c r="R419" s="2" t="inlineStr"/>
    </row>
    <row r="420" ht="15" customHeight="1">
      <c r="A420" t="inlineStr">
        <is>
          <t>A 34910-2023</t>
        </is>
      </c>
      <c r="B420" s="1" t="n">
        <v>45142.4560300926</v>
      </c>
      <c r="C420" s="1" t="n">
        <v>45887</v>
      </c>
      <c r="D420" t="inlineStr">
        <is>
          <t>NORRBOTTENS LÄN</t>
        </is>
      </c>
      <c r="E420" t="inlineStr">
        <is>
          <t>LULEÅ</t>
        </is>
      </c>
      <c r="G420" t="n">
        <v>18.9</v>
      </c>
      <c r="H420" t="n">
        <v>0</v>
      </c>
      <c r="I420" t="n">
        <v>0</v>
      </c>
      <c r="J420" t="n">
        <v>0</v>
      </c>
      <c r="K420" t="n">
        <v>0</v>
      </c>
      <c r="L420" t="n">
        <v>0</v>
      </c>
      <c r="M420" t="n">
        <v>0</v>
      </c>
      <c r="N420" t="n">
        <v>0</v>
      </c>
      <c r="O420" t="n">
        <v>0</v>
      </c>
      <c r="P420" t="n">
        <v>0</v>
      </c>
      <c r="Q420" t="n">
        <v>0</v>
      </c>
      <c r="R420" s="2" t="inlineStr"/>
    </row>
    <row r="421" ht="15" customHeight="1">
      <c r="A421" t="inlineStr">
        <is>
          <t>A 33651-2025</t>
        </is>
      </c>
      <c r="B421" s="1" t="n">
        <v>45841.65722222222</v>
      </c>
      <c r="C421" s="1" t="n">
        <v>45887</v>
      </c>
      <c r="D421" t="inlineStr">
        <is>
          <t>NORRBOTTENS LÄN</t>
        </is>
      </c>
      <c r="E421" t="inlineStr">
        <is>
          <t>LULEÅ</t>
        </is>
      </c>
      <c r="G421" t="n">
        <v>15.5</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45887</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62701-2022</t>
        </is>
      </c>
      <c r="B423" s="1" t="n">
        <v>44917</v>
      </c>
      <c r="C423" s="1" t="n">
        <v>45887</v>
      </c>
      <c r="D423" t="inlineStr">
        <is>
          <t>NORRBOTTENS LÄN</t>
        </is>
      </c>
      <c r="E423" t="inlineStr">
        <is>
          <t>LULEÅ</t>
        </is>
      </c>
      <c r="G423" t="n">
        <v>0.5</v>
      </c>
      <c r="H423" t="n">
        <v>0</v>
      </c>
      <c r="I423" t="n">
        <v>0</v>
      </c>
      <c r="J423" t="n">
        <v>0</v>
      </c>
      <c r="K423" t="n">
        <v>0</v>
      </c>
      <c r="L423" t="n">
        <v>0</v>
      </c>
      <c r="M423" t="n">
        <v>0</v>
      </c>
      <c r="N423" t="n">
        <v>0</v>
      </c>
      <c r="O423" t="n">
        <v>0</v>
      </c>
      <c r="P423" t="n">
        <v>0</v>
      </c>
      <c r="Q423" t="n">
        <v>0</v>
      </c>
      <c r="R423" s="2" t="inlineStr"/>
    </row>
    <row r="424" ht="15" customHeight="1">
      <c r="A424" t="inlineStr">
        <is>
          <t>A 26253-2023</t>
        </is>
      </c>
      <c r="B424" s="1" t="n">
        <v>45091</v>
      </c>
      <c r="C424" s="1" t="n">
        <v>45887</v>
      </c>
      <c r="D424" t="inlineStr">
        <is>
          <t>NORRBOTTENS LÄN</t>
        </is>
      </c>
      <c r="E424" t="inlineStr">
        <is>
          <t>LULEÅ</t>
        </is>
      </c>
      <c r="G424" t="n">
        <v>4.9</v>
      </c>
      <c r="H424" t="n">
        <v>0</v>
      </c>
      <c r="I424" t="n">
        <v>0</v>
      </c>
      <c r="J424" t="n">
        <v>0</v>
      </c>
      <c r="K424" t="n">
        <v>0</v>
      </c>
      <c r="L424" t="n">
        <v>0</v>
      </c>
      <c r="M424" t="n">
        <v>0</v>
      </c>
      <c r="N424" t="n">
        <v>0</v>
      </c>
      <c r="O424" t="n">
        <v>0</v>
      </c>
      <c r="P424" t="n">
        <v>0</v>
      </c>
      <c r="Q424" t="n">
        <v>0</v>
      </c>
      <c r="R424" s="2" t="inlineStr"/>
    </row>
    <row r="425" ht="15" customHeight="1">
      <c r="A425" t="inlineStr">
        <is>
          <t>A 40899-2024</t>
        </is>
      </c>
      <c r="B425" s="1" t="n">
        <v>45558.62070601852</v>
      </c>
      <c r="C425" s="1" t="n">
        <v>45887</v>
      </c>
      <c r="D425" t="inlineStr">
        <is>
          <t>NORRBOTTENS LÄN</t>
        </is>
      </c>
      <c r="E425" t="inlineStr">
        <is>
          <t>LULEÅ</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1002-2025</t>
        </is>
      </c>
      <c r="B426" s="1" t="n">
        <v>45665</v>
      </c>
      <c r="C426" s="1" t="n">
        <v>45887</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433-2022</t>
        </is>
      </c>
      <c r="B427" s="1" t="n">
        <v>44565.92903935185</v>
      </c>
      <c r="C427" s="1" t="n">
        <v>45887</v>
      </c>
      <c r="D427" t="inlineStr">
        <is>
          <t>NORRBOTTENS LÄN</t>
        </is>
      </c>
      <c r="E427" t="inlineStr">
        <is>
          <t>LULEÅ</t>
        </is>
      </c>
      <c r="G427" t="n">
        <v>1.3</v>
      </c>
      <c r="H427" t="n">
        <v>0</v>
      </c>
      <c r="I427" t="n">
        <v>0</v>
      </c>
      <c r="J427" t="n">
        <v>0</v>
      </c>
      <c r="K427" t="n">
        <v>0</v>
      </c>
      <c r="L427" t="n">
        <v>0</v>
      </c>
      <c r="M427" t="n">
        <v>0</v>
      </c>
      <c r="N427" t="n">
        <v>0</v>
      </c>
      <c r="O427" t="n">
        <v>0</v>
      </c>
      <c r="P427" t="n">
        <v>0</v>
      </c>
      <c r="Q427" t="n">
        <v>0</v>
      </c>
      <c r="R427" s="2" t="inlineStr"/>
    </row>
    <row r="428" ht="15" customHeight="1">
      <c r="A428" t="inlineStr">
        <is>
          <t>A 7429-2021</t>
        </is>
      </c>
      <c r="B428" s="1" t="n">
        <v>44239</v>
      </c>
      <c r="C428" s="1" t="n">
        <v>45887</v>
      </c>
      <c r="D428" t="inlineStr">
        <is>
          <t>NORRBOTTENS LÄN</t>
        </is>
      </c>
      <c r="E428" t="inlineStr">
        <is>
          <t>LULEÅ</t>
        </is>
      </c>
      <c r="G428" t="n">
        <v>3.4</v>
      </c>
      <c r="H428" t="n">
        <v>0</v>
      </c>
      <c r="I428" t="n">
        <v>0</v>
      </c>
      <c r="J428" t="n">
        <v>0</v>
      </c>
      <c r="K428" t="n">
        <v>0</v>
      </c>
      <c r="L428" t="n">
        <v>0</v>
      </c>
      <c r="M428" t="n">
        <v>0</v>
      </c>
      <c r="N428" t="n">
        <v>0</v>
      </c>
      <c r="O428" t="n">
        <v>0</v>
      </c>
      <c r="P428" t="n">
        <v>0</v>
      </c>
      <c r="Q428" t="n">
        <v>0</v>
      </c>
      <c r="R428" s="2" t="inlineStr"/>
    </row>
    <row r="429" ht="15" customHeight="1">
      <c r="A429" t="inlineStr">
        <is>
          <t>A 12782-2023</t>
        </is>
      </c>
      <c r="B429" s="1" t="n">
        <v>45000</v>
      </c>
      <c r="C429" s="1" t="n">
        <v>45887</v>
      </c>
      <c r="D429" t="inlineStr">
        <is>
          <t>NORRBOTTENS LÄN</t>
        </is>
      </c>
      <c r="E429" t="inlineStr">
        <is>
          <t>LULEÅ</t>
        </is>
      </c>
      <c r="G429" t="n">
        <v>2.8</v>
      </c>
      <c r="H429" t="n">
        <v>0</v>
      </c>
      <c r="I429" t="n">
        <v>0</v>
      </c>
      <c r="J429" t="n">
        <v>0</v>
      </c>
      <c r="K429" t="n">
        <v>0</v>
      </c>
      <c r="L429" t="n">
        <v>0</v>
      </c>
      <c r="M429" t="n">
        <v>0</v>
      </c>
      <c r="N429" t="n">
        <v>0</v>
      </c>
      <c r="O429" t="n">
        <v>0</v>
      </c>
      <c r="P429" t="n">
        <v>0</v>
      </c>
      <c r="Q429" t="n">
        <v>0</v>
      </c>
      <c r="R429" s="2" t="inlineStr"/>
    </row>
    <row r="430" ht="15" customHeight="1">
      <c r="A430" t="inlineStr">
        <is>
          <t>A 45182-2024</t>
        </is>
      </c>
      <c r="B430" s="1" t="n">
        <v>45575.66403935185</v>
      </c>
      <c r="C430" s="1" t="n">
        <v>45887</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44005-2024</t>
        </is>
      </c>
      <c r="B431" s="1" t="n">
        <v>45572.54814814815</v>
      </c>
      <c r="C431" s="1" t="n">
        <v>45887</v>
      </c>
      <c r="D431" t="inlineStr">
        <is>
          <t>NORRBOTTENS LÄN</t>
        </is>
      </c>
      <c r="E431" t="inlineStr">
        <is>
          <t>LULEÅ</t>
        </is>
      </c>
      <c r="G431" t="n">
        <v>14.8</v>
      </c>
      <c r="H431" t="n">
        <v>0</v>
      </c>
      <c r="I431" t="n">
        <v>0</v>
      </c>
      <c r="J431" t="n">
        <v>0</v>
      </c>
      <c r="K431" t="n">
        <v>0</v>
      </c>
      <c r="L431" t="n">
        <v>0</v>
      </c>
      <c r="M431" t="n">
        <v>0</v>
      </c>
      <c r="N431" t="n">
        <v>0</v>
      </c>
      <c r="O431" t="n">
        <v>0</v>
      </c>
      <c r="P431" t="n">
        <v>0</v>
      </c>
      <c r="Q431" t="n">
        <v>0</v>
      </c>
      <c r="R431" s="2" t="inlineStr"/>
    </row>
    <row r="432" ht="15" customHeight="1">
      <c r="A432" t="inlineStr">
        <is>
          <t>A 51668-2022</t>
        </is>
      </c>
      <c r="B432" s="1" t="n">
        <v>44867</v>
      </c>
      <c r="C432" s="1" t="n">
        <v>45887</v>
      </c>
      <c r="D432" t="inlineStr">
        <is>
          <t>NORRBOTTENS LÄN</t>
        </is>
      </c>
      <c r="E432" t="inlineStr">
        <is>
          <t>LULEÅ</t>
        </is>
      </c>
      <c r="G432" t="n">
        <v>2.6</v>
      </c>
      <c r="H432" t="n">
        <v>0</v>
      </c>
      <c r="I432" t="n">
        <v>0</v>
      </c>
      <c r="J432" t="n">
        <v>0</v>
      </c>
      <c r="K432" t="n">
        <v>0</v>
      </c>
      <c r="L432" t="n">
        <v>0</v>
      </c>
      <c r="M432" t="n">
        <v>0</v>
      </c>
      <c r="N432" t="n">
        <v>0</v>
      </c>
      <c r="O432" t="n">
        <v>0</v>
      </c>
      <c r="P432" t="n">
        <v>0</v>
      </c>
      <c r="Q432" t="n">
        <v>0</v>
      </c>
      <c r="R432" s="2" t="inlineStr"/>
    </row>
    <row r="433" ht="15" customHeight="1">
      <c r="A433" t="inlineStr">
        <is>
          <t>A 50632-2021</t>
        </is>
      </c>
      <c r="B433" s="1" t="n">
        <v>44459</v>
      </c>
      <c r="C433" s="1" t="n">
        <v>45887</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42102-2024</t>
        </is>
      </c>
      <c r="B434" s="1" t="n">
        <v>45562.35875</v>
      </c>
      <c r="C434" s="1" t="n">
        <v>45887</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42422-2024</t>
        </is>
      </c>
      <c r="B435" s="1" t="n">
        <v>45565.38912037037</v>
      </c>
      <c r="C435" s="1" t="n">
        <v>45887</v>
      </c>
      <c r="D435" t="inlineStr">
        <is>
          <t>NORRBOTTENS LÄN</t>
        </is>
      </c>
      <c r="E435" t="inlineStr">
        <is>
          <t>LULEÅ</t>
        </is>
      </c>
      <c r="G435" t="n">
        <v>0.5</v>
      </c>
      <c r="H435" t="n">
        <v>0</v>
      </c>
      <c r="I435" t="n">
        <v>0</v>
      </c>
      <c r="J435" t="n">
        <v>0</v>
      </c>
      <c r="K435" t="n">
        <v>0</v>
      </c>
      <c r="L435" t="n">
        <v>0</v>
      </c>
      <c r="M435" t="n">
        <v>0</v>
      </c>
      <c r="N435" t="n">
        <v>0</v>
      </c>
      <c r="O435" t="n">
        <v>0</v>
      </c>
      <c r="P435" t="n">
        <v>0</v>
      </c>
      <c r="Q435" t="n">
        <v>0</v>
      </c>
      <c r="R435" s="2" t="inlineStr"/>
    </row>
    <row r="436" ht="15" customHeight="1">
      <c r="A436" t="inlineStr">
        <is>
          <t>A 42426-2024</t>
        </is>
      </c>
      <c r="B436" s="1" t="n">
        <v>45565.39958333333</v>
      </c>
      <c r="C436" s="1" t="n">
        <v>45887</v>
      </c>
      <c r="D436" t="inlineStr">
        <is>
          <t>NORRBOTTENS LÄN</t>
        </is>
      </c>
      <c r="E436" t="inlineStr">
        <is>
          <t>LULEÅ</t>
        </is>
      </c>
      <c r="G436" t="n">
        <v>0.5</v>
      </c>
      <c r="H436" t="n">
        <v>0</v>
      </c>
      <c r="I436" t="n">
        <v>0</v>
      </c>
      <c r="J436" t="n">
        <v>0</v>
      </c>
      <c r="K436" t="n">
        <v>0</v>
      </c>
      <c r="L436" t="n">
        <v>0</v>
      </c>
      <c r="M436" t="n">
        <v>0</v>
      </c>
      <c r="N436" t="n">
        <v>0</v>
      </c>
      <c r="O436" t="n">
        <v>0</v>
      </c>
      <c r="P436" t="n">
        <v>0</v>
      </c>
      <c r="Q436" t="n">
        <v>0</v>
      </c>
      <c r="R436" s="2" t="inlineStr"/>
    </row>
    <row r="437" ht="15" customHeight="1">
      <c r="A437" t="inlineStr">
        <is>
          <t>A 41707-2024</t>
        </is>
      </c>
      <c r="B437" s="1" t="n">
        <v>45560.69846064815</v>
      </c>
      <c r="C437" s="1" t="n">
        <v>45887</v>
      </c>
      <c r="D437" t="inlineStr">
        <is>
          <t>NORRBOTTENS LÄN</t>
        </is>
      </c>
      <c r="E437" t="inlineStr">
        <is>
          <t>LULEÅ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41708-2024</t>
        </is>
      </c>
      <c r="B438" s="1" t="n">
        <v>45560.6984837963</v>
      </c>
      <c r="C438" s="1" t="n">
        <v>45887</v>
      </c>
      <c r="D438" t="inlineStr">
        <is>
          <t>NORRBOTTENS LÄN</t>
        </is>
      </c>
      <c r="E438" t="inlineStr">
        <is>
          <t>LULEÅ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8022-2024</t>
        </is>
      </c>
      <c r="B439" s="1" t="n">
        <v>45350</v>
      </c>
      <c r="C439" s="1" t="n">
        <v>45887</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61315-2022</t>
        </is>
      </c>
      <c r="B440" s="1" t="n">
        <v>44909</v>
      </c>
      <c r="C440" s="1" t="n">
        <v>45887</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11178-2023</t>
        </is>
      </c>
      <c r="B441" s="1" t="n">
        <v>44987</v>
      </c>
      <c r="C441" s="1" t="n">
        <v>45887</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28498-2024</t>
        </is>
      </c>
      <c r="B442" s="1" t="n">
        <v>45477.92725694444</v>
      </c>
      <c r="C442" s="1" t="n">
        <v>45887</v>
      </c>
      <c r="D442" t="inlineStr">
        <is>
          <t>NORRBOTTENS LÄN</t>
        </is>
      </c>
      <c r="E442" t="inlineStr">
        <is>
          <t>LULEÅ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44324-2024</t>
        </is>
      </c>
      <c r="B443" s="1" t="n">
        <v>45573.59376157408</v>
      </c>
      <c r="C443" s="1" t="n">
        <v>45887</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17897-2025</t>
        </is>
      </c>
      <c r="B444" s="1" t="n">
        <v>45758.69814814815</v>
      </c>
      <c r="C444" s="1" t="n">
        <v>45887</v>
      </c>
      <c r="D444" t="inlineStr">
        <is>
          <t>NORRBOTTENS LÄN</t>
        </is>
      </c>
      <c r="E444" t="inlineStr">
        <is>
          <t>LULEÅ</t>
        </is>
      </c>
      <c r="G444" t="n">
        <v>9.9</v>
      </c>
      <c r="H444" t="n">
        <v>0</v>
      </c>
      <c r="I444" t="n">
        <v>0</v>
      </c>
      <c r="J444" t="n">
        <v>0</v>
      </c>
      <c r="K444" t="n">
        <v>0</v>
      </c>
      <c r="L444" t="n">
        <v>0</v>
      </c>
      <c r="M444" t="n">
        <v>0</v>
      </c>
      <c r="N444" t="n">
        <v>0</v>
      </c>
      <c r="O444" t="n">
        <v>0</v>
      </c>
      <c r="P444" t="n">
        <v>0</v>
      </c>
      <c r="Q444" t="n">
        <v>0</v>
      </c>
      <c r="R444" s="2" t="inlineStr"/>
    </row>
    <row r="445" ht="15" customHeight="1">
      <c r="A445" t="inlineStr">
        <is>
          <t>A 51107-2024</t>
        </is>
      </c>
      <c r="B445" s="1" t="n">
        <v>45603.49141203704</v>
      </c>
      <c r="C445" s="1" t="n">
        <v>45887</v>
      </c>
      <c r="D445" t="inlineStr">
        <is>
          <t>NORRBOTTENS LÄN</t>
        </is>
      </c>
      <c r="E445" t="inlineStr">
        <is>
          <t>LULEÅ</t>
        </is>
      </c>
      <c r="G445" t="n">
        <v>10.2</v>
      </c>
      <c r="H445" t="n">
        <v>0</v>
      </c>
      <c r="I445" t="n">
        <v>0</v>
      </c>
      <c r="J445" t="n">
        <v>0</v>
      </c>
      <c r="K445" t="n">
        <v>0</v>
      </c>
      <c r="L445" t="n">
        <v>0</v>
      </c>
      <c r="M445" t="n">
        <v>0</v>
      </c>
      <c r="N445" t="n">
        <v>0</v>
      </c>
      <c r="O445" t="n">
        <v>0</v>
      </c>
      <c r="P445" t="n">
        <v>0</v>
      </c>
      <c r="Q445" t="n">
        <v>0</v>
      </c>
      <c r="R445" s="2" t="inlineStr"/>
    </row>
    <row r="446" ht="15" customHeight="1">
      <c r="A446" t="inlineStr">
        <is>
          <t>A 51108-2024</t>
        </is>
      </c>
      <c r="B446" s="1" t="n">
        <v>45603.49142361111</v>
      </c>
      <c r="C446" s="1" t="n">
        <v>45887</v>
      </c>
      <c r="D446" t="inlineStr">
        <is>
          <t>NORRBOTTENS LÄN</t>
        </is>
      </c>
      <c r="E446" t="inlineStr">
        <is>
          <t>LULEÅ</t>
        </is>
      </c>
      <c r="G446" t="n">
        <v>3.8</v>
      </c>
      <c r="H446" t="n">
        <v>0</v>
      </c>
      <c r="I446" t="n">
        <v>0</v>
      </c>
      <c r="J446" t="n">
        <v>0</v>
      </c>
      <c r="K446" t="n">
        <v>0</v>
      </c>
      <c r="L446" t="n">
        <v>0</v>
      </c>
      <c r="M446" t="n">
        <v>0</v>
      </c>
      <c r="N446" t="n">
        <v>0</v>
      </c>
      <c r="O446" t="n">
        <v>0</v>
      </c>
      <c r="P446" t="n">
        <v>0</v>
      </c>
      <c r="Q446" t="n">
        <v>0</v>
      </c>
      <c r="R446" s="2" t="inlineStr"/>
    </row>
    <row r="447" ht="15" customHeight="1">
      <c r="A447" t="inlineStr">
        <is>
          <t>A 7306-2024</t>
        </is>
      </c>
      <c r="B447" s="1" t="n">
        <v>45344</v>
      </c>
      <c r="C447" s="1" t="n">
        <v>45887</v>
      </c>
      <c r="D447" t="inlineStr">
        <is>
          <t>NORRBOTTENS LÄN</t>
        </is>
      </c>
      <c r="E447" t="inlineStr">
        <is>
          <t>LULEÅ</t>
        </is>
      </c>
      <c r="G447" t="n">
        <v>29.2</v>
      </c>
      <c r="H447" t="n">
        <v>0</v>
      </c>
      <c r="I447" t="n">
        <v>0</v>
      </c>
      <c r="J447" t="n">
        <v>0</v>
      </c>
      <c r="K447" t="n">
        <v>0</v>
      </c>
      <c r="L447" t="n">
        <v>0</v>
      </c>
      <c r="M447" t="n">
        <v>0</v>
      </c>
      <c r="N447" t="n">
        <v>0</v>
      </c>
      <c r="O447" t="n">
        <v>0</v>
      </c>
      <c r="P447" t="n">
        <v>0</v>
      </c>
      <c r="Q447" t="n">
        <v>0</v>
      </c>
      <c r="R447" s="2" t="inlineStr"/>
    </row>
    <row r="448" ht="15" customHeight="1">
      <c r="A448" t="inlineStr">
        <is>
          <t>A 54738-2024</t>
        </is>
      </c>
      <c r="B448" s="1" t="n">
        <v>45618.44334490741</v>
      </c>
      <c r="C448" s="1" t="n">
        <v>45887</v>
      </c>
      <c r="D448" t="inlineStr">
        <is>
          <t>NORRBOTTENS LÄN</t>
        </is>
      </c>
      <c r="E448" t="inlineStr">
        <is>
          <t>LULEÅ</t>
        </is>
      </c>
      <c r="G448" t="n">
        <v>4.7</v>
      </c>
      <c r="H448" t="n">
        <v>0</v>
      </c>
      <c r="I448" t="n">
        <v>0</v>
      </c>
      <c r="J448" t="n">
        <v>0</v>
      </c>
      <c r="K448" t="n">
        <v>0</v>
      </c>
      <c r="L448" t="n">
        <v>0</v>
      </c>
      <c r="M448" t="n">
        <v>0</v>
      </c>
      <c r="N448" t="n">
        <v>0</v>
      </c>
      <c r="O448" t="n">
        <v>0</v>
      </c>
      <c r="P448" t="n">
        <v>0</v>
      </c>
      <c r="Q448" t="n">
        <v>0</v>
      </c>
      <c r="R448" s="2" t="inlineStr"/>
    </row>
    <row r="449" ht="15" customHeight="1">
      <c r="A449" t="inlineStr">
        <is>
          <t>A 6386-2023</t>
        </is>
      </c>
      <c r="B449" s="1" t="n">
        <v>44960</v>
      </c>
      <c r="C449" s="1" t="n">
        <v>45887</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49648-2024</t>
        </is>
      </c>
      <c r="B450" s="1" t="n">
        <v>45596</v>
      </c>
      <c r="C450" s="1" t="n">
        <v>45887</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44531-2023</t>
        </is>
      </c>
      <c r="B451" s="1" t="n">
        <v>45183</v>
      </c>
      <c r="C451" s="1" t="n">
        <v>45887</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7689-2025</t>
        </is>
      </c>
      <c r="B452" s="1" t="n">
        <v>45706</v>
      </c>
      <c r="C452" s="1" t="n">
        <v>45887</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54739-2024</t>
        </is>
      </c>
      <c r="B453" s="1" t="n">
        <v>45618.44335648148</v>
      </c>
      <c r="C453" s="1" t="n">
        <v>45887</v>
      </c>
      <c r="D453" t="inlineStr">
        <is>
          <t>NORRBOTTENS LÄN</t>
        </is>
      </c>
      <c r="E453" t="inlineStr">
        <is>
          <t>LULEÅ</t>
        </is>
      </c>
      <c r="G453" t="n">
        <v>4.8</v>
      </c>
      <c r="H453" t="n">
        <v>0</v>
      </c>
      <c r="I453" t="n">
        <v>0</v>
      </c>
      <c r="J453" t="n">
        <v>0</v>
      </c>
      <c r="K453" t="n">
        <v>0</v>
      </c>
      <c r="L453" t="n">
        <v>0</v>
      </c>
      <c r="M453" t="n">
        <v>0</v>
      </c>
      <c r="N453" t="n">
        <v>0</v>
      </c>
      <c r="O453" t="n">
        <v>0</v>
      </c>
      <c r="P453" t="n">
        <v>0</v>
      </c>
      <c r="Q453" t="n">
        <v>0</v>
      </c>
      <c r="R453" s="2" t="inlineStr"/>
    </row>
    <row r="454" ht="15" customHeight="1">
      <c r="A454" t="inlineStr">
        <is>
          <t>A 42024-2024</t>
        </is>
      </c>
      <c r="B454" s="1" t="n">
        <v>45561.72005787037</v>
      </c>
      <c r="C454" s="1" t="n">
        <v>45887</v>
      </c>
      <c r="D454" t="inlineStr">
        <is>
          <t>NORRBOTTENS LÄN</t>
        </is>
      </c>
      <c r="E454" t="inlineStr">
        <is>
          <t>LULEÅ</t>
        </is>
      </c>
      <c r="G454" t="n">
        <v>1.4</v>
      </c>
      <c r="H454" t="n">
        <v>0</v>
      </c>
      <c r="I454" t="n">
        <v>0</v>
      </c>
      <c r="J454" t="n">
        <v>0</v>
      </c>
      <c r="K454" t="n">
        <v>0</v>
      </c>
      <c r="L454" t="n">
        <v>0</v>
      </c>
      <c r="M454" t="n">
        <v>0</v>
      </c>
      <c r="N454" t="n">
        <v>0</v>
      </c>
      <c r="O454" t="n">
        <v>0</v>
      </c>
      <c r="P454" t="n">
        <v>0</v>
      </c>
      <c r="Q454" t="n">
        <v>0</v>
      </c>
      <c r="R454" s="2" t="inlineStr"/>
    </row>
    <row r="455" ht="15" customHeight="1">
      <c r="A455" t="inlineStr">
        <is>
          <t>A 12865-2023</t>
        </is>
      </c>
      <c r="B455" s="1" t="n">
        <v>45001</v>
      </c>
      <c r="C455" s="1" t="n">
        <v>45887</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14447-2023</t>
        </is>
      </c>
      <c r="B456" s="1" t="n">
        <v>45012</v>
      </c>
      <c r="C456" s="1" t="n">
        <v>45887</v>
      </c>
      <c r="D456" t="inlineStr">
        <is>
          <t>NORRBOTTENS LÄN</t>
        </is>
      </c>
      <c r="E456" t="inlineStr">
        <is>
          <t>LULEÅ</t>
        </is>
      </c>
      <c r="G456" t="n">
        <v>0.6</v>
      </c>
      <c r="H456" t="n">
        <v>0</v>
      </c>
      <c r="I456" t="n">
        <v>0</v>
      </c>
      <c r="J456" t="n">
        <v>0</v>
      </c>
      <c r="K456" t="n">
        <v>0</v>
      </c>
      <c r="L456" t="n">
        <v>0</v>
      </c>
      <c r="M456" t="n">
        <v>0</v>
      </c>
      <c r="N456" t="n">
        <v>0</v>
      </c>
      <c r="O456" t="n">
        <v>0</v>
      </c>
      <c r="P456" t="n">
        <v>0</v>
      </c>
      <c r="Q456" t="n">
        <v>0</v>
      </c>
      <c r="R456" s="2" t="inlineStr"/>
    </row>
    <row r="457" ht="15" customHeight="1">
      <c r="A457" t="inlineStr">
        <is>
          <t>A 60121-2024</t>
        </is>
      </c>
      <c r="B457" s="1" t="n">
        <v>45642.58465277778</v>
      </c>
      <c r="C457" s="1" t="n">
        <v>45887</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22364-2021</t>
        </is>
      </c>
      <c r="B458" s="1" t="n">
        <v>44322</v>
      </c>
      <c r="C458" s="1" t="n">
        <v>45887</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57518-2024</t>
        </is>
      </c>
      <c r="B459" s="1" t="n">
        <v>45629</v>
      </c>
      <c r="C459" s="1" t="n">
        <v>45887</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17020-2024</t>
        </is>
      </c>
      <c r="B460" s="1" t="n">
        <v>45411</v>
      </c>
      <c r="C460" s="1" t="n">
        <v>45887</v>
      </c>
      <c r="D460" t="inlineStr">
        <is>
          <t>NORRBOTTENS LÄN</t>
        </is>
      </c>
      <c r="E460" t="inlineStr">
        <is>
          <t>LULEÅ</t>
        </is>
      </c>
      <c r="G460" t="n">
        <v>2.2</v>
      </c>
      <c r="H460" t="n">
        <v>0</v>
      </c>
      <c r="I460" t="n">
        <v>0</v>
      </c>
      <c r="J460" t="n">
        <v>0</v>
      </c>
      <c r="K460" t="n">
        <v>0</v>
      </c>
      <c r="L460" t="n">
        <v>0</v>
      </c>
      <c r="M460" t="n">
        <v>0</v>
      </c>
      <c r="N460" t="n">
        <v>0</v>
      </c>
      <c r="O460" t="n">
        <v>0</v>
      </c>
      <c r="P460" t="n">
        <v>0</v>
      </c>
      <c r="Q460" t="n">
        <v>0</v>
      </c>
      <c r="R460" s="2" t="inlineStr"/>
    </row>
    <row r="461" ht="15" customHeight="1">
      <c r="A461" t="inlineStr">
        <is>
          <t>A 17031-2024</t>
        </is>
      </c>
      <c r="B461" s="1" t="n">
        <v>45411</v>
      </c>
      <c r="C461" s="1" t="n">
        <v>45887</v>
      </c>
      <c r="D461" t="inlineStr">
        <is>
          <t>NORRBOTTENS LÄN</t>
        </is>
      </c>
      <c r="E461" t="inlineStr">
        <is>
          <t>LULEÅ</t>
        </is>
      </c>
      <c r="G461" t="n">
        <v>4.6</v>
      </c>
      <c r="H461" t="n">
        <v>0</v>
      </c>
      <c r="I461" t="n">
        <v>0</v>
      </c>
      <c r="J461" t="n">
        <v>0</v>
      </c>
      <c r="K461" t="n">
        <v>0</v>
      </c>
      <c r="L461" t="n">
        <v>0</v>
      </c>
      <c r="M461" t="n">
        <v>0</v>
      </c>
      <c r="N461" t="n">
        <v>0</v>
      </c>
      <c r="O461" t="n">
        <v>0</v>
      </c>
      <c r="P461" t="n">
        <v>0</v>
      </c>
      <c r="Q461" t="n">
        <v>0</v>
      </c>
      <c r="R461" s="2" t="inlineStr"/>
    </row>
    <row r="462" ht="15" customHeight="1">
      <c r="A462" t="inlineStr">
        <is>
          <t>A 60954-2021</t>
        </is>
      </c>
      <c r="B462" s="1" t="n">
        <v>44496</v>
      </c>
      <c r="C462" s="1" t="n">
        <v>45887</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3185-2025</t>
        </is>
      </c>
      <c r="B463" s="1" t="n">
        <v>45679.40358796297</v>
      </c>
      <c r="C463" s="1" t="n">
        <v>45887</v>
      </c>
      <c r="D463" t="inlineStr">
        <is>
          <t>NORRBOTTENS LÄN</t>
        </is>
      </c>
      <c r="E463" t="inlineStr">
        <is>
          <t>LULEÅ</t>
        </is>
      </c>
      <c r="G463" t="n">
        <v>3.2</v>
      </c>
      <c r="H463" t="n">
        <v>0</v>
      </c>
      <c r="I463" t="n">
        <v>0</v>
      </c>
      <c r="J463" t="n">
        <v>0</v>
      </c>
      <c r="K463" t="n">
        <v>0</v>
      </c>
      <c r="L463" t="n">
        <v>0</v>
      </c>
      <c r="M463" t="n">
        <v>0</v>
      </c>
      <c r="N463" t="n">
        <v>0</v>
      </c>
      <c r="O463" t="n">
        <v>0</v>
      </c>
      <c r="P463" t="n">
        <v>0</v>
      </c>
      <c r="Q463" t="n">
        <v>0</v>
      </c>
      <c r="R463" s="2" t="inlineStr"/>
    </row>
    <row r="464" ht="15" customHeight="1">
      <c r="A464" t="inlineStr">
        <is>
          <t>A 45940-2021</t>
        </is>
      </c>
      <c r="B464" s="1" t="n">
        <v>44441</v>
      </c>
      <c r="C464" s="1" t="n">
        <v>45887</v>
      </c>
      <c r="D464" t="inlineStr">
        <is>
          <t>NORRBOTTENS LÄN</t>
        </is>
      </c>
      <c r="E464" t="inlineStr">
        <is>
          <t>LULEÅ</t>
        </is>
      </c>
      <c r="G464" t="n">
        <v>15.2</v>
      </c>
      <c r="H464" t="n">
        <v>0</v>
      </c>
      <c r="I464" t="n">
        <v>0</v>
      </c>
      <c r="J464" t="n">
        <v>0</v>
      </c>
      <c r="K464" t="n">
        <v>0</v>
      </c>
      <c r="L464" t="n">
        <v>0</v>
      </c>
      <c r="M464" t="n">
        <v>0</v>
      </c>
      <c r="N464" t="n">
        <v>0</v>
      </c>
      <c r="O464" t="n">
        <v>0</v>
      </c>
      <c r="P464" t="n">
        <v>0</v>
      </c>
      <c r="Q464" t="n">
        <v>0</v>
      </c>
      <c r="R464" s="2" t="inlineStr"/>
    </row>
    <row r="465" ht="15" customHeight="1">
      <c r="A465" t="inlineStr">
        <is>
          <t>A 23730-2023</t>
        </is>
      </c>
      <c r="B465" s="1" t="n">
        <v>45077</v>
      </c>
      <c r="C465" s="1" t="n">
        <v>45887</v>
      </c>
      <c r="D465" t="inlineStr">
        <is>
          <t>NORRBOTTENS LÄN</t>
        </is>
      </c>
      <c r="E465" t="inlineStr">
        <is>
          <t>LULEÅ</t>
        </is>
      </c>
      <c r="G465" t="n">
        <v>2.1</v>
      </c>
      <c r="H465" t="n">
        <v>0</v>
      </c>
      <c r="I465" t="n">
        <v>0</v>
      </c>
      <c r="J465" t="n">
        <v>0</v>
      </c>
      <c r="K465" t="n">
        <v>0</v>
      </c>
      <c r="L465" t="n">
        <v>0</v>
      </c>
      <c r="M465" t="n">
        <v>0</v>
      </c>
      <c r="N465" t="n">
        <v>0</v>
      </c>
      <c r="O465" t="n">
        <v>0</v>
      </c>
      <c r="P465" t="n">
        <v>0</v>
      </c>
      <c r="Q465" t="n">
        <v>0</v>
      </c>
      <c r="R465" s="2" t="inlineStr"/>
    </row>
    <row r="466" ht="15" customHeight="1">
      <c r="A466" t="inlineStr">
        <is>
          <t>A 61488-2024</t>
        </is>
      </c>
      <c r="B466" s="1" t="n">
        <v>45646.54873842592</v>
      </c>
      <c r="C466" s="1" t="n">
        <v>45887</v>
      </c>
      <c r="D466" t="inlineStr">
        <is>
          <t>NORRBOTTENS LÄN</t>
        </is>
      </c>
      <c r="E466" t="inlineStr">
        <is>
          <t>LULEÅ</t>
        </is>
      </c>
      <c r="G466" t="n">
        <v>3.4</v>
      </c>
      <c r="H466" t="n">
        <v>0</v>
      </c>
      <c r="I466" t="n">
        <v>0</v>
      </c>
      <c r="J466" t="n">
        <v>0</v>
      </c>
      <c r="K466" t="n">
        <v>0</v>
      </c>
      <c r="L466" t="n">
        <v>0</v>
      </c>
      <c r="M466" t="n">
        <v>0</v>
      </c>
      <c r="N466" t="n">
        <v>0</v>
      </c>
      <c r="O466" t="n">
        <v>0</v>
      </c>
      <c r="P466" t="n">
        <v>0</v>
      </c>
      <c r="Q466" t="n">
        <v>0</v>
      </c>
      <c r="R466" s="2" t="inlineStr"/>
    </row>
    <row r="467" ht="15" customHeight="1">
      <c r="A467" t="inlineStr">
        <is>
          <t>A 35249-2021</t>
        </is>
      </c>
      <c r="B467" s="1" t="n">
        <v>44384</v>
      </c>
      <c r="C467" s="1" t="n">
        <v>45887</v>
      </c>
      <c r="D467" t="inlineStr">
        <is>
          <t>NORRBOTTENS LÄN</t>
        </is>
      </c>
      <c r="E467" t="inlineStr">
        <is>
          <t>LULEÅ</t>
        </is>
      </c>
      <c r="G467" t="n">
        <v>2.4</v>
      </c>
      <c r="H467" t="n">
        <v>0</v>
      </c>
      <c r="I467" t="n">
        <v>0</v>
      </c>
      <c r="J467" t="n">
        <v>0</v>
      </c>
      <c r="K467" t="n">
        <v>0</v>
      </c>
      <c r="L467" t="n">
        <v>0</v>
      </c>
      <c r="M467" t="n">
        <v>0</v>
      </c>
      <c r="N467" t="n">
        <v>0</v>
      </c>
      <c r="O467" t="n">
        <v>0</v>
      </c>
      <c r="P467" t="n">
        <v>0</v>
      </c>
      <c r="Q467" t="n">
        <v>0</v>
      </c>
      <c r="R467" s="2" t="inlineStr"/>
    </row>
    <row r="468" ht="15" customHeight="1">
      <c r="A468" t="inlineStr">
        <is>
          <t>A 17427-2023</t>
        </is>
      </c>
      <c r="B468" s="1" t="n">
        <v>45035</v>
      </c>
      <c r="C468" s="1" t="n">
        <v>45887</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656-2025</t>
        </is>
      </c>
      <c r="B469" s="1" t="n">
        <v>45661</v>
      </c>
      <c r="C469" s="1" t="n">
        <v>45887</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17898-2025</t>
        </is>
      </c>
      <c r="B470" s="1" t="n">
        <v>45758</v>
      </c>
      <c r="C470" s="1" t="n">
        <v>45887</v>
      </c>
      <c r="D470" t="inlineStr">
        <is>
          <t>NORRBOTTENS LÄN</t>
        </is>
      </c>
      <c r="E470" t="inlineStr">
        <is>
          <t>LULEÅ</t>
        </is>
      </c>
      <c r="G470" t="n">
        <v>2.1</v>
      </c>
      <c r="H470" t="n">
        <v>0</v>
      </c>
      <c r="I470" t="n">
        <v>0</v>
      </c>
      <c r="J470" t="n">
        <v>0</v>
      </c>
      <c r="K470" t="n">
        <v>0</v>
      </c>
      <c r="L470" t="n">
        <v>0</v>
      </c>
      <c r="M470" t="n">
        <v>0</v>
      </c>
      <c r="N470" t="n">
        <v>0</v>
      </c>
      <c r="O470" t="n">
        <v>0</v>
      </c>
      <c r="P470" t="n">
        <v>0</v>
      </c>
      <c r="Q470" t="n">
        <v>0</v>
      </c>
      <c r="R470" s="2" t="inlineStr"/>
    </row>
    <row r="471" ht="15" customHeight="1">
      <c r="A471" t="inlineStr">
        <is>
          <t>A 31347-2023</t>
        </is>
      </c>
      <c r="B471" s="1" t="n">
        <v>45104</v>
      </c>
      <c r="C471" s="1" t="n">
        <v>45887</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23632-2021</t>
        </is>
      </c>
      <c r="B472" s="1" t="n">
        <v>44334</v>
      </c>
      <c r="C472" s="1" t="n">
        <v>45887</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63024-2020</t>
        </is>
      </c>
      <c r="B473" s="1" t="n">
        <v>44162</v>
      </c>
      <c r="C473" s="1" t="n">
        <v>45887</v>
      </c>
      <c r="D473" t="inlineStr">
        <is>
          <t>NORRBOTTENS LÄN</t>
        </is>
      </c>
      <c r="E473" t="inlineStr">
        <is>
          <t>LULEÅ</t>
        </is>
      </c>
      <c r="F473" t="inlineStr">
        <is>
          <t>Kyrkan</t>
        </is>
      </c>
      <c r="G473" t="n">
        <v>27.4</v>
      </c>
      <c r="H473" t="n">
        <v>0</v>
      </c>
      <c r="I473" t="n">
        <v>0</v>
      </c>
      <c r="J473" t="n">
        <v>0</v>
      </c>
      <c r="K473" t="n">
        <v>0</v>
      </c>
      <c r="L473" t="n">
        <v>0</v>
      </c>
      <c r="M473" t="n">
        <v>0</v>
      </c>
      <c r="N473" t="n">
        <v>0</v>
      </c>
      <c r="O473" t="n">
        <v>0</v>
      </c>
      <c r="P473" t="n">
        <v>0</v>
      </c>
      <c r="Q473" t="n">
        <v>0</v>
      </c>
      <c r="R473" s="2" t="inlineStr"/>
    </row>
    <row r="474" ht="15" customHeight="1">
      <c r="A474" t="inlineStr">
        <is>
          <t>A 2561-2022</t>
        </is>
      </c>
      <c r="B474" s="1" t="n">
        <v>44579</v>
      </c>
      <c r="C474" s="1" t="n">
        <v>45887</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61504-2024</t>
        </is>
      </c>
      <c r="B475" s="1" t="n">
        <v>45646.56238425926</v>
      </c>
      <c r="C475" s="1" t="n">
        <v>45887</v>
      </c>
      <c r="D475" t="inlineStr">
        <is>
          <t>NORRBOTTENS LÄN</t>
        </is>
      </c>
      <c r="E475" t="inlineStr">
        <is>
          <t>LULEÅ</t>
        </is>
      </c>
      <c r="G475" t="n">
        <v>3.1</v>
      </c>
      <c r="H475" t="n">
        <v>0</v>
      </c>
      <c r="I475" t="n">
        <v>0</v>
      </c>
      <c r="J475" t="n">
        <v>0</v>
      </c>
      <c r="K475" t="n">
        <v>0</v>
      </c>
      <c r="L475" t="n">
        <v>0</v>
      </c>
      <c r="M475" t="n">
        <v>0</v>
      </c>
      <c r="N475" t="n">
        <v>0</v>
      </c>
      <c r="O475" t="n">
        <v>0</v>
      </c>
      <c r="P475" t="n">
        <v>0</v>
      </c>
      <c r="Q475" t="n">
        <v>0</v>
      </c>
      <c r="R475" s="2" t="inlineStr"/>
    </row>
    <row r="476" ht="15" customHeight="1">
      <c r="A476" t="inlineStr">
        <is>
          <t>A 8764-2025</t>
        </is>
      </c>
      <c r="B476" s="1" t="n">
        <v>45712.58021990741</v>
      </c>
      <c r="C476" s="1" t="n">
        <v>45887</v>
      </c>
      <c r="D476" t="inlineStr">
        <is>
          <t>NORRBOTTENS LÄN</t>
        </is>
      </c>
      <c r="E476" t="inlineStr">
        <is>
          <t>LULEÅ</t>
        </is>
      </c>
      <c r="G476" t="n">
        <v>2.3</v>
      </c>
      <c r="H476" t="n">
        <v>0</v>
      </c>
      <c r="I476" t="n">
        <v>0</v>
      </c>
      <c r="J476" t="n">
        <v>0</v>
      </c>
      <c r="K476" t="n">
        <v>0</v>
      </c>
      <c r="L476" t="n">
        <v>0</v>
      </c>
      <c r="M476" t="n">
        <v>0</v>
      </c>
      <c r="N476" t="n">
        <v>0</v>
      </c>
      <c r="O476" t="n">
        <v>0</v>
      </c>
      <c r="P476" t="n">
        <v>0</v>
      </c>
      <c r="Q476" t="n">
        <v>0</v>
      </c>
      <c r="R476" s="2" t="inlineStr"/>
    </row>
    <row r="477" ht="15" customHeight="1">
      <c r="A477" t="inlineStr">
        <is>
          <t>A 53603-2024</t>
        </is>
      </c>
      <c r="B477" s="1" t="n">
        <v>45614.69736111111</v>
      </c>
      <c r="C477" s="1" t="n">
        <v>45887</v>
      </c>
      <c r="D477" t="inlineStr">
        <is>
          <t>NORRBOTTENS LÄN</t>
        </is>
      </c>
      <c r="E477" t="inlineStr">
        <is>
          <t>LULEÅ</t>
        </is>
      </c>
      <c r="G477" t="n">
        <v>3.2</v>
      </c>
      <c r="H477" t="n">
        <v>0</v>
      </c>
      <c r="I477" t="n">
        <v>0</v>
      </c>
      <c r="J477" t="n">
        <v>0</v>
      </c>
      <c r="K477" t="n">
        <v>0</v>
      </c>
      <c r="L477" t="n">
        <v>0</v>
      </c>
      <c r="M477" t="n">
        <v>0</v>
      </c>
      <c r="N477" t="n">
        <v>0</v>
      </c>
      <c r="O477" t="n">
        <v>0</v>
      </c>
      <c r="P477" t="n">
        <v>0</v>
      </c>
      <c r="Q477" t="n">
        <v>0</v>
      </c>
      <c r="R477" s="2" t="inlineStr"/>
    </row>
    <row r="478" ht="15" customHeight="1">
      <c r="A478" t="inlineStr">
        <is>
          <t>A 31067-2023</t>
        </is>
      </c>
      <c r="B478" s="1" t="n">
        <v>45113</v>
      </c>
      <c r="C478" s="1" t="n">
        <v>45887</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47931-2024</t>
        </is>
      </c>
      <c r="B479" s="1" t="n">
        <v>45589</v>
      </c>
      <c r="C479" s="1" t="n">
        <v>45887</v>
      </c>
      <c r="D479" t="inlineStr">
        <is>
          <t>NORRBOTTENS LÄN</t>
        </is>
      </c>
      <c r="E479" t="inlineStr">
        <is>
          <t>LULEÅ</t>
        </is>
      </c>
      <c r="F479" t="inlineStr">
        <is>
          <t>Naturvårdsverket</t>
        </is>
      </c>
      <c r="G479" t="n">
        <v>1.2</v>
      </c>
      <c r="H479" t="n">
        <v>0</v>
      </c>
      <c r="I479" t="n">
        <v>0</v>
      </c>
      <c r="J479" t="n">
        <v>0</v>
      </c>
      <c r="K479" t="n">
        <v>0</v>
      </c>
      <c r="L479" t="n">
        <v>0</v>
      </c>
      <c r="M479" t="n">
        <v>0</v>
      </c>
      <c r="N479" t="n">
        <v>0</v>
      </c>
      <c r="O479" t="n">
        <v>0</v>
      </c>
      <c r="P479" t="n">
        <v>0</v>
      </c>
      <c r="Q479" t="n">
        <v>0</v>
      </c>
      <c r="R479" s="2" t="inlineStr"/>
    </row>
    <row r="480" ht="15" customHeight="1">
      <c r="A480" t="inlineStr">
        <is>
          <t>A 12549-2024</t>
        </is>
      </c>
      <c r="B480" s="1" t="n">
        <v>45379</v>
      </c>
      <c r="C480" s="1" t="n">
        <v>45887</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4123-2024</t>
        </is>
      </c>
      <c r="B481" s="1" t="n">
        <v>45323</v>
      </c>
      <c r="C481" s="1" t="n">
        <v>45887</v>
      </c>
      <c r="D481" t="inlineStr">
        <is>
          <t>NORRBOTTENS LÄN</t>
        </is>
      </c>
      <c r="E481" t="inlineStr">
        <is>
          <t>LULEÅ</t>
        </is>
      </c>
      <c r="G481" t="n">
        <v>5.3</v>
      </c>
      <c r="H481" t="n">
        <v>0</v>
      </c>
      <c r="I481" t="n">
        <v>0</v>
      </c>
      <c r="J481" t="n">
        <v>0</v>
      </c>
      <c r="K481" t="n">
        <v>0</v>
      </c>
      <c r="L481" t="n">
        <v>0</v>
      </c>
      <c r="M481" t="n">
        <v>0</v>
      </c>
      <c r="N481" t="n">
        <v>0</v>
      </c>
      <c r="O481" t="n">
        <v>0</v>
      </c>
      <c r="P481" t="n">
        <v>0</v>
      </c>
      <c r="Q481" t="n">
        <v>0</v>
      </c>
      <c r="R481" s="2" t="inlineStr"/>
    </row>
    <row r="482" ht="15" customHeight="1">
      <c r="A482" t="inlineStr">
        <is>
          <t>A 60130-2024</t>
        </is>
      </c>
      <c r="B482" s="1" t="n">
        <v>45642.59327546296</v>
      </c>
      <c r="C482" s="1" t="n">
        <v>45887</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55076-2024</t>
        </is>
      </c>
      <c r="B483" s="1" t="n">
        <v>45621.42574074074</v>
      </c>
      <c r="C483" s="1" t="n">
        <v>45887</v>
      </c>
      <c r="D483" t="inlineStr">
        <is>
          <t>NORRBOTTENS LÄN</t>
        </is>
      </c>
      <c r="E483" t="inlineStr">
        <is>
          <t>LULEÅ</t>
        </is>
      </c>
      <c r="G483" t="n">
        <v>6.2</v>
      </c>
      <c r="H483" t="n">
        <v>0</v>
      </c>
      <c r="I483" t="n">
        <v>0</v>
      </c>
      <c r="J483" t="n">
        <v>0</v>
      </c>
      <c r="K483" t="n">
        <v>0</v>
      </c>
      <c r="L483" t="n">
        <v>0</v>
      </c>
      <c r="M483" t="n">
        <v>0</v>
      </c>
      <c r="N483" t="n">
        <v>0</v>
      </c>
      <c r="O483" t="n">
        <v>0</v>
      </c>
      <c r="P483" t="n">
        <v>0</v>
      </c>
      <c r="Q483" t="n">
        <v>0</v>
      </c>
      <c r="R483" s="2" t="inlineStr"/>
    </row>
    <row r="484" ht="15" customHeight="1">
      <c r="A484" t="inlineStr">
        <is>
          <t>A 5342-2025</t>
        </is>
      </c>
      <c r="B484" s="1" t="n">
        <v>45692.55262731481</v>
      </c>
      <c r="C484" s="1" t="n">
        <v>45887</v>
      </c>
      <c r="D484" t="inlineStr">
        <is>
          <t>NORRBOTTENS LÄN</t>
        </is>
      </c>
      <c r="E484" t="inlineStr">
        <is>
          <t>LULEÅ</t>
        </is>
      </c>
      <c r="G484" t="n">
        <v>2.3</v>
      </c>
      <c r="H484" t="n">
        <v>0</v>
      </c>
      <c r="I484" t="n">
        <v>0</v>
      </c>
      <c r="J484" t="n">
        <v>0</v>
      </c>
      <c r="K484" t="n">
        <v>0</v>
      </c>
      <c r="L484" t="n">
        <v>0</v>
      </c>
      <c r="M484" t="n">
        <v>0</v>
      </c>
      <c r="N484" t="n">
        <v>0</v>
      </c>
      <c r="O484" t="n">
        <v>0</v>
      </c>
      <c r="P484" t="n">
        <v>0</v>
      </c>
      <c r="Q484" t="n">
        <v>0</v>
      </c>
      <c r="R484" s="2" t="inlineStr"/>
    </row>
    <row r="485" ht="15" customHeight="1">
      <c r="A485" t="inlineStr">
        <is>
          <t>A 17439-2023</t>
        </is>
      </c>
      <c r="B485" s="1" t="n">
        <v>45035.92714120371</v>
      </c>
      <c r="C485" s="1" t="n">
        <v>45887</v>
      </c>
      <c r="D485" t="inlineStr">
        <is>
          <t>NORRBOTTENS LÄN</t>
        </is>
      </c>
      <c r="E485" t="inlineStr">
        <is>
          <t>LULEÅ</t>
        </is>
      </c>
      <c r="G485" t="n">
        <v>1.5</v>
      </c>
      <c r="H485" t="n">
        <v>0</v>
      </c>
      <c r="I485" t="n">
        <v>0</v>
      </c>
      <c r="J485" t="n">
        <v>0</v>
      </c>
      <c r="K485" t="n">
        <v>0</v>
      </c>
      <c r="L485" t="n">
        <v>0</v>
      </c>
      <c r="M485" t="n">
        <v>0</v>
      </c>
      <c r="N485" t="n">
        <v>0</v>
      </c>
      <c r="O485" t="n">
        <v>0</v>
      </c>
      <c r="P485" t="n">
        <v>0</v>
      </c>
      <c r="Q485" t="n">
        <v>0</v>
      </c>
      <c r="R485" s="2" t="inlineStr"/>
    </row>
    <row r="486" ht="15" customHeight="1">
      <c r="A486" t="inlineStr">
        <is>
          <t>A 49641-2024</t>
        </is>
      </c>
      <c r="B486" s="1" t="n">
        <v>45596</v>
      </c>
      <c r="C486" s="1" t="n">
        <v>45887</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6957-2025</t>
        </is>
      </c>
      <c r="B487" s="1" t="n">
        <v>45701.49048611111</v>
      </c>
      <c r="C487" s="1" t="n">
        <v>45887</v>
      </c>
      <c r="D487" t="inlineStr">
        <is>
          <t>NORRBOTTENS LÄN</t>
        </is>
      </c>
      <c r="E487" t="inlineStr">
        <is>
          <t>LULEÅ</t>
        </is>
      </c>
      <c r="G487" t="n">
        <v>0.8</v>
      </c>
      <c r="H487" t="n">
        <v>0</v>
      </c>
      <c r="I487" t="n">
        <v>0</v>
      </c>
      <c r="J487" t="n">
        <v>0</v>
      </c>
      <c r="K487" t="n">
        <v>0</v>
      </c>
      <c r="L487" t="n">
        <v>0</v>
      </c>
      <c r="M487" t="n">
        <v>0</v>
      </c>
      <c r="N487" t="n">
        <v>0</v>
      </c>
      <c r="O487" t="n">
        <v>0</v>
      </c>
      <c r="P487" t="n">
        <v>0</v>
      </c>
      <c r="Q487" t="n">
        <v>0</v>
      </c>
      <c r="R487" s="2" t="inlineStr"/>
    </row>
    <row r="488" ht="15" customHeight="1">
      <c r="A488" t="inlineStr">
        <is>
          <t>A 26925-2024</t>
        </is>
      </c>
      <c r="B488" s="1" t="n">
        <v>45470.93118055556</v>
      </c>
      <c r="C488" s="1" t="n">
        <v>45887</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55747-2023</t>
        </is>
      </c>
      <c r="B489" s="1" t="n">
        <v>45232</v>
      </c>
      <c r="C489" s="1" t="n">
        <v>45887</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145-2025</t>
        </is>
      </c>
      <c r="B490" s="1" t="n">
        <v>45659.59091435185</v>
      </c>
      <c r="C490" s="1" t="n">
        <v>45887</v>
      </c>
      <c r="D490" t="inlineStr">
        <is>
          <t>NORRBOTTENS LÄN</t>
        </is>
      </c>
      <c r="E490" t="inlineStr">
        <is>
          <t>LULEÅ</t>
        </is>
      </c>
      <c r="G490" t="n">
        <v>1.4</v>
      </c>
      <c r="H490" t="n">
        <v>0</v>
      </c>
      <c r="I490" t="n">
        <v>0</v>
      </c>
      <c r="J490" t="n">
        <v>0</v>
      </c>
      <c r="K490" t="n">
        <v>0</v>
      </c>
      <c r="L490" t="n">
        <v>0</v>
      </c>
      <c r="M490" t="n">
        <v>0</v>
      </c>
      <c r="N490" t="n">
        <v>0</v>
      </c>
      <c r="O490" t="n">
        <v>0</v>
      </c>
      <c r="P490" t="n">
        <v>0</v>
      </c>
      <c r="Q490" t="n">
        <v>0</v>
      </c>
      <c r="R490" s="2" t="inlineStr"/>
    </row>
    <row r="491" ht="15" customHeight="1">
      <c r="A491" t="inlineStr">
        <is>
          <t>A 54769-2024</t>
        </is>
      </c>
      <c r="B491" s="1" t="n">
        <v>45618.47244212963</v>
      </c>
      <c r="C491" s="1" t="n">
        <v>45887</v>
      </c>
      <c r="D491" t="inlineStr">
        <is>
          <t>NORRBOTTENS LÄN</t>
        </is>
      </c>
      <c r="E491" t="inlineStr">
        <is>
          <t>LULEÅ</t>
        </is>
      </c>
      <c r="G491" t="n">
        <v>8.4</v>
      </c>
      <c r="H491" t="n">
        <v>0</v>
      </c>
      <c r="I491" t="n">
        <v>0</v>
      </c>
      <c r="J491" t="n">
        <v>0</v>
      </c>
      <c r="K491" t="n">
        <v>0</v>
      </c>
      <c r="L491" t="n">
        <v>0</v>
      </c>
      <c r="M491" t="n">
        <v>0</v>
      </c>
      <c r="N491" t="n">
        <v>0</v>
      </c>
      <c r="O491" t="n">
        <v>0</v>
      </c>
      <c r="P491" t="n">
        <v>0</v>
      </c>
      <c r="Q491" t="n">
        <v>0</v>
      </c>
      <c r="R491" s="2" t="inlineStr"/>
    </row>
    <row r="492" ht="15" customHeight="1">
      <c r="A492" t="inlineStr">
        <is>
          <t>A 38885-2023</t>
        </is>
      </c>
      <c r="B492" s="1" t="n">
        <v>45161</v>
      </c>
      <c r="C492" s="1" t="n">
        <v>45887</v>
      </c>
      <c r="D492" t="inlineStr">
        <is>
          <t>NORRBOTTENS LÄN</t>
        </is>
      </c>
      <c r="E492" t="inlineStr">
        <is>
          <t>LULEÅ</t>
        </is>
      </c>
      <c r="G492" t="n">
        <v>0.4</v>
      </c>
      <c r="H492" t="n">
        <v>0</v>
      </c>
      <c r="I492" t="n">
        <v>0</v>
      </c>
      <c r="J492" t="n">
        <v>0</v>
      </c>
      <c r="K492" t="n">
        <v>0</v>
      </c>
      <c r="L492" t="n">
        <v>0</v>
      </c>
      <c r="M492" t="n">
        <v>0</v>
      </c>
      <c r="N492" t="n">
        <v>0</v>
      </c>
      <c r="O492" t="n">
        <v>0</v>
      </c>
      <c r="P492" t="n">
        <v>0</v>
      </c>
      <c r="Q492" t="n">
        <v>0</v>
      </c>
      <c r="R492" s="2" t="inlineStr"/>
    </row>
    <row r="493" ht="15" customHeight="1">
      <c r="A493" t="inlineStr">
        <is>
          <t>A 1513-2025</t>
        </is>
      </c>
      <c r="B493" s="1" t="n">
        <v>45670.45391203704</v>
      </c>
      <c r="C493" s="1" t="n">
        <v>45887</v>
      </c>
      <c r="D493" t="inlineStr">
        <is>
          <t>NORRBOTTENS LÄN</t>
        </is>
      </c>
      <c r="E493" t="inlineStr">
        <is>
          <t>LULEÅ</t>
        </is>
      </c>
      <c r="G493" t="n">
        <v>1.9</v>
      </c>
      <c r="H493" t="n">
        <v>0</v>
      </c>
      <c r="I493" t="n">
        <v>0</v>
      </c>
      <c r="J493" t="n">
        <v>0</v>
      </c>
      <c r="K493" t="n">
        <v>0</v>
      </c>
      <c r="L493" t="n">
        <v>0</v>
      </c>
      <c r="M493" t="n">
        <v>0</v>
      </c>
      <c r="N493" t="n">
        <v>0</v>
      </c>
      <c r="O493" t="n">
        <v>0</v>
      </c>
      <c r="P493" t="n">
        <v>0</v>
      </c>
      <c r="Q493" t="n">
        <v>0</v>
      </c>
      <c r="R493" s="2" t="inlineStr"/>
    </row>
    <row r="494" ht="15" customHeight="1">
      <c r="A494" t="inlineStr">
        <is>
          <t>A 6958-2025</t>
        </is>
      </c>
      <c r="B494" s="1" t="n">
        <v>45701.49054398148</v>
      </c>
      <c r="C494" s="1" t="n">
        <v>45887</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59682-2023</t>
        </is>
      </c>
      <c r="B495" s="1" t="n">
        <v>45255</v>
      </c>
      <c r="C495" s="1" t="n">
        <v>45887</v>
      </c>
      <c r="D495" t="inlineStr">
        <is>
          <t>NORRBOTTENS LÄN</t>
        </is>
      </c>
      <c r="E495" t="inlineStr">
        <is>
          <t>LULEÅ</t>
        </is>
      </c>
      <c r="G495" t="n">
        <v>2</v>
      </c>
      <c r="H495" t="n">
        <v>0</v>
      </c>
      <c r="I495" t="n">
        <v>0</v>
      </c>
      <c r="J495" t="n">
        <v>0</v>
      </c>
      <c r="K495" t="n">
        <v>0</v>
      </c>
      <c r="L495" t="n">
        <v>0</v>
      </c>
      <c r="M495" t="n">
        <v>0</v>
      </c>
      <c r="N495" t="n">
        <v>0</v>
      </c>
      <c r="O495" t="n">
        <v>0</v>
      </c>
      <c r="P495" t="n">
        <v>0</v>
      </c>
      <c r="Q495" t="n">
        <v>0</v>
      </c>
      <c r="R495" s="2" t="inlineStr"/>
    </row>
    <row r="496" ht="15" customHeight="1">
      <c r="A496" t="inlineStr">
        <is>
          <t>A 731-2025</t>
        </is>
      </c>
      <c r="B496" s="1" t="n">
        <v>45664</v>
      </c>
      <c r="C496" s="1" t="n">
        <v>45887</v>
      </c>
      <c r="D496" t="inlineStr">
        <is>
          <t>NORRBOTTENS LÄN</t>
        </is>
      </c>
      <c r="E496" t="inlineStr">
        <is>
          <t>LULEÅ</t>
        </is>
      </c>
      <c r="G496" t="n">
        <v>0.4</v>
      </c>
      <c r="H496" t="n">
        <v>0</v>
      </c>
      <c r="I496" t="n">
        <v>0</v>
      </c>
      <c r="J496" t="n">
        <v>0</v>
      </c>
      <c r="K496" t="n">
        <v>0</v>
      </c>
      <c r="L496" t="n">
        <v>0</v>
      </c>
      <c r="M496" t="n">
        <v>0</v>
      </c>
      <c r="N496" t="n">
        <v>0</v>
      </c>
      <c r="O496" t="n">
        <v>0</v>
      </c>
      <c r="P496" t="n">
        <v>0</v>
      </c>
      <c r="Q496" t="n">
        <v>0</v>
      </c>
      <c r="R496" s="2" t="inlineStr"/>
    </row>
    <row r="497" ht="15" customHeight="1">
      <c r="A497" t="inlineStr">
        <is>
          <t>A 9274-2023</t>
        </is>
      </c>
      <c r="B497" s="1" t="n">
        <v>44977</v>
      </c>
      <c r="C497" s="1" t="n">
        <v>45887</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9278-2023</t>
        </is>
      </c>
      <c r="B498" s="1" t="n">
        <v>44977</v>
      </c>
      <c r="C498" s="1" t="n">
        <v>45887</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37820-2022</t>
        </is>
      </c>
      <c r="B499" s="1" t="n">
        <v>44810</v>
      </c>
      <c r="C499" s="1" t="n">
        <v>45887</v>
      </c>
      <c r="D499" t="inlineStr">
        <is>
          <t>NORRBOTTENS LÄN</t>
        </is>
      </c>
      <c r="E499" t="inlineStr">
        <is>
          <t>LULEÅ</t>
        </is>
      </c>
      <c r="G499" t="n">
        <v>3.1</v>
      </c>
      <c r="H499" t="n">
        <v>0</v>
      </c>
      <c r="I499" t="n">
        <v>0</v>
      </c>
      <c r="J499" t="n">
        <v>0</v>
      </c>
      <c r="K499" t="n">
        <v>0</v>
      </c>
      <c r="L499" t="n">
        <v>0</v>
      </c>
      <c r="M499" t="n">
        <v>0</v>
      </c>
      <c r="N499" t="n">
        <v>0</v>
      </c>
      <c r="O499" t="n">
        <v>0</v>
      </c>
      <c r="P499" t="n">
        <v>0</v>
      </c>
      <c r="Q499" t="n">
        <v>0</v>
      </c>
      <c r="R499" s="2" t="inlineStr"/>
    </row>
    <row r="500" ht="15" customHeight="1">
      <c r="A500" t="inlineStr">
        <is>
          <t>A 9449-2023</t>
        </is>
      </c>
      <c r="B500" s="1" t="n">
        <v>44981</v>
      </c>
      <c r="C500" s="1" t="n">
        <v>45887</v>
      </c>
      <c r="D500" t="inlineStr">
        <is>
          <t>NORRBOTTENS LÄN</t>
        </is>
      </c>
      <c r="E500" t="inlineStr">
        <is>
          <t>LULEÅ</t>
        </is>
      </c>
      <c r="G500" t="n">
        <v>6.1</v>
      </c>
      <c r="H500" t="n">
        <v>0</v>
      </c>
      <c r="I500" t="n">
        <v>0</v>
      </c>
      <c r="J500" t="n">
        <v>0</v>
      </c>
      <c r="K500" t="n">
        <v>0</v>
      </c>
      <c r="L500" t="n">
        <v>0</v>
      </c>
      <c r="M500" t="n">
        <v>0</v>
      </c>
      <c r="N500" t="n">
        <v>0</v>
      </c>
      <c r="O500" t="n">
        <v>0</v>
      </c>
      <c r="P500" t="n">
        <v>0</v>
      </c>
      <c r="Q500" t="n">
        <v>0</v>
      </c>
      <c r="R500" s="2" t="inlineStr"/>
    </row>
    <row r="501" ht="15" customHeight="1">
      <c r="A501" t="inlineStr">
        <is>
          <t>A 9286-2023</t>
        </is>
      </c>
      <c r="B501" s="1" t="n">
        <v>44977</v>
      </c>
      <c r="C501" s="1" t="n">
        <v>45887</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9289-2023</t>
        </is>
      </c>
      <c r="B502" s="1" t="n">
        <v>44977</v>
      </c>
      <c r="C502" s="1" t="n">
        <v>45887</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6841-2024</t>
        </is>
      </c>
      <c r="B503" s="1" t="n">
        <v>45342</v>
      </c>
      <c r="C503" s="1" t="n">
        <v>45887</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8816-2023</t>
        </is>
      </c>
      <c r="B504" s="1" t="n">
        <v>44973</v>
      </c>
      <c r="C504" s="1" t="n">
        <v>45887</v>
      </c>
      <c r="D504" t="inlineStr">
        <is>
          <t>NORRBOTTENS LÄN</t>
        </is>
      </c>
      <c r="E504" t="inlineStr">
        <is>
          <t>LULEÅ</t>
        </is>
      </c>
      <c r="G504" t="n">
        <v>7.4</v>
      </c>
      <c r="H504" t="n">
        <v>0</v>
      </c>
      <c r="I504" t="n">
        <v>0</v>
      </c>
      <c r="J504" t="n">
        <v>0</v>
      </c>
      <c r="K504" t="n">
        <v>0</v>
      </c>
      <c r="L504" t="n">
        <v>0</v>
      </c>
      <c r="M504" t="n">
        <v>0</v>
      </c>
      <c r="N504" t="n">
        <v>0</v>
      </c>
      <c r="O504" t="n">
        <v>0</v>
      </c>
      <c r="P504" t="n">
        <v>0</v>
      </c>
      <c r="Q504" t="n">
        <v>0</v>
      </c>
      <c r="R504" s="2" t="inlineStr"/>
    </row>
    <row r="505" ht="15" customHeight="1">
      <c r="A505" t="inlineStr">
        <is>
          <t>A 1058-2025</t>
        </is>
      </c>
      <c r="B505" s="1" t="n">
        <v>45665</v>
      </c>
      <c r="C505" s="1" t="n">
        <v>45887</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8068-2023</t>
        </is>
      </c>
      <c r="B506" s="1" t="n">
        <v>44974.36233796296</v>
      </c>
      <c r="C506" s="1" t="n">
        <v>45887</v>
      </c>
      <c r="D506" t="inlineStr">
        <is>
          <t>NORRBOTTENS LÄN</t>
        </is>
      </c>
      <c r="E506" t="inlineStr">
        <is>
          <t>LULEÅ</t>
        </is>
      </c>
      <c r="G506" t="n">
        <v>5.4</v>
      </c>
      <c r="H506" t="n">
        <v>0</v>
      </c>
      <c r="I506" t="n">
        <v>0</v>
      </c>
      <c r="J506" t="n">
        <v>0</v>
      </c>
      <c r="K506" t="n">
        <v>0</v>
      </c>
      <c r="L506" t="n">
        <v>0</v>
      </c>
      <c r="M506" t="n">
        <v>0</v>
      </c>
      <c r="N506" t="n">
        <v>0</v>
      </c>
      <c r="O506" t="n">
        <v>0</v>
      </c>
      <c r="P506" t="n">
        <v>0</v>
      </c>
      <c r="Q506" t="n">
        <v>0</v>
      </c>
      <c r="R506" s="2" t="inlineStr"/>
    </row>
    <row r="507" ht="15" customHeight="1">
      <c r="A507" t="inlineStr">
        <is>
          <t>A 35962-2021</t>
        </is>
      </c>
      <c r="B507" s="1" t="n">
        <v>44385</v>
      </c>
      <c r="C507" s="1" t="n">
        <v>45887</v>
      </c>
      <c r="D507" t="inlineStr">
        <is>
          <t>NORRBOTTENS LÄN</t>
        </is>
      </c>
      <c r="E507" t="inlineStr">
        <is>
          <t>LULEÅ</t>
        </is>
      </c>
      <c r="G507" t="n">
        <v>0.9</v>
      </c>
      <c r="H507" t="n">
        <v>0</v>
      </c>
      <c r="I507" t="n">
        <v>0</v>
      </c>
      <c r="J507" t="n">
        <v>0</v>
      </c>
      <c r="K507" t="n">
        <v>0</v>
      </c>
      <c r="L507" t="n">
        <v>0</v>
      </c>
      <c r="M507" t="n">
        <v>0</v>
      </c>
      <c r="N507" t="n">
        <v>0</v>
      </c>
      <c r="O507" t="n">
        <v>0</v>
      </c>
      <c r="P507" t="n">
        <v>0</v>
      </c>
      <c r="Q507" t="n">
        <v>0</v>
      </c>
      <c r="R507" s="2" t="inlineStr"/>
    </row>
    <row r="508" ht="15" customHeight="1">
      <c r="A508" t="inlineStr">
        <is>
          <t>A 26594-2024</t>
        </is>
      </c>
      <c r="B508" s="1" t="n">
        <v>45469.68552083334</v>
      </c>
      <c r="C508" s="1" t="n">
        <v>45887</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11242-2021</t>
        </is>
      </c>
      <c r="B509" s="1" t="n">
        <v>44263.39423611111</v>
      </c>
      <c r="C509" s="1" t="n">
        <v>45887</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8862-2024</t>
        </is>
      </c>
      <c r="B510" s="1" t="n">
        <v>45356.96326388889</v>
      </c>
      <c r="C510" s="1" t="n">
        <v>45887</v>
      </c>
      <c r="D510" t="inlineStr">
        <is>
          <t>NORRBOTTENS LÄN</t>
        </is>
      </c>
      <c r="E510" t="inlineStr">
        <is>
          <t>LULEÅ</t>
        </is>
      </c>
      <c r="G510" t="n">
        <v>10.6</v>
      </c>
      <c r="H510" t="n">
        <v>0</v>
      </c>
      <c r="I510" t="n">
        <v>0</v>
      </c>
      <c r="J510" t="n">
        <v>0</v>
      </c>
      <c r="K510" t="n">
        <v>0</v>
      </c>
      <c r="L510" t="n">
        <v>0</v>
      </c>
      <c r="M510" t="n">
        <v>0</v>
      </c>
      <c r="N510" t="n">
        <v>0</v>
      </c>
      <c r="O510" t="n">
        <v>0</v>
      </c>
      <c r="P510" t="n">
        <v>0</v>
      </c>
      <c r="Q510" t="n">
        <v>0</v>
      </c>
      <c r="R510" s="2" t="inlineStr"/>
    </row>
    <row r="511" ht="15" customHeight="1">
      <c r="A511" t="inlineStr">
        <is>
          <t>A 51655-2023</t>
        </is>
      </c>
      <c r="B511" s="1" t="n">
        <v>45215</v>
      </c>
      <c r="C511" s="1" t="n">
        <v>45887</v>
      </c>
      <c r="D511" t="inlineStr">
        <is>
          <t>NORRBOTTENS LÄN</t>
        </is>
      </c>
      <c r="E511" t="inlineStr">
        <is>
          <t>LULEÅ</t>
        </is>
      </c>
      <c r="G511" t="n">
        <v>7.5</v>
      </c>
      <c r="H511" t="n">
        <v>0</v>
      </c>
      <c r="I511" t="n">
        <v>0</v>
      </c>
      <c r="J511" t="n">
        <v>0</v>
      </c>
      <c r="K511" t="n">
        <v>0</v>
      </c>
      <c r="L511" t="n">
        <v>0</v>
      </c>
      <c r="M511" t="n">
        <v>0</v>
      </c>
      <c r="N511" t="n">
        <v>0</v>
      </c>
      <c r="O511" t="n">
        <v>0</v>
      </c>
      <c r="P511" t="n">
        <v>0</v>
      </c>
      <c r="Q511" t="n">
        <v>0</v>
      </c>
      <c r="R511" s="2" t="inlineStr"/>
    </row>
    <row r="512" ht="15" customHeight="1">
      <c r="A512" t="inlineStr">
        <is>
          <t>A 54879-2021</t>
        </is>
      </c>
      <c r="B512" s="1" t="n">
        <v>44473</v>
      </c>
      <c r="C512" s="1" t="n">
        <v>45887</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5131-2025</t>
        </is>
      </c>
      <c r="B513" s="1" t="n">
        <v>45691.57331018519</v>
      </c>
      <c r="C513" s="1" t="n">
        <v>45887</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42753-2022</t>
        </is>
      </c>
      <c r="B514" s="1" t="n">
        <v>44832</v>
      </c>
      <c r="C514" s="1" t="n">
        <v>45887</v>
      </c>
      <c r="D514" t="inlineStr">
        <is>
          <t>NORRBOTTENS LÄN</t>
        </is>
      </c>
      <c r="E514" t="inlineStr">
        <is>
          <t>LULEÅ</t>
        </is>
      </c>
      <c r="G514" t="n">
        <v>10.8</v>
      </c>
      <c r="H514" t="n">
        <v>0</v>
      </c>
      <c r="I514" t="n">
        <v>0</v>
      </c>
      <c r="J514" t="n">
        <v>0</v>
      </c>
      <c r="K514" t="n">
        <v>0</v>
      </c>
      <c r="L514" t="n">
        <v>0</v>
      </c>
      <c r="M514" t="n">
        <v>0</v>
      </c>
      <c r="N514" t="n">
        <v>0</v>
      </c>
      <c r="O514" t="n">
        <v>0</v>
      </c>
      <c r="P514" t="n">
        <v>0</v>
      </c>
      <c r="Q514" t="n">
        <v>0</v>
      </c>
      <c r="R514" s="2" t="inlineStr"/>
    </row>
    <row r="515" ht="15" customHeight="1">
      <c r="A515" t="inlineStr">
        <is>
          <t>A 28150-2024</t>
        </is>
      </c>
      <c r="B515" s="1" t="n">
        <v>45476.76228009259</v>
      </c>
      <c r="C515" s="1" t="n">
        <v>45887</v>
      </c>
      <c r="D515" t="inlineStr">
        <is>
          <t>NORRBOTTENS LÄN</t>
        </is>
      </c>
      <c r="E515" t="inlineStr">
        <is>
          <t>LULEÅ</t>
        </is>
      </c>
      <c r="G515" t="n">
        <v>4</v>
      </c>
      <c r="H515" t="n">
        <v>0</v>
      </c>
      <c r="I515" t="n">
        <v>0</v>
      </c>
      <c r="J515" t="n">
        <v>0</v>
      </c>
      <c r="K515" t="n">
        <v>0</v>
      </c>
      <c r="L515" t="n">
        <v>0</v>
      </c>
      <c r="M515" t="n">
        <v>0</v>
      </c>
      <c r="N515" t="n">
        <v>0</v>
      </c>
      <c r="O515" t="n">
        <v>0</v>
      </c>
      <c r="P515" t="n">
        <v>0</v>
      </c>
      <c r="Q515" t="n">
        <v>0</v>
      </c>
      <c r="R515" s="2" t="inlineStr"/>
    </row>
    <row r="516" ht="15" customHeight="1">
      <c r="A516" t="inlineStr">
        <is>
          <t>A 2700-2025</t>
        </is>
      </c>
      <c r="B516" s="1" t="n">
        <v>45677.40685185185</v>
      </c>
      <c r="C516" s="1" t="n">
        <v>45887</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115-2025</t>
        </is>
      </c>
      <c r="B517" s="1" t="n">
        <v>45659.51613425926</v>
      </c>
      <c r="C517" s="1" t="n">
        <v>45887</v>
      </c>
      <c r="D517" t="inlineStr">
        <is>
          <t>NORRBOTTENS LÄN</t>
        </is>
      </c>
      <c r="E517" t="inlineStr">
        <is>
          <t>LULEÅ</t>
        </is>
      </c>
      <c r="G517" t="n">
        <v>4.3</v>
      </c>
      <c r="H517" t="n">
        <v>0</v>
      </c>
      <c r="I517" t="n">
        <v>0</v>
      </c>
      <c r="J517" t="n">
        <v>0</v>
      </c>
      <c r="K517" t="n">
        <v>0</v>
      </c>
      <c r="L517" t="n">
        <v>0</v>
      </c>
      <c r="M517" t="n">
        <v>0</v>
      </c>
      <c r="N517" t="n">
        <v>0</v>
      </c>
      <c r="O517" t="n">
        <v>0</v>
      </c>
      <c r="P517" t="n">
        <v>0</v>
      </c>
      <c r="Q517" t="n">
        <v>0</v>
      </c>
      <c r="R517" s="2" t="inlineStr"/>
    </row>
    <row r="518" ht="15" customHeight="1">
      <c r="A518" t="inlineStr">
        <is>
          <t>A 4286-2025</t>
        </is>
      </c>
      <c r="B518" s="1" t="n">
        <v>45685</v>
      </c>
      <c r="C518" s="1" t="n">
        <v>45887</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5038-2025</t>
        </is>
      </c>
      <c r="B519" s="1" t="n">
        <v>45691.42896990741</v>
      </c>
      <c r="C519" s="1" t="n">
        <v>45887</v>
      </c>
      <c r="D519" t="inlineStr">
        <is>
          <t>NORRBOTTENS LÄN</t>
        </is>
      </c>
      <c r="E519" t="inlineStr">
        <is>
          <t>LULEÅ</t>
        </is>
      </c>
      <c r="G519" t="n">
        <v>0.8</v>
      </c>
      <c r="H519" t="n">
        <v>0</v>
      </c>
      <c r="I519" t="n">
        <v>0</v>
      </c>
      <c r="J519" t="n">
        <v>0</v>
      </c>
      <c r="K519" t="n">
        <v>0</v>
      </c>
      <c r="L519" t="n">
        <v>0</v>
      </c>
      <c r="M519" t="n">
        <v>0</v>
      </c>
      <c r="N519" t="n">
        <v>0</v>
      </c>
      <c r="O519" t="n">
        <v>0</v>
      </c>
      <c r="P519" t="n">
        <v>0</v>
      </c>
      <c r="Q519" t="n">
        <v>0</v>
      </c>
      <c r="R519" s="2" t="inlineStr"/>
    </row>
    <row r="520" ht="15" customHeight="1">
      <c r="A520" t="inlineStr">
        <is>
          <t>A 5051-2025</t>
        </is>
      </c>
      <c r="B520" s="1" t="n">
        <v>45691.45101851852</v>
      </c>
      <c r="C520" s="1" t="n">
        <v>45887</v>
      </c>
      <c r="D520" t="inlineStr">
        <is>
          <t>NORRBOTTENS LÄN</t>
        </is>
      </c>
      <c r="E520" t="inlineStr">
        <is>
          <t>LULEÅ</t>
        </is>
      </c>
      <c r="G520" t="n">
        <v>0.9</v>
      </c>
      <c r="H520" t="n">
        <v>0</v>
      </c>
      <c r="I520" t="n">
        <v>0</v>
      </c>
      <c r="J520" t="n">
        <v>0</v>
      </c>
      <c r="K520" t="n">
        <v>0</v>
      </c>
      <c r="L520" t="n">
        <v>0</v>
      </c>
      <c r="M520" t="n">
        <v>0</v>
      </c>
      <c r="N520" t="n">
        <v>0</v>
      </c>
      <c r="O520" t="n">
        <v>0</v>
      </c>
      <c r="P520" t="n">
        <v>0</v>
      </c>
      <c r="Q520" t="n">
        <v>0</v>
      </c>
      <c r="R520" s="2" t="inlineStr"/>
    </row>
    <row r="521" ht="15" customHeight="1">
      <c r="A521" t="inlineStr">
        <is>
          <t>A 17438-2023</t>
        </is>
      </c>
      <c r="B521" s="1" t="n">
        <v>45035.92709490741</v>
      </c>
      <c r="C521" s="1" t="n">
        <v>45887</v>
      </c>
      <c r="D521" t="inlineStr">
        <is>
          <t>NORRBOTTENS LÄN</t>
        </is>
      </c>
      <c r="E521" t="inlineStr">
        <is>
          <t>LULEÅ</t>
        </is>
      </c>
      <c r="G521" t="n">
        <v>0.8</v>
      </c>
      <c r="H521" t="n">
        <v>0</v>
      </c>
      <c r="I521" t="n">
        <v>0</v>
      </c>
      <c r="J521" t="n">
        <v>0</v>
      </c>
      <c r="K521" t="n">
        <v>0</v>
      </c>
      <c r="L521" t="n">
        <v>0</v>
      </c>
      <c r="M521" t="n">
        <v>0</v>
      </c>
      <c r="N521" t="n">
        <v>0</v>
      </c>
      <c r="O521" t="n">
        <v>0</v>
      </c>
      <c r="P521" t="n">
        <v>0</v>
      </c>
      <c r="Q521" t="n">
        <v>0</v>
      </c>
      <c r="R521" s="2" t="inlineStr"/>
    </row>
    <row r="522" ht="15" customHeight="1">
      <c r="A522" t="inlineStr">
        <is>
          <t>A 40974-2024</t>
        </is>
      </c>
      <c r="B522" s="1" t="n">
        <v>45558.6815162037</v>
      </c>
      <c r="C522" s="1" t="n">
        <v>45887</v>
      </c>
      <c r="D522" t="inlineStr">
        <is>
          <t>NORRBOTTENS LÄN</t>
        </is>
      </c>
      <c r="E522" t="inlineStr">
        <is>
          <t>LULEÅ</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19594-2025</t>
        </is>
      </c>
      <c r="B523" s="1" t="n">
        <v>45770.57881944445</v>
      </c>
      <c r="C523" s="1" t="n">
        <v>45887</v>
      </c>
      <c r="D523" t="inlineStr">
        <is>
          <t>NORRBOTTENS LÄN</t>
        </is>
      </c>
      <c r="E523" t="inlineStr">
        <is>
          <t>LULEÅ</t>
        </is>
      </c>
      <c r="G523" t="n">
        <v>2.8</v>
      </c>
      <c r="H523" t="n">
        <v>0</v>
      </c>
      <c r="I523" t="n">
        <v>0</v>
      </c>
      <c r="J523" t="n">
        <v>0</v>
      </c>
      <c r="K523" t="n">
        <v>0</v>
      </c>
      <c r="L523" t="n">
        <v>0</v>
      </c>
      <c r="M523" t="n">
        <v>0</v>
      </c>
      <c r="N523" t="n">
        <v>0</v>
      </c>
      <c r="O523" t="n">
        <v>0</v>
      </c>
      <c r="P523" t="n">
        <v>0</v>
      </c>
      <c r="Q523" t="n">
        <v>0</v>
      </c>
      <c r="R523" s="2" t="inlineStr"/>
    </row>
    <row r="524" ht="15" customHeight="1">
      <c r="A524" t="inlineStr">
        <is>
          <t>A 6718-2024</t>
        </is>
      </c>
      <c r="B524" s="1" t="n">
        <v>45342</v>
      </c>
      <c r="C524" s="1" t="n">
        <v>45887</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4347-2025</t>
        </is>
      </c>
      <c r="B525" s="1" t="n">
        <v>45685.92931712963</v>
      </c>
      <c r="C525" s="1" t="n">
        <v>45887</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11294-2024</t>
        </is>
      </c>
      <c r="B526" s="1" t="n">
        <v>45371</v>
      </c>
      <c r="C526" s="1" t="n">
        <v>45887</v>
      </c>
      <c r="D526" t="inlineStr">
        <is>
          <t>NORRBOTTENS LÄN</t>
        </is>
      </c>
      <c r="E526" t="inlineStr">
        <is>
          <t>LULEÅ</t>
        </is>
      </c>
      <c r="G526" t="n">
        <v>0.4</v>
      </c>
      <c r="H526" t="n">
        <v>0</v>
      </c>
      <c r="I526" t="n">
        <v>0</v>
      </c>
      <c r="J526" t="n">
        <v>0</v>
      </c>
      <c r="K526" t="n">
        <v>0</v>
      </c>
      <c r="L526" t="n">
        <v>0</v>
      </c>
      <c r="M526" t="n">
        <v>0</v>
      </c>
      <c r="N526" t="n">
        <v>0</v>
      </c>
      <c r="O526" t="n">
        <v>0</v>
      </c>
      <c r="P526" t="n">
        <v>0</v>
      </c>
      <c r="Q526" t="n">
        <v>0</v>
      </c>
      <c r="R526" s="2" t="inlineStr"/>
    </row>
    <row r="527" ht="15" customHeight="1">
      <c r="A527" t="inlineStr">
        <is>
          <t>A 1683-2025</t>
        </is>
      </c>
      <c r="B527" s="1" t="n">
        <v>45670.69847222222</v>
      </c>
      <c r="C527" s="1" t="n">
        <v>45887</v>
      </c>
      <c r="D527" t="inlineStr">
        <is>
          <t>NORRBOTTENS LÄN</t>
        </is>
      </c>
      <c r="E527" t="inlineStr">
        <is>
          <t>LULEÅ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37765-2021</t>
        </is>
      </c>
      <c r="B528" s="1" t="n">
        <v>44400</v>
      </c>
      <c r="C528" s="1" t="n">
        <v>45887</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4768-2024</t>
        </is>
      </c>
      <c r="B529" s="1" t="n">
        <v>45328</v>
      </c>
      <c r="C529" s="1" t="n">
        <v>45887</v>
      </c>
      <c r="D529" t="inlineStr">
        <is>
          <t>NORRBOTTENS LÄN</t>
        </is>
      </c>
      <c r="E529" t="inlineStr">
        <is>
          <t>LULEÅ</t>
        </is>
      </c>
      <c r="G529" t="n">
        <v>4</v>
      </c>
      <c r="H529" t="n">
        <v>0</v>
      </c>
      <c r="I529" t="n">
        <v>0</v>
      </c>
      <c r="J529" t="n">
        <v>0</v>
      </c>
      <c r="K529" t="n">
        <v>0</v>
      </c>
      <c r="L529" t="n">
        <v>0</v>
      </c>
      <c r="M529" t="n">
        <v>0</v>
      </c>
      <c r="N529" t="n">
        <v>0</v>
      </c>
      <c r="O529" t="n">
        <v>0</v>
      </c>
      <c r="P529" t="n">
        <v>0</v>
      </c>
      <c r="Q529" t="n">
        <v>0</v>
      </c>
      <c r="R529" s="2" t="inlineStr"/>
    </row>
    <row r="530" ht="15" customHeight="1">
      <c r="A530" t="inlineStr">
        <is>
          <t>A 9502-2025</t>
        </is>
      </c>
      <c r="B530" s="1" t="n">
        <v>45714</v>
      </c>
      <c r="C530" s="1" t="n">
        <v>45887</v>
      </c>
      <c r="D530" t="inlineStr">
        <is>
          <t>NORRBOTTENS LÄN</t>
        </is>
      </c>
      <c r="E530" t="inlineStr">
        <is>
          <t>LULEÅ</t>
        </is>
      </c>
      <c r="G530" t="n">
        <v>5.6</v>
      </c>
      <c r="H530" t="n">
        <v>0</v>
      </c>
      <c r="I530" t="n">
        <v>0</v>
      </c>
      <c r="J530" t="n">
        <v>0</v>
      </c>
      <c r="K530" t="n">
        <v>0</v>
      </c>
      <c r="L530" t="n">
        <v>0</v>
      </c>
      <c r="M530" t="n">
        <v>0</v>
      </c>
      <c r="N530" t="n">
        <v>0</v>
      </c>
      <c r="O530" t="n">
        <v>0</v>
      </c>
      <c r="P530" t="n">
        <v>0</v>
      </c>
      <c r="Q530" t="n">
        <v>0</v>
      </c>
      <c r="R530" s="2" t="inlineStr"/>
    </row>
    <row r="531" ht="15" customHeight="1">
      <c r="A531" t="inlineStr">
        <is>
          <t>A 25340-2024</t>
        </is>
      </c>
      <c r="B531" s="1" t="n">
        <v>45462</v>
      </c>
      <c r="C531" s="1" t="n">
        <v>45887</v>
      </c>
      <c r="D531" t="inlineStr">
        <is>
          <t>NORRBOTTENS LÄN</t>
        </is>
      </c>
      <c r="E531" t="inlineStr">
        <is>
          <t>LULEÅ</t>
        </is>
      </c>
      <c r="G531" t="n">
        <v>3.6</v>
      </c>
      <c r="H531" t="n">
        <v>0</v>
      </c>
      <c r="I531" t="n">
        <v>0</v>
      </c>
      <c r="J531" t="n">
        <v>0</v>
      </c>
      <c r="K531" t="n">
        <v>0</v>
      </c>
      <c r="L531" t="n">
        <v>0</v>
      </c>
      <c r="M531" t="n">
        <v>0</v>
      </c>
      <c r="N531" t="n">
        <v>0</v>
      </c>
      <c r="O531" t="n">
        <v>0</v>
      </c>
      <c r="P531" t="n">
        <v>0</v>
      </c>
      <c r="Q531" t="n">
        <v>0</v>
      </c>
      <c r="R531" s="2" t="inlineStr"/>
    </row>
    <row r="532" ht="15" customHeight="1">
      <c r="A532" t="inlineStr">
        <is>
          <t>A 29237-2024</t>
        </is>
      </c>
      <c r="B532" s="1" t="n">
        <v>45482.92732638889</v>
      </c>
      <c r="C532" s="1" t="n">
        <v>45887</v>
      </c>
      <c r="D532" t="inlineStr">
        <is>
          <t>NORRBOTTENS LÄN</t>
        </is>
      </c>
      <c r="E532" t="inlineStr">
        <is>
          <t>LULEÅ</t>
        </is>
      </c>
      <c r="G532" t="n">
        <v>10.3</v>
      </c>
      <c r="H532" t="n">
        <v>0</v>
      </c>
      <c r="I532" t="n">
        <v>0</v>
      </c>
      <c r="J532" t="n">
        <v>0</v>
      </c>
      <c r="K532" t="n">
        <v>0</v>
      </c>
      <c r="L532" t="n">
        <v>0</v>
      </c>
      <c r="M532" t="n">
        <v>0</v>
      </c>
      <c r="N532" t="n">
        <v>0</v>
      </c>
      <c r="O532" t="n">
        <v>0</v>
      </c>
      <c r="P532" t="n">
        <v>0</v>
      </c>
      <c r="Q532" t="n">
        <v>0</v>
      </c>
      <c r="R532" s="2" t="inlineStr"/>
    </row>
    <row r="533" ht="15" customHeight="1">
      <c r="A533" t="inlineStr">
        <is>
          <t>A 7390-2023</t>
        </is>
      </c>
      <c r="B533" s="1" t="n">
        <v>44966</v>
      </c>
      <c r="C533" s="1" t="n">
        <v>45887</v>
      </c>
      <c r="D533" t="inlineStr">
        <is>
          <t>NORRBOTTENS LÄN</t>
        </is>
      </c>
      <c r="E533" t="inlineStr">
        <is>
          <t>LULEÅ</t>
        </is>
      </c>
      <c r="G533" t="n">
        <v>3</v>
      </c>
      <c r="H533" t="n">
        <v>0</v>
      </c>
      <c r="I533" t="n">
        <v>0</v>
      </c>
      <c r="J533" t="n">
        <v>0</v>
      </c>
      <c r="K533" t="n">
        <v>0</v>
      </c>
      <c r="L533" t="n">
        <v>0</v>
      </c>
      <c r="M533" t="n">
        <v>0</v>
      </c>
      <c r="N533" t="n">
        <v>0</v>
      </c>
      <c r="O533" t="n">
        <v>0</v>
      </c>
      <c r="P533" t="n">
        <v>0</v>
      </c>
      <c r="Q533" t="n">
        <v>0</v>
      </c>
      <c r="R533" s="2" t="inlineStr"/>
    </row>
    <row r="534" ht="15" customHeight="1">
      <c r="A534" t="inlineStr">
        <is>
          <t>A 10815-2024</t>
        </is>
      </c>
      <c r="B534" s="1" t="n">
        <v>45369</v>
      </c>
      <c r="C534" s="1" t="n">
        <v>45887</v>
      </c>
      <c r="D534" t="inlineStr">
        <is>
          <t>NORRBOTTENS LÄN</t>
        </is>
      </c>
      <c r="E534" t="inlineStr">
        <is>
          <t>LULEÅ</t>
        </is>
      </c>
      <c r="G534" t="n">
        <v>2.5</v>
      </c>
      <c r="H534" t="n">
        <v>0</v>
      </c>
      <c r="I534" t="n">
        <v>0</v>
      </c>
      <c r="J534" t="n">
        <v>0</v>
      </c>
      <c r="K534" t="n">
        <v>0</v>
      </c>
      <c r="L534" t="n">
        <v>0</v>
      </c>
      <c r="M534" t="n">
        <v>0</v>
      </c>
      <c r="N534" t="n">
        <v>0</v>
      </c>
      <c r="O534" t="n">
        <v>0</v>
      </c>
      <c r="P534" t="n">
        <v>0</v>
      </c>
      <c r="Q534" t="n">
        <v>0</v>
      </c>
      <c r="R534" s="2" t="inlineStr"/>
    </row>
    <row r="535" ht="15" customHeight="1">
      <c r="A535" t="inlineStr">
        <is>
          <t>A 53185-2022</t>
        </is>
      </c>
      <c r="B535" s="1" t="n">
        <v>44876.57346064815</v>
      </c>
      <c r="C535" s="1" t="n">
        <v>45887</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58547-2024</t>
        </is>
      </c>
      <c r="B536" s="1" t="n">
        <v>45635.45822916667</v>
      </c>
      <c r="C536" s="1" t="n">
        <v>45887</v>
      </c>
      <c r="D536" t="inlineStr">
        <is>
          <t>NORRBOTTENS LÄN</t>
        </is>
      </c>
      <c r="E536" t="inlineStr">
        <is>
          <t>LULEÅ</t>
        </is>
      </c>
      <c r="G536" t="n">
        <v>8</v>
      </c>
      <c r="H536" t="n">
        <v>0</v>
      </c>
      <c r="I536" t="n">
        <v>0</v>
      </c>
      <c r="J536" t="n">
        <v>0</v>
      </c>
      <c r="K536" t="n">
        <v>0</v>
      </c>
      <c r="L536" t="n">
        <v>0</v>
      </c>
      <c r="M536" t="n">
        <v>0</v>
      </c>
      <c r="N536" t="n">
        <v>0</v>
      </c>
      <c r="O536" t="n">
        <v>0</v>
      </c>
      <c r="P536" t="n">
        <v>0</v>
      </c>
      <c r="Q536" t="n">
        <v>0</v>
      </c>
      <c r="R536" s="2" t="inlineStr"/>
    </row>
    <row r="537" ht="15" customHeight="1">
      <c r="A537" t="inlineStr">
        <is>
          <t>A 9706-2022</t>
        </is>
      </c>
      <c r="B537" s="1" t="n">
        <v>44617</v>
      </c>
      <c r="C537" s="1" t="n">
        <v>45887</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804-2025</t>
        </is>
      </c>
      <c r="B538" s="1" t="n">
        <v>45664</v>
      </c>
      <c r="C538" s="1" t="n">
        <v>45887</v>
      </c>
      <c r="D538" t="inlineStr">
        <is>
          <t>NORRBOTTENS LÄN</t>
        </is>
      </c>
      <c r="E538" t="inlineStr">
        <is>
          <t>LULEÅ</t>
        </is>
      </c>
      <c r="G538" t="n">
        <v>2.1</v>
      </c>
      <c r="H538" t="n">
        <v>0</v>
      </c>
      <c r="I538" t="n">
        <v>0</v>
      </c>
      <c r="J538" t="n">
        <v>0</v>
      </c>
      <c r="K538" t="n">
        <v>0</v>
      </c>
      <c r="L538" t="n">
        <v>0</v>
      </c>
      <c r="M538" t="n">
        <v>0</v>
      </c>
      <c r="N538" t="n">
        <v>0</v>
      </c>
      <c r="O538" t="n">
        <v>0</v>
      </c>
      <c r="P538" t="n">
        <v>0</v>
      </c>
      <c r="Q538" t="n">
        <v>0</v>
      </c>
      <c r="R538" s="2" t="inlineStr"/>
    </row>
    <row r="539" ht="15" customHeight="1">
      <c r="A539" t="inlineStr">
        <is>
          <t>A 814-2025</t>
        </is>
      </c>
      <c r="B539" s="1" t="n">
        <v>45664</v>
      </c>
      <c r="C539" s="1" t="n">
        <v>45887</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18208-2023</t>
        </is>
      </c>
      <c r="B540" s="1" t="n">
        <v>45040</v>
      </c>
      <c r="C540" s="1" t="n">
        <v>45887</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2208-2024</t>
        </is>
      </c>
      <c r="B541" s="1" t="n">
        <v>45309</v>
      </c>
      <c r="C541" s="1" t="n">
        <v>45887</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14803-2023</t>
        </is>
      </c>
      <c r="B542" s="1" t="n">
        <v>45013</v>
      </c>
      <c r="C542" s="1" t="n">
        <v>45887</v>
      </c>
      <c r="D542" t="inlineStr">
        <is>
          <t>NORRBOTTENS LÄN</t>
        </is>
      </c>
      <c r="E542" t="inlineStr">
        <is>
          <t>LULEÅ</t>
        </is>
      </c>
      <c r="G542" t="n">
        <v>2.3</v>
      </c>
      <c r="H542" t="n">
        <v>0</v>
      </c>
      <c r="I542" t="n">
        <v>0</v>
      </c>
      <c r="J542" t="n">
        <v>0</v>
      </c>
      <c r="K542" t="n">
        <v>0</v>
      </c>
      <c r="L542" t="n">
        <v>0</v>
      </c>
      <c r="M542" t="n">
        <v>0</v>
      </c>
      <c r="N542" t="n">
        <v>0</v>
      </c>
      <c r="O542" t="n">
        <v>0</v>
      </c>
      <c r="P542" t="n">
        <v>0</v>
      </c>
      <c r="Q542" t="n">
        <v>0</v>
      </c>
      <c r="R542" s="2" t="inlineStr"/>
    </row>
    <row r="543" ht="15" customHeight="1">
      <c r="A543" t="inlineStr">
        <is>
          <t>A 17125-2024</t>
        </is>
      </c>
      <c r="B543" s="1" t="n">
        <v>45412</v>
      </c>
      <c r="C543" s="1" t="n">
        <v>45887</v>
      </c>
      <c r="D543" t="inlineStr">
        <is>
          <t>NORRBOTTENS LÄN</t>
        </is>
      </c>
      <c r="E543" t="inlineStr">
        <is>
          <t>LULEÅ</t>
        </is>
      </c>
      <c r="G543" t="n">
        <v>2</v>
      </c>
      <c r="H543" t="n">
        <v>0</v>
      </c>
      <c r="I543" t="n">
        <v>0</v>
      </c>
      <c r="J543" t="n">
        <v>0</v>
      </c>
      <c r="K543" t="n">
        <v>0</v>
      </c>
      <c r="L543" t="n">
        <v>0</v>
      </c>
      <c r="M543" t="n">
        <v>0</v>
      </c>
      <c r="N543" t="n">
        <v>0</v>
      </c>
      <c r="O543" t="n">
        <v>0</v>
      </c>
      <c r="P543" t="n">
        <v>0</v>
      </c>
      <c r="Q543" t="n">
        <v>0</v>
      </c>
      <c r="R543" s="2" t="inlineStr"/>
    </row>
    <row r="544" ht="15" customHeight="1">
      <c r="A544" t="inlineStr">
        <is>
          <t>A 14216-2025</t>
        </is>
      </c>
      <c r="B544" s="1" t="n">
        <v>45740.58505787037</v>
      </c>
      <c r="C544" s="1" t="n">
        <v>45887</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45887</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19238-2025</t>
        </is>
      </c>
      <c r="B546" s="1" t="n">
        <v>45769.47217592593</v>
      </c>
      <c r="C546" s="1" t="n">
        <v>45887</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6986-2025</t>
        </is>
      </c>
      <c r="B547" s="1" t="n">
        <v>45701</v>
      </c>
      <c r="C547" s="1" t="n">
        <v>45887</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57264-2022</t>
        </is>
      </c>
      <c r="B548" s="1" t="n">
        <v>44895</v>
      </c>
      <c r="C548" s="1" t="n">
        <v>45887</v>
      </c>
      <c r="D548" t="inlineStr">
        <is>
          <t>NORRBOTTENS LÄN</t>
        </is>
      </c>
      <c r="E548" t="inlineStr">
        <is>
          <t>LULEÅ</t>
        </is>
      </c>
      <c r="G548" t="n">
        <v>8</v>
      </c>
      <c r="H548" t="n">
        <v>0</v>
      </c>
      <c r="I548" t="n">
        <v>0</v>
      </c>
      <c r="J548" t="n">
        <v>0</v>
      </c>
      <c r="K548" t="n">
        <v>0</v>
      </c>
      <c r="L548" t="n">
        <v>0</v>
      </c>
      <c r="M548" t="n">
        <v>0</v>
      </c>
      <c r="N548" t="n">
        <v>0</v>
      </c>
      <c r="O548" t="n">
        <v>0</v>
      </c>
      <c r="P548" t="n">
        <v>0</v>
      </c>
      <c r="Q548" t="n">
        <v>0</v>
      </c>
      <c r="R548" s="2" t="inlineStr"/>
    </row>
    <row r="549" ht="15" customHeight="1">
      <c r="A549" t="inlineStr">
        <is>
          <t>A 14196-2025</t>
        </is>
      </c>
      <c r="B549" s="1" t="n">
        <v>45740.56502314815</v>
      </c>
      <c r="C549" s="1" t="n">
        <v>45887</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695-2025</t>
        </is>
      </c>
      <c r="B550" s="1" t="n">
        <v>45663</v>
      </c>
      <c r="C550" s="1" t="n">
        <v>45887</v>
      </c>
      <c r="D550" t="inlineStr">
        <is>
          <t>NORRBOTTENS LÄN</t>
        </is>
      </c>
      <c r="E550" t="inlineStr">
        <is>
          <t>LULEÅ</t>
        </is>
      </c>
      <c r="G550" t="n">
        <v>2.8</v>
      </c>
      <c r="H550" t="n">
        <v>0</v>
      </c>
      <c r="I550" t="n">
        <v>0</v>
      </c>
      <c r="J550" t="n">
        <v>0</v>
      </c>
      <c r="K550" t="n">
        <v>0</v>
      </c>
      <c r="L550" t="n">
        <v>0</v>
      </c>
      <c r="M550" t="n">
        <v>0</v>
      </c>
      <c r="N550" t="n">
        <v>0</v>
      </c>
      <c r="O550" t="n">
        <v>0</v>
      </c>
      <c r="P550" t="n">
        <v>0</v>
      </c>
      <c r="Q550" t="n">
        <v>0</v>
      </c>
      <c r="R550" s="2" t="inlineStr"/>
    </row>
    <row r="551" ht="15" customHeight="1">
      <c r="A551" t="inlineStr">
        <is>
          <t>A 7382-2024</t>
        </is>
      </c>
      <c r="B551" s="1" t="n">
        <v>45345</v>
      </c>
      <c r="C551" s="1" t="n">
        <v>45887</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11834-2025</t>
        </is>
      </c>
      <c r="B552" s="1" t="n">
        <v>45727</v>
      </c>
      <c r="C552" s="1" t="n">
        <v>45887</v>
      </c>
      <c r="D552" t="inlineStr">
        <is>
          <t>NORRBOTTENS LÄN</t>
        </is>
      </c>
      <c r="E552" t="inlineStr">
        <is>
          <t>LULEÅ</t>
        </is>
      </c>
      <c r="G552" t="n">
        <v>0.7</v>
      </c>
      <c r="H552" t="n">
        <v>0</v>
      </c>
      <c r="I552" t="n">
        <v>0</v>
      </c>
      <c r="J552" t="n">
        <v>0</v>
      </c>
      <c r="K552" t="n">
        <v>0</v>
      </c>
      <c r="L552" t="n">
        <v>0</v>
      </c>
      <c r="M552" t="n">
        <v>0</v>
      </c>
      <c r="N552" t="n">
        <v>0</v>
      </c>
      <c r="O552" t="n">
        <v>0</v>
      </c>
      <c r="P552" t="n">
        <v>0</v>
      </c>
      <c r="Q552" t="n">
        <v>0</v>
      </c>
      <c r="R552" s="2" t="inlineStr"/>
    </row>
    <row r="553" ht="15" customHeight="1">
      <c r="A553" t="inlineStr">
        <is>
          <t>A 54824-2022</t>
        </is>
      </c>
      <c r="B553" s="1" t="n">
        <v>44883.92393518519</v>
      </c>
      <c r="C553" s="1" t="n">
        <v>45887</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30784-2024</t>
        </is>
      </c>
      <c r="B554" s="1" t="n">
        <v>45496</v>
      </c>
      <c r="C554" s="1" t="n">
        <v>45887</v>
      </c>
      <c r="D554" t="inlineStr">
        <is>
          <t>NORRBOTTENS LÄN</t>
        </is>
      </c>
      <c r="E554" t="inlineStr">
        <is>
          <t>LULEÅ</t>
        </is>
      </c>
      <c r="F554" t="inlineStr">
        <is>
          <t>Naturvårdsverket</t>
        </is>
      </c>
      <c r="G554" t="n">
        <v>13.2</v>
      </c>
      <c r="H554" t="n">
        <v>0</v>
      </c>
      <c r="I554" t="n">
        <v>0</v>
      </c>
      <c r="J554" t="n">
        <v>0</v>
      </c>
      <c r="K554" t="n">
        <v>0</v>
      </c>
      <c r="L554" t="n">
        <v>0</v>
      </c>
      <c r="M554" t="n">
        <v>0</v>
      </c>
      <c r="N554" t="n">
        <v>0</v>
      </c>
      <c r="O554" t="n">
        <v>0</v>
      </c>
      <c r="P554" t="n">
        <v>0</v>
      </c>
      <c r="Q554" t="n">
        <v>0</v>
      </c>
      <c r="R554" s="2" t="inlineStr"/>
    </row>
    <row r="555" ht="15" customHeight="1">
      <c r="A555" t="inlineStr">
        <is>
          <t>A 30788-2024</t>
        </is>
      </c>
      <c r="B555" s="1" t="n">
        <v>45496</v>
      </c>
      <c r="C555" s="1" t="n">
        <v>45887</v>
      </c>
      <c r="D555" t="inlineStr">
        <is>
          <t>NORRBOTTENS LÄN</t>
        </is>
      </c>
      <c r="E555" t="inlineStr">
        <is>
          <t>LULEÅ</t>
        </is>
      </c>
      <c r="F555" t="inlineStr">
        <is>
          <t>Naturvårdsverket</t>
        </is>
      </c>
      <c r="G555" t="n">
        <v>6.7</v>
      </c>
      <c r="H555" t="n">
        <v>0</v>
      </c>
      <c r="I555" t="n">
        <v>0</v>
      </c>
      <c r="J555" t="n">
        <v>0</v>
      </c>
      <c r="K555" t="n">
        <v>0</v>
      </c>
      <c r="L555" t="n">
        <v>0</v>
      </c>
      <c r="M555" t="n">
        <v>0</v>
      </c>
      <c r="N555" t="n">
        <v>0</v>
      </c>
      <c r="O555" t="n">
        <v>0</v>
      </c>
      <c r="P555" t="n">
        <v>0</v>
      </c>
      <c r="Q555" t="n">
        <v>0</v>
      </c>
      <c r="R555" s="2" t="inlineStr"/>
    </row>
    <row r="556" ht="15" customHeight="1">
      <c r="A556" t="inlineStr">
        <is>
          <t>A 61866-2023</t>
        </is>
      </c>
      <c r="B556" s="1" t="n">
        <v>45264</v>
      </c>
      <c r="C556" s="1" t="n">
        <v>45887</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11855-2025</t>
        </is>
      </c>
      <c r="B557" s="1" t="n">
        <v>45727</v>
      </c>
      <c r="C557" s="1" t="n">
        <v>45887</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49720-2024</t>
        </is>
      </c>
      <c r="B558" s="1" t="n">
        <v>45596.72625</v>
      </c>
      <c r="C558" s="1" t="n">
        <v>45887</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4940-2025</t>
        </is>
      </c>
      <c r="B559" s="1" t="n">
        <v>45688.69949074074</v>
      </c>
      <c r="C559" s="1" t="n">
        <v>45887</v>
      </c>
      <c r="D559" t="inlineStr">
        <is>
          <t>NORRBOTTENS LÄN</t>
        </is>
      </c>
      <c r="E559" t="inlineStr">
        <is>
          <t>LULEÅ</t>
        </is>
      </c>
      <c r="G559" t="n">
        <v>1.8</v>
      </c>
      <c r="H559" t="n">
        <v>0</v>
      </c>
      <c r="I559" t="n">
        <v>0</v>
      </c>
      <c r="J559" t="n">
        <v>0</v>
      </c>
      <c r="K559" t="n">
        <v>0</v>
      </c>
      <c r="L559" t="n">
        <v>0</v>
      </c>
      <c r="M559" t="n">
        <v>0</v>
      </c>
      <c r="N559" t="n">
        <v>0</v>
      </c>
      <c r="O559" t="n">
        <v>0</v>
      </c>
      <c r="P559" t="n">
        <v>0</v>
      </c>
      <c r="Q559" t="n">
        <v>0</v>
      </c>
      <c r="R559" s="2" t="inlineStr"/>
    </row>
    <row r="560" ht="15" customHeight="1">
      <c r="A560" t="inlineStr">
        <is>
          <t>A 8928-2025</t>
        </is>
      </c>
      <c r="B560" s="1" t="n">
        <v>45712</v>
      </c>
      <c r="C560" s="1" t="n">
        <v>45887</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1572-2025</t>
        </is>
      </c>
      <c r="B561" s="1" t="n">
        <v>45670.55724537037</v>
      </c>
      <c r="C561" s="1" t="n">
        <v>45887</v>
      </c>
      <c r="D561" t="inlineStr">
        <is>
          <t>NORRBOTTENS LÄN</t>
        </is>
      </c>
      <c r="E561" t="inlineStr">
        <is>
          <t>LULEÅ</t>
        </is>
      </c>
      <c r="G561" t="n">
        <v>5.2</v>
      </c>
      <c r="H561" t="n">
        <v>0</v>
      </c>
      <c r="I561" t="n">
        <v>0</v>
      </c>
      <c r="J561" t="n">
        <v>0</v>
      </c>
      <c r="K561" t="n">
        <v>0</v>
      </c>
      <c r="L561" t="n">
        <v>0</v>
      </c>
      <c r="M561" t="n">
        <v>0</v>
      </c>
      <c r="N561" t="n">
        <v>0</v>
      </c>
      <c r="O561" t="n">
        <v>0</v>
      </c>
      <c r="P561" t="n">
        <v>0</v>
      </c>
      <c r="Q561" t="n">
        <v>0</v>
      </c>
      <c r="R561" s="2" t="inlineStr"/>
    </row>
    <row r="562" ht="15" customHeight="1">
      <c r="A562" t="inlineStr">
        <is>
          <t>A 39816-2024</t>
        </is>
      </c>
      <c r="B562" s="1" t="n">
        <v>45553.3859837963</v>
      </c>
      <c r="C562" s="1" t="n">
        <v>45887</v>
      </c>
      <c r="D562" t="inlineStr">
        <is>
          <t>NORRBOTTENS LÄN</t>
        </is>
      </c>
      <c r="E562" t="inlineStr">
        <is>
          <t>LULEÅ</t>
        </is>
      </c>
      <c r="F562" t="inlineStr">
        <is>
          <t>Naturvårdsverket</t>
        </is>
      </c>
      <c r="G562" t="n">
        <v>11.1</v>
      </c>
      <c r="H562" t="n">
        <v>0</v>
      </c>
      <c r="I562" t="n">
        <v>0</v>
      </c>
      <c r="J562" t="n">
        <v>0</v>
      </c>
      <c r="K562" t="n">
        <v>0</v>
      </c>
      <c r="L562" t="n">
        <v>0</v>
      </c>
      <c r="M562" t="n">
        <v>0</v>
      </c>
      <c r="N562" t="n">
        <v>0</v>
      </c>
      <c r="O562" t="n">
        <v>0</v>
      </c>
      <c r="P562" t="n">
        <v>0</v>
      </c>
      <c r="Q562" t="n">
        <v>0</v>
      </c>
      <c r="R562" s="2" t="inlineStr"/>
    </row>
    <row r="563" ht="15" customHeight="1">
      <c r="A563" t="inlineStr">
        <is>
          <t>A 17176-2024</t>
        </is>
      </c>
      <c r="B563" s="1" t="n">
        <v>45412</v>
      </c>
      <c r="C563" s="1" t="n">
        <v>45887</v>
      </c>
      <c r="D563" t="inlineStr">
        <is>
          <t>NORRBOTTENS LÄN</t>
        </is>
      </c>
      <c r="E563" t="inlineStr">
        <is>
          <t>LULEÅ</t>
        </is>
      </c>
      <c r="F563" t="inlineStr">
        <is>
          <t>SCA</t>
        </is>
      </c>
      <c r="G563" t="n">
        <v>8.5</v>
      </c>
      <c r="H563" t="n">
        <v>0</v>
      </c>
      <c r="I563" t="n">
        <v>0</v>
      </c>
      <c r="J563" t="n">
        <v>0</v>
      </c>
      <c r="K563" t="n">
        <v>0</v>
      </c>
      <c r="L563" t="n">
        <v>0</v>
      </c>
      <c r="M563" t="n">
        <v>0</v>
      </c>
      <c r="N563" t="n">
        <v>0</v>
      </c>
      <c r="O563" t="n">
        <v>0</v>
      </c>
      <c r="P563" t="n">
        <v>0</v>
      </c>
      <c r="Q563" t="n">
        <v>0</v>
      </c>
      <c r="R563" s="2" t="inlineStr"/>
    </row>
    <row r="564" ht="15" customHeight="1">
      <c r="A564" t="inlineStr">
        <is>
          <t>A 6018-2021</t>
        </is>
      </c>
      <c r="B564" s="1" t="n">
        <v>44231.9415625</v>
      </c>
      <c r="C564" s="1" t="n">
        <v>45887</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10377-2025</t>
        </is>
      </c>
      <c r="B565" s="1" t="n">
        <v>45720.5630787037</v>
      </c>
      <c r="C565" s="1" t="n">
        <v>45887</v>
      </c>
      <c r="D565" t="inlineStr">
        <is>
          <t>NORRBOTTENS LÄN</t>
        </is>
      </c>
      <c r="E565" t="inlineStr">
        <is>
          <t>LULEÅ</t>
        </is>
      </c>
      <c r="G565" t="n">
        <v>3</v>
      </c>
      <c r="H565" t="n">
        <v>0</v>
      </c>
      <c r="I565" t="n">
        <v>0</v>
      </c>
      <c r="J565" t="n">
        <v>0</v>
      </c>
      <c r="K565" t="n">
        <v>0</v>
      </c>
      <c r="L565" t="n">
        <v>0</v>
      </c>
      <c r="M565" t="n">
        <v>0</v>
      </c>
      <c r="N565" t="n">
        <v>0</v>
      </c>
      <c r="O565" t="n">
        <v>0</v>
      </c>
      <c r="P565" t="n">
        <v>0</v>
      </c>
      <c r="Q565" t="n">
        <v>0</v>
      </c>
      <c r="R565" s="2" t="inlineStr"/>
    </row>
    <row r="566" ht="15" customHeight="1">
      <c r="A566" t="inlineStr">
        <is>
          <t>A 57826-2022</t>
        </is>
      </c>
      <c r="B566" s="1" t="n">
        <v>44897</v>
      </c>
      <c r="C566" s="1" t="n">
        <v>45887</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7168-2025</t>
        </is>
      </c>
      <c r="B567" s="1" t="n">
        <v>45702.40306712963</v>
      </c>
      <c r="C567" s="1" t="n">
        <v>45887</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20723-2021</t>
        </is>
      </c>
      <c r="B568" s="1" t="n">
        <v>44316.52800925926</v>
      </c>
      <c r="C568" s="1" t="n">
        <v>45887</v>
      </c>
      <c r="D568" t="inlineStr">
        <is>
          <t>NORRBOTTENS LÄN</t>
        </is>
      </c>
      <c r="E568" t="inlineStr">
        <is>
          <t>LULEÅ</t>
        </is>
      </c>
      <c r="G568" t="n">
        <v>7</v>
      </c>
      <c r="H568" t="n">
        <v>0</v>
      </c>
      <c r="I568" t="n">
        <v>0</v>
      </c>
      <c r="J568" t="n">
        <v>0</v>
      </c>
      <c r="K568" t="n">
        <v>0</v>
      </c>
      <c r="L568" t="n">
        <v>0</v>
      </c>
      <c r="M568" t="n">
        <v>0</v>
      </c>
      <c r="N568" t="n">
        <v>0</v>
      </c>
      <c r="O568" t="n">
        <v>0</v>
      </c>
      <c r="P568" t="n">
        <v>0</v>
      </c>
      <c r="Q568" t="n">
        <v>0</v>
      </c>
      <c r="R568" s="2" t="inlineStr"/>
    </row>
    <row r="569" ht="15" customHeight="1">
      <c r="A569" t="inlineStr">
        <is>
          <t>A 8767-2025</t>
        </is>
      </c>
      <c r="B569" s="1" t="n">
        <v>45712.58931712963</v>
      </c>
      <c r="C569" s="1" t="n">
        <v>45887</v>
      </c>
      <c r="D569" t="inlineStr">
        <is>
          <t>NORRBOTTENS LÄN</t>
        </is>
      </c>
      <c r="E569" t="inlineStr">
        <is>
          <t>LULEÅ</t>
        </is>
      </c>
      <c r="G569" t="n">
        <v>3.4</v>
      </c>
      <c r="H569" t="n">
        <v>0</v>
      </c>
      <c r="I569" t="n">
        <v>0</v>
      </c>
      <c r="J569" t="n">
        <v>0</v>
      </c>
      <c r="K569" t="n">
        <v>0</v>
      </c>
      <c r="L569" t="n">
        <v>0</v>
      </c>
      <c r="M569" t="n">
        <v>0</v>
      </c>
      <c r="N569" t="n">
        <v>0</v>
      </c>
      <c r="O569" t="n">
        <v>0</v>
      </c>
      <c r="P569" t="n">
        <v>0</v>
      </c>
      <c r="Q569" t="n">
        <v>0</v>
      </c>
      <c r="R569" s="2" t="inlineStr"/>
    </row>
    <row r="570" ht="15" customHeight="1">
      <c r="A570" t="inlineStr">
        <is>
          <t>A 20063-2023</t>
        </is>
      </c>
      <c r="B570" s="1" t="n">
        <v>45054</v>
      </c>
      <c r="C570" s="1" t="n">
        <v>45887</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37304-2024</t>
        </is>
      </c>
      <c r="B571" s="1" t="n">
        <v>45540</v>
      </c>
      <c r="C571" s="1" t="n">
        <v>45887</v>
      </c>
      <c r="D571" t="inlineStr">
        <is>
          <t>NORRBOTTENS LÄN</t>
        </is>
      </c>
      <c r="E571" t="inlineStr">
        <is>
          <t>LULEÅ</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11901-2025</t>
        </is>
      </c>
      <c r="B572" s="1" t="n">
        <v>45727</v>
      </c>
      <c r="C572" s="1" t="n">
        <v>45887</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12552-2024</t>
        </is>
      </c>
      <c r="B573" s="1" t="n">
        <v>45379</v>
      </c>
      <c r="C573" s="1" t="n">
        <v>45887</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704-2025</t>
        </is>
      </c>
      <c r="B574" s="1" t="n">
        <v>45663</v>
      </c>
      <c r="C574" s="1" t="n">
        <v>45887</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114-2025</t>
        </is>
      </c>
      <c r="B575" s="1" t="n">
        <v>45659.51113425926</v>
      </c>
      <c r="C575" s="1" t="n">
        <v>45887</v>
      </c>
      <c r="D575" t="inlineStr">
        <is>
          <t>NORRBOTTENS LÄN</t>
        </is>
      </c>
      <c r="E575" t="inlineStr">
        <is>
          <t>LULEÅ</t>
        </is>
      </c>
      <c r="G575" t="n">
        <v>3.5</v>
      </c>
      <c r="H575" t="n">
        <v>0</v>
      </c>
      <c r="I575" t="n">
        <v>0</v>
      </c>
      <c r="J575" t="n">
        <v>0</v>
      </c>
      <c r="K575" t="n">
        <v>0</v>
      </c>
      <c r="L575" t="n">
        <v>0</v>
      </c>
      <c r="M575" t="n">
        <v>0</v>
      </c>
      <c r="N575" t="n">
        <v>0</v>
      </c>
      <c r="O575" t="n">
        <v>0</v>
      </c>
      <c r="P575" t="n">
        <v>0</v>
      </c>
      <c r="Q575" t="n">
        <v>0</v>
      </c>
      <c r="R575" s="2" t="inlineStr"/>
    </row>
    <row r="576" ht="15" customHeight="1">
      <c r="A576" t="inlineStr">
        <is>
          <t>A 23744-2023</t>
        </is>
      </c>
      <c r="B576" s="1" t="n">
        <v>45077.82532407407</v>
      </c>
      <c r="C576" s="1" t="n">
        <v>45887</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45857-2024</t>
        </is>
      </c>
      <c r="B577" s="1" t="n">
        <v>45580.34554398148</v>
      </c>
      <c r="C577" s="1" t="n">
        <v>45887</v>
      </c>
      <c r="D577" t="inlineStr">
        <is>
          <t>NORRBOTTENS LÄN</t>
        </is>
      </c>
      <c r="E577" t="inlineStr">
        <is>
          <t>LULEÅ</t>
        </is>
      </c>
      <c r="G577" t="n">
        <v>4.6</v>
      </c>
      <c r="H577" t="n">
        <v>0</v>
      </c>
      <c r="I577" t="n">
        <v>0</v>
      </c>
      <c r="J577" t="n">
        <v>0</v>
      </c>
      <c r="K577" t="n">
        <v>0</v>
      </c>
      <c r="L577" t="n">
        <v>0</v>
      </c>
      <c r="M577" t="n">
        <v>0</v>
      </c>
      <c r="N577" t="n">
        <v>0</v>
      </c>
      <c r="O577" t="n">
        <v>0</v>
      </c>
      <c r="P577" t="n">
        <v>0</v>
      </c>
      <c r="Q577" t="n">
        <v>0</v>
      </c>
      <c r="R577" s="2" t="inlineStr"/>
    </row>
    <row r="578" ht="15" customHeight="1">
      <c r="A578" t="inlineStr">
        <is>
          <t>A 10611-2025</t>
        </is>
      </c>
      <c r="B578" s="1" t="n">
        <v>45721</v>
      </c>
      <c r="C578" s="1" t="n">
        <v>45887</v>
      </c>
      <c r="D578" t="inlineStr">
        <is>
          <t>NORRBOTTENS LÄN</t>
        </is>
      </c>
      <c r="E578" t="inlineStr">
        <is>
          <t>LULEÅ</t>
        </is>
      </c>
      <c r="G578" t="n">
        <v>1.1</v>
      </c>
      <c r="H578" t="n">
        <v>0</v>
      </c>
      <c r="I578" t="n">
        <v>0</v>
      </c>
      <c r="J578" t="n">
        <v>0</v>
      </c>
      <c r="K578" t="n">
        <v>0</v>
      </c>
      <c r="L578" t="n">
        <v>0</v>
      </c>
      <c r="M578" t="n">
        <v>0</v>
      </c>
      <c r="N578" t="n">
        <v>0</v>
      </c>
      <c r="O578" t="n">
        <v>0</v>
      </c>
      <c r="P578" t="n">
        <v>0</v>
      </c>
      <c r="Q578" t="n">
        <v>0</v>
      </c>
      <c r="R578" s="2" t="inlineStr"/>
    </row>
    <row r="579" ht="15" customHeight="1">
      <c r="A579" t="inlineStr">
        <is>
          <t>A 57815-2022</t>
        </is>
      </c>
      <c r="B579" s="1" t="n">
        <v>44897.92459490741</v>
      </c>
      <c r="C579" s="1" t="n">
        <v>45887</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25791-2024</t>
        </is>
      </c>
      <c r="B580" s="1" t="n">
        <v>45463</v>
      </c>
      <c r="C580" s="1" t="n">
        <v>45887</v>
      </c>
      <c r="D580" t="inlineStr">
        <is>
          <t>NORRBOTTENS LÄN</t>
        </is>
      </c>
      <c r="E580" t="inlineStr">
        <is>
          <t>LULEÅ</t>
        </is>
      </c>
      <c r="G580" t="n">
        <v>3.6</v>
      </c>
      <c r="H580" t="n">
        <v>0</v>
      </c>
      <c r="I580" t="n">
        <v>0</v>
      </c>
      <c r="J580" t="n">
        <v>0</v>
      </c>
      <c r="K580" t="n">
        <v>0</v>
      </c>
      <c r="L580" t="n">
        <v>0</v>
      </c>
      <c r="M580" t="n">
        <v>0</v>
      </c>
      <c r="N580" t="n">
        <v>0</v>
      </c>
      <c r="O580" t="n">
        <v>0</v>
      </c>
      <c r="P580" t="n">
        <v>0</v>
      </c>
      <c r="Q580" t="n">
        <v>0</v>
      </c>
      <c r="R580" s="2" t="inlineStr"/>
    </row>
    <row r="581" ht="15" customHeight="1">
      <c r="A581" t="inlineStr">
        <is>
          <t>A 42822-2024</t>
        </is>
      </c>
      <c r="B581" s="1" t="n">
        <v>45566.59611111111</v>
      </c>
      <c r="C581" s="1" t="n">
        <v>45887</v>
      </c>
      <c r="D581" t="inlineStr">
        <is>
          <t>NORRBOTTENS LÄN</t>
        </is>
      </c>
      <c r="E581" t="inlineStr">
        <is>
          <t>LULEÅ</t>
        </is>
      </c>
      <c r="G581" t="n">
        <v>2.3</v>
      </c>
      <c r="H581" t="n">
        <v>0</v>
      </c>
      <c r="I581" t="n">
        <v>0</v>
      </c>
      <c r="J581" t="n">
        <v>0</v>
      </c>
      <c r="K581" t="n">
        <v>0</v>
      </c>
      <c r="L581" t="n">
        <v>0</v>
      </c>
      <c r="M581" t="n">
        <v>0</v>
      </c>
      <c r="N581" t="n">
        <v>0</v>
      </c>
      <c r="O581" t="n">
        <v>0</v>
      </c>
      <c r="P581" t="n">
        <v>0</v>
      </c>
      <c r="Q581" t="n">
        <v>0</v>
      </c>
      <c r="R581" s="2" t="inlineStr"/>
    </row>
    <row r="582" ht="15" customHeight="1">
      <c r="A582" t="inlineStr">
        <is>
          <t>A 64240-2023</t>
        </is>
      </c>
      <c r="B582" s="1" t="n">
        <v>45279</v>
      </c>
      <c r="C582" s="1" t="n">
        <v>45887</v>
      </c>
      <c r="D582" t="inlineStr">
        <is>
          <t>NORRBOTTENS LÄN</t>
        </is>
      </c>
      <c r="E582" t="inlineStr">
        <is>
          <t>LULEÅ</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10885-2023</t>
        </is>
      </c>
      <c r="B583" s="1" t="n">
        <v>44985</v>
      </c>
      <c r="C583" s="1" t="n">
        <v>45887</v>
      </c>
      <c r="D583" t="inlineStr">
        <is>
          <t>NORRBOTTENS LÄN</t>
        </is>
      </c>
      <c r="E583" t="inlineStr">
        <is>
          <t>LULEÅ</t>
        </is>
      </c>
      <c r="G583" t="n">
        <v>3.1</v>
      </c>
      <c r="H583" t="n">
        <v>0</v>
      </c>
      <c r="I583" t="n">
        <v>0</v>
      </c>
      <c r="J583" t="n">
        <v>0</v>
      </c>
      <c r="K583" t="n">
        <v>0</v>
      </c>
      <c r="L583" t="n">
        <v>0</v>
      </c>
      <c r="M583" t="n">
        <v>0</v>
      </c>
      <c r="N583" t="n">
        <v>0</v>
      </c>
      <c r="O583" t="n">
        <v>0</v>
      </c>
      <c r="P583" t="n">
        <v>0</v>
      </c>
      <c r="Q583" t="n">
        <v>0</v>
      </c>
      <c r="R583" s="2" t="inlineStr"/>
    </row>
    <row r="584" ht="15" customHeight="1">
      <c r="A584" t="inlineStr">
        <is>
          <t>A 17900-2025</t>
        </is>
      </c>
      <c r="B584" s="1" t="n">
        <v>45758.69837962963</v>
      </c>
      <c r="C584" s="1" t="n">
        <v>45887</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26234-2023</t>
        </is>
      </c>
      <c r="B585" s="1" t="n">
        <v>45086</v>
      </c>
      <c r="C585" s="1" t="n">
        <v>45887</v>
      </c>
      <c r="D585" t="inlineStr">
        <is>
          <t>NORRBOTTENS LÄN</t>
        </is>
      </c>
      <c r="E585" t="inlineStr">
        <is>
          <t>LULEÅ</t>
        </is>
      </c>
      <c r="G585" t="n">
        <v>2.3</v>
      </c>
      <c r="H585" t="n">
        <v>0</v>
      </c>
      <c r="I585" t="n">
        <v>0</v>
      </c>
      <c r="J585" t="n">
        <v>0</v>
      </c>
      <c r="K585" t="n">
        <v>0</v>
      </c>
      <c r="L585" t="n">
        <v>0</v>
      </c>
      <c r="M585" t="n">
        <v>0</v>
      </c>
      <c r="N585" t="n">
        <v>0</v>
      </c>
      <c r="O585" t="n">
        <v>0</v>
      </c>
      <c r="P585" t="n">
        <v>0</v>
      </c>
      <c r="Q585" t="n">
        <v>0</v>
      </c>
      <c r="R585" s="2" t="inlineStr"/>
    </row>
    <row r="586" ht="15" customHeight="1">
      <c r="A586" t="inlineStr">
        <is>
          <t>A 61557-2024</t>
        </is>
      </c>
      <c r="B586" s="1" t="n">
        <v>45646.61081018519</v>
      </c>
      <c r="C586" s="1" t="n">
        <v>45887</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52698-2024</t>
        </is>
      </c>
      <c r="B587" s="1" t="n">
        <v>45610</v>
      </c>
      <c r="C587" s="1" t="n">
        <v>45887</v>
      </c>
      <c r="D587" t="inlineStr">
        <is>
          <t>NORRBOTTENS LÄN</t>
        </is>
      </c>
      <c r="E587" t="inlineStr">
        <is>
          <t>LULEÅ</t>
        </is>
      </c>
      <c r="G587" t="n">
        <v>8.9</v>
      </c>
      <c r="H587" t="n">
        <v>0</v>
      </c>
      <c r="I587" t="n">
        <v>0</v>
      </c>
      <c r="J587" t="n">
        <v>0</v>
      </c>
      <c r="K587" t="n">
        <v>0</v>
      </c>
      <c r="L587" t="n">
        <v>0</v>
      </c>
      <c r="M587" t="n">
        <v>0</v>
      </c>
      <c r="N587" t="n">
        <v>0</v>
      </c>
      <c r="O587" t="n">
        <v>0</v>
      </c>
      <c r="P587" t="n">
        <v>0</v>
      </c>
      <c r="Q587" t="n">
        <v>0</v>
      </c>
      <c r="R587" s="2" t="inlineStr"/>
    </row>
    <row r="588" ht="15" customHeight="1">
      <c r="A588" t="inlineStr">
        <is>
          <t>A 2748-2022</t>
        </is>
      </c>
      <c r="B588" s="1" t="n">
        <v>44580</v>
      </c>
      <c r="C588" s="1" t="n">
        <v>45887</v>
      </c>
      <c r="D588" t="inlineStr">
        <is>
          <t>NORRBOTTENS LÄN</t>
        </is>
      </c>
      <c r="E588" t="inlineStr">
        <is>
          <t>LULEÅ</t>
        </is>
      </c>
      <c r="G588" t="n">
        <v>4.7</v>
      </c>
      <c r="H588" t="n">
        <v>0</v>
      </c>
      <c r="I588" t="n">
        <v>0</v>
      </c>
      <c r="J588" t="n">
        <v>0</v>
      </c>
      <c r="K588" t="n">
        <v>0</v>
      </c>
      <c r="L588" t="n">
        <v>0</v>
      </c>
      <c r="M588" t="n">
        <v>0</v>
      </c>
      <c r="N588" t="n">
        <v>0</v>
      </c>
      <c r="O588" t="n">
        <v>0</v>
      </c>
      <c r="P588" t="n">
        <v>0</v>
      </c>
      <c r="Q588" t="n">
        <v>0</v>
      </c>
      <c r="R588" s="2" t="inlineStr"/>
    </row>
    <row r="589" ht="15" customHeight="1">
      <c r="A589" t="inlineStr">
        <is>
          <t>A 7037-2025</t>
        </is>
      </c>
      <c r="B589" s="1" t="n">
        <v>45701.63607638889</v>
      </c>
      <c r="C589" s="1" t="n">
        <v>45887</v>
      </c>
      <c r="D589" t="inlineStr">
        <is>
          <t>NORRBOTTENS LÄN</t>
        </is>
      </c>
      <c r="E589" t="inlineStr">
        <is>
          <t>LULEÅ</t>
        </is>
      </c>
      <c r="G589" t="n">
        <v>1.9</v>
      </c>
      <c r="H589" t="n">
        <v>0</v>
      </c>
      <c r="I589" t="n">
        <v>0</v>
      </c>
      <c r="J589" t="n">
        <v>0</v>
      </c>
      <c r="K589" t="n">
        <v>0</v>
      </c>
      <c r="L589" t="n">
        <v>0</v>
      </c>
      <c r="M589" t="n">
        <v>0</v>
      </c>
      <c r="N589" t="n">
        <v>0</v>
      </c>
      <c r="O589" t="n">
        <v>0</v>
      </c>
      <c r="P589" t="n">
        <v>0</v>
      </c>
      <c r="Q589" t="n">
        <v>0</v>
      </c>
      <c r="R589" s="2" t="inlineStr"/>
    </row>
    <row r="590" ht="15" customHeight="1">
      <c r="A590" t="inlineStr">
        <is>
          <t>A 7417-2021</t>
        </is>
      </c>
      <c r="B590" s="1" t="n">
        <v>44239</v>
      </c>
      <c r="C590" s="1" t="n">
        <v>45887</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700-2025</t>
        </is>
      </c>
      <c r="B591" s="1" t="n">
        <v>45663</v>
      </c>
      <c r="C591" s="1" t="n">
        <v>45887</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702-2025</t>
        </is>
      </c>
      <c r="B592" s="1" t="n">
        <v>45663</v>
      </c>
      <c r="C592" s="1" t="n">
        <v>45887</v>
      </c>
      <c r="D592" t="inlineStr">
        <is>
          <t>NORRBOTTENS LÄN</t>
        </is>
      </c>
      <c r="E592" t="inlineStr">
        <is>
          <t>LULEÅ</t>
        </is>
      </c>
      <c r="G592" t="n">
        <v>2.4</v>
      </c>
      <c r="H592" t="n">
        <v>0</v>
      </c>
      <c r="I592" t="n">
        <v>0</v>
      </c>
      <c r="J592" t="n">
        <v>0</v>
      </c>
      <c r="K592" t="n">
        <v>0</v>
      </c>
      <c r="L592" t="n">
        <v>0</v>
      </c>
      <c r="M592" t="n">
        <v>0</v>
      </c>
      <c r="N592" t="n">
        <v>0</v>
      </c>
      <c r="O592" t="n">
        <v>0</v>
      </c>
      <c r="P592" t="n">
        <v>0</v>
      </c>
      <c r="Q592" t="n">
        <v>0</v>
      </c>
      <c r="R592" s="2" t="inlineStr"/>
    </row>
    <row r="593" ht="15" customHeight="1">
      <c r="A593" t="inlineStr">
        <is>
          <t>A 2659-2025</t>
        </is>
      </c>
      <c r="B593" s="1" t="n">
        <v>45676.8134375</v>
      </c>
      <c r="C593" s="1" t="n">
        <v>45887</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454-2024</t>
        </is>
      </c>
      <c r="B594" s="1" t="n">
        <v>45296</v>
      </c>
      <c r="C594" s="1" t="n">
        <v>45887</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8229-2024</t>
        </is>
      </c>
      <c r="B595" s="1" t="n">
        <v>45351</v>
      </c>
      <c r="C595" s="1" t="n">
        <v>45887</v>
      </c>
      <c r="D595" t="inlineStr">
        <is>
          <t>NORRBOTTENS LÄN</t>
        </is>
      </c>
      <c r="E595" t="inlineStr">
        <is>
          <t>LULEÅ</t>
        </is>
      </c>
      <c r="G595" t="n">
        <v>14.8</v>
      </c>
      <c r="H595" t="n">
        <v>0</v>
      </c>
      <c r="I595" t="n">
        <v>0</v>
      </c>
      <c r="J595" t="n">
        <v>0</v>
      </c>
      <c r="K595" t="n">
        <v>0</v>
      </c>
      <c r="L595" t="n">
        <v>0</v>
      </c>
      <c r="M595" t="n">
        <v>0</v>
      </c>
      <c r="N595" t="n">
        <v>0</v>
      </c>
      <c r="O595" t="n">
        <v>0</v>
      </c>
      <c r="P595" t="n">
        <v>0</v>
      </c>
      <c r="Q595" t="n">
        <v>0</v>
      </c>
      <c r="R595" s="2" t="inlineStr"/>
    </row>
    <row r="596" ht="15" customHeight="1">
      <c r="A596" t="inlineStr">
        <is>
          <t>A 22017-2024</t>
        </is>
      </c>
      <c r="B596" s="1" t="n">
        <v>45443</v>
      </c>
      <c r="C596" s="1" t="n">
        <v>45887</v>
      </c>
      <c r="D596" t="inlineStr">
        <is>
          <t>NORRBOTTENS LÄN</t>
        </is>
      </c>
      <c r="E596" t="inlineStr">
        <is>
          <t>LULEÅ</t>
        </is>
      </c>
      <c r="G596" t="n">
        <v>0.2</v>
      </c>
      <c r="H596" t="n">
        <v>0</v>
      </c>
      <c r="I596" t="n">
        <v>0</v>
      </c>
      <c r="J596" t="n">
        <v>0</v>
      </c>
      <c r="K596" t="n">
        <v>0</v>
      </c>
      <c r="L596" t="n">
        <v>0</v>
      </c>
      <c r="M596" t="n">
        <v>0</v>
      </c>
      <c r="N596" t="n">
        <v>0</v>
      </c>
      <c r="O596" t="n">
        <v>0</v>
      </c>
      <c r="P596" t="n">
        <v>0</v>
      </c>
      <c r="Q596" t="n">
        <v>0</v>
      </c>
      <c r="R596" s="2" t="inlineStr"/>
    </row>
    <row r="597" ht="15" customHeight="1">
      <c r="A597" t="inlineStr">
        <is>
          <t>A 3128-2023</t>
        </is>
      </c>
      <c r="B597" s="1" t="n">
        <v>44946</v>
      </c>
      <c r="C597" s="1" t="n">
        <v>45887</v>
      </c>
      <c r="D597" t="inlineStr">
        <is>
          <t>NORRBOTTENS LÄN</t>
        </is>
      </c>
      <c r="E597" t="inlineStr">
        <is>
          <t>LULEÅ</t>
        </is>
      </c>
      <c r="G597" t="n">
        <v>5</v>
      </c>
      <c r="H597" t="n">
        <v>0</v>
      </c>
      <c r="I597" t="n">
        <v>0</v>
      </c>
      <c r="J597" t="n">
        <v>0</v>
      </c>
      <c r="K597" t="n">
        <v>0</v>
      </c>
      <c r="L597" t="n">
        <v>0</v>
      </c>
      <c r="M597" t="n">
        <v>0</v>
      </c>
      <c r="N597" t="n">
        <v>0</v>
      </c>
      <c r="O597" t="n">
        <v>0</v>
      </c>
      <c r="P597" t="n">
        <v>0</v>
      </c>
      <c r="Q597" t="n">
        <v>0</v>
      </c>
      <c r="R597" s="2" t="inlineStr"/>
    </row>
    <row r="598" ht="15" customHeight="1">
      <c r="A598" t="inlineStr">
        <is>
          <t>A 57823-2022</t>
        </is>
      </c>
      <c r="B598" s="1" t="n">
        <v>44897</v>
      </c>
      <c r="C598" s="1" t="n">
        <v>45887</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57825-2022</t>
        </is>
      </c>
      <c r="B599" s="1" t="n">
        <v>44897</v>
      </c>
      <c r="C599" s="1" t="n">
        <v>45887</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29457-2023</t>
        </is>
      </c>
      <c r="B600" s="1" t="n">
        <v>45106</v>
      </c>
      <c r="C600" s="1" t="n">
        <v>45887</v>
      </c>
      <c r="D600" t="inlineStr">
        <is>
          <t>NORRBOTTENS LÄN</t>
        </is>
      </c>
      <c r="E600" t="inlineStr">
        <is>
          <t>LULEÅ</t>
        </is>
      </c>
      <c r="G600" t="n">
        <v>7</v>
      </c>
      <c r="H600" t="n">
        <v>0</v>
      </c>
      <c r="I600" t="n">
        <v>0</v>
      </c>
      <c r="J600" t="n">
        <v>0</v>
      </c>
      <c r="K600" t="n">
        <v>0</v>
      </c>
      <c r="L600" t="n">
        <v>0</v>
      </c>
      <c r="M600" t="n">
        <v>0</v>
      </c>
      <c r="N600" t="n">
        <v>0</v>
      </c>
      <c r="O600" t="n">
        <v>0</v>
      </c>
      <c r="P600" t="n">
        <v>0</v>
      </c>
      <c r="Q600" t="n">
        <v>0</v>
      </c>
      <c r="R600" s="2" t="inlineStr"/>
    </row>
    <row r="601" ht="15" customHeight="1">
      <c r="A601" t="inlineStr">
        <is>
          <t>A 20340-2023</t>
        </is>
      </c>
      <c r="B601" s="1" t="n">
        <v>45054</v>
      </c>
      <c r="C601" s="1" t="n">
        <v>45887</v>
      </c>
      <c r="D601" t="inlineStr">
        <is>
          <t>NORRBOTTENS LÄN</t>
        </is>
      </c>
      <c r="E601" t="inlineStr">
        <is>
          <t>LULEÅ</t>
        </is>
      </c>
      <c r="G601" t="n">
        <v>65</v>
      </c>
      <c r="H601" t="n">
        <v>0</v>
      </c>
      <c r="I601" t="n">
        <v>0</v>
      </c>
      <c r="J601" t="n">
        <v>0</v>
      </c>
      <c r="K601" t="n">
        <v>0</v>
      </c>
      <c r="L601" t="n">
        <v>0</v>
      </c>
      <c r="M601" t="n">
        <v>0</v>
      </c>
      <c r="N601" t="n">
        <v>0</v>
      </c>
      <c r="O601" t="n">
        <v>0</v>
      </c>
      <c r="P601" t="n">
        <v>0</v>
      </c>
      <c r="Q601" t="n">
        <v>0</v>
      </c>
      <c r="R601" s="2" t="inlineStr"/>
    </row>
    <row r="602" ht="15" customHeight="1">
      <c r="A602" t="inlineStr">
        <is>
          <t>A 30787-2024</t>
        </is>
      </c>
      <c r="B602" s="1" t="n">
        <v>45496.95108796296</v>
      </c>
      <c r="C602" s="1" t="n">
        <v>45887</v>
      </c>
      <c r="D602" t="inlineStr">
        <is>
          <t>NORRBOTTENS LÄN</t>
        </is>
      </c>
      <c r="E602" t="inlineStr">
        <is>
          <t>LULEÅ</t>
        </is>
      </c>
      <c r="F602" t="inlineStr">
        <is>
          <t>Naturvårdsverket</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55083-2024</t>
        </is>
      </c>
      <c r="B603" s="1" t="n">
        <v>45621.42998842592</v>
      </c>
      <c r="C603" s="1" t="n">
        <v>45887</v>
      </c>
      <c r="D603" t="inlineStr">
        <is>
          <t>NORRBOTTENS LÄN</t>
        </is>
      </c>
      <c r="E603" t="inlineStr">
        <is>
          <t>LULEÅ</t>
        </is>
      </c>
      <c r="G603" t="n">
        <v>7</v>
      </c>
      <c r="H603" t="n">
        <v>0</v>
      </c>
      <c r="I603" t="n">
        <v>0</v>
      </c>
      <c r="J603" t="n">
        <v>0</v>
      </c>
      <c r="K603" t="n">
        <v>0</v>
      </c>
      <c r="L603" t="n">
        <v>0</v>
      </c>
      <c r="M603" t="n">
        <v>0</v>
      </c>
      <c r="N603" t="n">
        <v>0</v>
      </c>
      <c r="O603" t="n">
        <v>0</v>
      </c>
      <c r="P603" t="n">
        <v>0</v>
      </c>
      <c r="Q603" t="n">
        <v>0</v>
      </c>
      <c r="R603" s="2" t="inlineStr"/>
    </row>
    <row r="604" ht="15" customHeight="1">
      <c r="A604" t="inlineStr">
        <is>
          <t>A 42854-2024</t>
        </is>
      </c>
      <c r="B604" s="1" t="n">
        <v>45566.64958333333</v>
      </c>
      <c r="C604" s="1" t="n">
        <v>45887</v>
      </c>
      <c r="D604" t="inlineStr">
        <is>
          <t>NORRBOTTENS LÄN</t>
        </is>
      </c>
      <c r="E604" t="inlineStr">
        <is>
          <t>LULEÅ</t>
        </is>
      </c>
      <c r="G604" t="n">
        <v>1.6</v>
      </c>
      <c r="H604" t="n">
        <v>0</v>
      </c>
      <c r="I604" t="n">
        <v>0</v>
      </c>
      <c r="J604" t="n">
        <v>0</v>
      </c>
      <c r="K604" t="n">
        <v>0</v>
      </c>
      <c r="L604" t="n">
        <v>0</v>
      </c>
      <c r="M604" t="n">
        <v>0</v>
      </c>
      <c r="N604" t="n">
        <v>0</v>
      </c>
      <c r="O604" t="n">
        <v>0</v>
      </c>
      <c r="P604" t="n">
        <v>0</v>
      </c>
      <c r="Q604" t="n">
        <v>0</v>
      </c>
      <c r="R604" s="2" t="inlineStr"/>
    </row>
    <row r="605" ht="15" customHeight="1">
      <c r="A605" t="inlineStr">
        <is>
          <t>A 50640-2024</t>
        </is>
      </c>
      <c r="B605" s="1" t="n">
        <v>45601.67827546296</v>
      </c>
      <c r="C605" s="1" t="n">
        <v>45887</v>
      </c>
      <c r="D605" t="inlineStr">
        <is>
          <t>NORRBOTTENS LÄN</t>
        </is>
      </c>
      <c r="E605" t="inlineStr">
        <is>
          <t>LULEÅ</t>
        </is>
      </c>
      <c r="G605" t="n">
        <v>3</v>
      </c>
      <c r="H605" t="n">
        <v>0</v>
      </c>
      <c r="I605" t="n">
        <v>0</v>
      </c>
      <c r="J605" t="n">
        <v>0</v>
      </c>
      <c r="K605" t="n">
        <v>0</v>
      </c>
      <c r="L605" t="n">
        <v>0</v>
      </c>
      <c r="M605" t="n">
        <v>0</v>
      </c>
      <c r="N605" t="n">
        <v>0</v>
      </c>
      <c r="O605" t="n">
        <v>0</v>
      </c>
      <c r="P605" t="n">
        <v>0</v>
      </c>
      <c r="Q605" t="n">
        <v>0</v>
      </c>
      <c r="R605" s="2" t="inlineStr"/>
    </row>
    <row r="606" ht="15" customHeight="1">
      <c r="A606" t="inlineStr">
        <is>
          <t>A 19533-2025</t>
        </is>
      </c>
      <c r="B606" s="1" t="n">
        <v>45770.47331018518</v>
      </c>
      <c r="C606" s="1" t="n">
        <v>45887</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15848-2022</t>
        </is>
      </c>
      <c r="B607" s="1" t="n">
        <v>44664</v>
      </c>
      <c r="C607" s="1" t="n">
        <v>45887</v>
      </c>
      <c r="D607" t="inlineStr">
        <is>
          <t>NORRBOTTENS LÄN</t>
        </is>
      </c>
      <c r="E607" t="inlineStr">
        <is>
          <t>LULEÅ</t>
        </is>
      </c>
      <c r="G607" t="n">
        <v>1.5</v>
      </c>
      <c r="H607" t="n">
        <v>0</v>
      </c>
      <c r="I607" t="n">
        <v>0</v>
      </c>
      <c r="J607" t="n">
        <v>0</v>
      </c>
      <c r="K607" t="n">
        <v>0</v>
      </c>
      <c r="L607" t="n">
        <v>0</v>
      </c>
      <c r="M607" t="n">
        <v>0</v>
      </c>
      <c r="N607" t="n">
        <v>0</v>
      </c>
      <c r="O607" t="n">
        <v>0</v>
      </c>
      <c r="P607" t="n">
        <v>0</v>
      </c>
      <c r="Q607" t="n">
        <v>0</v>
      </c>
      <c r="R607" s="2" t="inlineStr"/>
    </row>
    <row r="608" ht="15" customHeight="1">
      <c r="A608" t="inlineStr">
        <is>
          <t>A 17304-2025</t>
        </is>
      </c>
      <c r="B608" s="1" t="n">
        <v>45756</v>
      </c>
      <c r="C608" s="1" t="n">
        <v>45887</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17306-2025</t>
        </is>
      </c>
      <c r="B609" s="1" t="n">
        <v>45756.60434027778</v>
      </c>
      <c r="C609" s="1" t="n">
        <v>45887</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60106-2024</t>
        </is>
      </c>
      <c r="B610" s="1" t="n">
        <v>45642.56950231481</v>
      </c>
      <c r="C610" s="1" t="n">
        <v>45887</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12685-2023</t>
        </is>
      </c>
      <c r="B611" s="1" t="n">
        <v>44999</v>
      </c>
      <c r="C611" s="1" t="n">
        <v>45887</v>
      </c>
      <c r="D611" t="inlineStr">
        <is>
          <t>NORRBOTTENS LÄN</t>
        </is>
      </c>
      <c r="E611" t="inlineStr">
        <is>
          <t>LULEÅ</t>
        </is>
      </c>
      <c r="G611" t="n">
        <v>1.3</v>
      </c>
      <c r="H611" t="n">
        <v>0</v>
      </c>
      <c r="I611" t="n">
        <v>0</v>
      </c>
      <c r="J611" t="n">
        <v>0</v>
      </c>
      <c r="K611" t="n">
        <v>0</v>
      </c>
      <c r="L611" t="n">
        <v>0</v>
      </c>
      <c r="M611" t="n">
        <v>0</v>
      </c>
      <c r="N611" t="n">
        <v>0</v>
      </c>
      <c r="O611" t="n">
        <v>0</v>
      </c>
      <c r="P611" t="n">
        <v>0</v>
      </c>
      <c r="Q611" t="n">
        <v>0</v>
      </c>
      <c r="R611" s="2" t="inlineStr"/>
    </row>
    <row r="612" ht="15" customHeight="1">
      <c r="A612" t="inlineStr">
        <is>
          <t>A 59609-2024</t>
        </is>
      </c>
      <c r="B612" s="1" t="n">
        <v>45638.75081018519</v>
      </c>
      <c r="C612" s="1" t="n">
        <v>45887</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c r="A613" t="inlineStr">
        <is>
          <t>A 5058-2025</t>
        </is>
      </c>
      <c r="B613" s="1" t="n">
        <v>45691.46903935185</v>
      </c>
      <c r="C613" s="1" t="n">
        <v>45887</v>
      </c>
      <c r="D613" t="inlineStr">
        <is>
          <t>NORRBOTTENS LÄN</t>
        </is>
      </c>
      <c r="E613" t="inlineStr">
        <is>
          <t>LULEÅ</t>
        </is>
      </c>
      <c r="G613" t="n">
        <v>1.2</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2025-08-18T08:29:17Z</dcterms:created>
  <dcterms:modified xmlns:dcterms="http://purl.org/dc/terms/" xmlns:xsi="http://www.w3.org/2001/XMLSchema-instance" xsi:type="dcterms:W3CDTF">2025-08-18T08:29:18Z</dcterms:modified>
</cp:coreProperties>
</file>