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45693</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45693</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45693</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45693</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45693</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45693</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45693</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45693</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45693</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45693</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45693</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45693</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45693</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45693</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45693</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45693</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45693</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45693</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45693</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45693</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45693</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45693</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45693</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45693</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45693</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45693</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45693</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45693</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45693</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45693</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45693</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45693</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45693</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45693</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45693</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45693</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45693</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45693</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45693</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45693</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45693</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45693</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45693</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45693</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45693</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45693</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45693</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45693</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45693</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45693</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45693</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45693</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45693</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45693</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45693</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45693</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45693</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45693</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45693</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45693</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733-2025</t>
        </is>
      </c>
      <c r="B66" s="1" t="n">
        <v>45664</v>
      </c>
      <c r="C66" s="1" t="n">
        <v>45693</v>
      </c>
      <c r="D66" t="inlineStr">
        <is>
          <t>NORRBOTTENS LÄN</t>
        </is>
      </c>
      <c r="E66" t="inlineStr">
        <is>
          <t>LULEÅ</t>
        </is>
      </c>
      <c r="G66" t="n">
        <v>0.8</v>
      </c>
      <c r="H66" t="n">
        <v>0</v>
      </c>
      <c r="I66" t="n">
        <v>0</v>
      </c>
      <c r="J66" t="n">
        <v>1</v>
      </c>
      <c r="K66" t="n">
        <v>0</v>
      </c>
      <c r="L66" t="n">
        <v>0</v>
      </c>
      <c r="M66" t="n">
        <v>0</v>
      </c>
      <c r="N66" t="n">
        <v>0</v>
      </c>
      <c r="O66" t="n">
        <v>1</v>
      </c>
      <c r="P66" t="n">
        <v>0</v>
      </c>
      <c r="Q66" t="n">
        <v>1</v>
      </c>
      <c r="R66" s="2" t="inlineStr">
        <is>
          <t>Gränsticka</t>
        </is>
      </c>
      <c r="S66">
        <f>HYPERLINK("https://klasma.github.io/Logging_2580/artfynd/A 733-2025 artfynd.xlsx", "A 733-2025")</f>
        <v/>
      </c>
      <c r="T66">
        <f>HYPERLINK("https://klasma.github.io/Logging_2580/kartor/A 733-2025 karta.png", "A 733-2025")</f>
        <v/>
      </c>
      <c r="V66">
        <f>HYPERLINK("https://klasma.github.io/Logging_2580/klagomål/A 733-2025 FSC-klagomål.docx", "A 733-2025")</f>
        <v/>
      </c>
      <c r="W66">
        <f>HYPERLINK("https://klasma.github.io/Logging_2580/klagomålsmail/A 733-2025 FSC-klagomål mail.docx", "A 733-2025")</f>
        <v/>
      </c>
      <c r="X66">
        <f>HYPERLINK("https://klasma.github.io/Logging_2580/tillsyn/A 733-2025 tillsynsbegäran.docx", "A 733-2025")</f>
        <v/>
      </c>
      <c r="Y66">
        <f>HYPERLINK("https://klasma.github.io/Logging_2580/tillsynsmail/A 733-2025 tillsynsbegäran mail.docx", "A 733-2025")</f>
        <v/>
      </c>
    </row>
    <row r="67" ht="15" customHeight="1">
      <c r="A67" t="inlineStr">
        <is>
          <t>A 739-2025</t>
        </is>
      </c>
      <c r="B67" s="1" t="n">
        <v>45664</v>
      </c>
      <c r="C67" s="1" t="n">
        <v>45693</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3578-2025</t>
        </is>
      </c>
      <c r="B68" s="1" t="n">
        <v>45680</v>
      </c>
      <c r="C68" s="1" t="n">
        <v>45693</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45693</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45693</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45693</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45693</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45693</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45693</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45693</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45693</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45693</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45693</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45693</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45693</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45693</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45693</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45693</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45693</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45693</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45693</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45693</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45693</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45693</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45693</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45693</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45693</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45693</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45693</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45693</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45693</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45693</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45693</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45693</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45693</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45693</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45693</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45693</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45693</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45693</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45693</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45693</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45693</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45693</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45693</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45693</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45693</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45693</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45693</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45693</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45693</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45693</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45693</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45693</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45693</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45693</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45693</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45693</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45693</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45693</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45693</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45693</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45693</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45693</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45693</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45693</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45693</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45693</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45693</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45693</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45693</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45693</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45693</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45693</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45693</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45693</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45693</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45693</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45693</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45693</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45693</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45693</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45693</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45693</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45693</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45693</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45693</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45693</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45693</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45693</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45693</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45693</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45693</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45693</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45693</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45693</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45693</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45693</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45693</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45693</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45693</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45693</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45693</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45693</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45693</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45693</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45693</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45693</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45693</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45693</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45693</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45693</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45693</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45693</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45693</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45693</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45693</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45693</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45693</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45693</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45693</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45693</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45693</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45693</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45693</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45693</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45693</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45693</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45693</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45693</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45693</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45693</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45693</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45693</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45693</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45693</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45693</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45693</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45693</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45693</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45693</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45693</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45693</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45693</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45693</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45693</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45693</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45693</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45693</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45693</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45693</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45693</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45693</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45693</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45693</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45693</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45693</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45693</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45693</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45693</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45693</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45693</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45693</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45693</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45693</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45693</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45693</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45693</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45693</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45693</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45693</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45693</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45693</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45693</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45693</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45693</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45693</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45693</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45693</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45693</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45693</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45693</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45693</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45693</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45693</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45693</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45693</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45693</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45693</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45693</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45693</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45693</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45693</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45693</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45693</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45693</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45693</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45693</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45693</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45693</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45693</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45693</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45693</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45693</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45693</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45693</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45693</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45693</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45693</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45693</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45693</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45693</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45693</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45693</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45693</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45693</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45693</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45693</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45693</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45693</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45693</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45693</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45693</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45693</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45693</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45693</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45693</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45693</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45693</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45693</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45693</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45693</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45693</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45693</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45693</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45693</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45693</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45693</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45693</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45693</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45693</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45693</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45693</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45693</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45693</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45693</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45693</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45693</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45693</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45693</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45693</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45693</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45693</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45693</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45693</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45693</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45693</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45693</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45693</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45693</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45693</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45693</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45693</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45693</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45693</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45693</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45693</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45693</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45693</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45693</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45693</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45693</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45693</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45693</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45693</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45693</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45693</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45693</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45693</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45693</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45693</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45693</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45693</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45693</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45693</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45693</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45693</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45693</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45693</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45693</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45693</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45693</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45693</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45693</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45693</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45693</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45693</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45693</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45693</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45693</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45693</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45693</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45693</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45693</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45693</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45693</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45693</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45693</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45693</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45693</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45693</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45693</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45693</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45693</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45693</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45693</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45693</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45693</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45693</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45693</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45693</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45693</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45693</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45693</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45693</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45693</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45693</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45693</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45693</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45693</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45693</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45693</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45693</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45693</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45693</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45693</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45693</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45693</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45693</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45693</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45693</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45693</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45693</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45693</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45693</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45693</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45693</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45693</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45693</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45693</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45693</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45693</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45693</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45693</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45693</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45693</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45693</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45693</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45693</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45693</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45693</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45693</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45693</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45693</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45693</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45693</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45693</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45693</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45693</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45693</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45693</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45693</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45693</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45693</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45693</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45693</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45693</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45693</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45693</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45693</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45693</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45693</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45693</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45693</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45693</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45693</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45693</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45693</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45693</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45693</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45693</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45693</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45693</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45693</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45693</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45693</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45693</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45693</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45693</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45693</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45693</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45693</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45693</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45693</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45693</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45693</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45693</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45693</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45693</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45693</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45693</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45693</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45693</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45693</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45693</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45693</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45693</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45693</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45693</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45693</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45693</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45693</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45693</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45693</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45693</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45693</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45693</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45693</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45693</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45693</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45693</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45693</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45693</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45693</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45693</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45693</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45693</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45693</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45693</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45693</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45693</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45693</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45693</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45693</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45693</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45693</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45693</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45693</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45693</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45693</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45693</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45693</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45693</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45693</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45693</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45693</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45693</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45693</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45693</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45693</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45693</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45693</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45693</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45693</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45693</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45693</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45693</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45693</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45693</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45693</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45693</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45693</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45693</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45693</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45693</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45693</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45693</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45693</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45693</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45693</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45693</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45693</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45693</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45693</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45693</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45693</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45693</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45693</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45693</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45693</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45693</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45693</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45693</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45693</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45693</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45693</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45693</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45693</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45693</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45693</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45693</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45693</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45693</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45693</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45693</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45693</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45693</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45693</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45693</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45693</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45693</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45693</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45693</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45693</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45693</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45693</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45693</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45693</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45693</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45693</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45693</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45693</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45693</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45693</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45693</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45693</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45693</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45693</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45693</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45693</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45693</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45693</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45693</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45693</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45693</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45693</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45693</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45693</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45693</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45693</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45693</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45693</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45693</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45693</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45693</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45693</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45693</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45693</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45693</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45693</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45693</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45693</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45693</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45693</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45693</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45693</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45693</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45693</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45693</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45693</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45693</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45693</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45693</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45693</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45693</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45693</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45693</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45693</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45693</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45693</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45693</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45693</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45693</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45693</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45693</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45693</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45693</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45693</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45693</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45693</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45693</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45693</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45693</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45693</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45693</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45693</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45693</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45693</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45693</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45693</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45693</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45693</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45693</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45693</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45693</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45693</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45693</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45693</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45693</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45693</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45693</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45693</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45693</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45693</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45693</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45693</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45693</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45693</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45693</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45693</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45693</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45693</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45693</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45693</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45693</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45693</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45693</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45693</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45693</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45693</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45693</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45693</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45693</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45693</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45693</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45693</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45693</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45693</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45693</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45693</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45693</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45693</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45693</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45693</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45693</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45693</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45693</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45693</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45693</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45693</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45693</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45693</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45693</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45693</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45693</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45693</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45693</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45693</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45693</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45693</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45693</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45693</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45693</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45693</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45693</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45693</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45693</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45693</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45693</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45693</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45693</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45693</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45693</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45693</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45693</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45693</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45693</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45693</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45693</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45693</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45693</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45693</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45693</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45693</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45693</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45693</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45693</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45693</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45693</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45693</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45693</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45693</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45693</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45693</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45693</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45693</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45693</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45693</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45693</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45693</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45693</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45693</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45693</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45693</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45693</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45693</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45693</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45693</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45693</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45693</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45693</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45693</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45693</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45693</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45693</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45693</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45693</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45693</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45693</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45693</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45693</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45693</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45693</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45693</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45693</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45693</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45693</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45693</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45693</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45693</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45693</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45693</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45693</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45693</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45693</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45693</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45693</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45693</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45693</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45693</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45693</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45693</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45693</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45693</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45693</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45693</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45693</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45693</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45693</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45693</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45693</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45693</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45693</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45693</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45693</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45693</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45693</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45693</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45693</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45693</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45693</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45693</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45693</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45693</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45693</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45693</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45693</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45693</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45693</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45693</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45693</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45693</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45693</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45693</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45693</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45693</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45693</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45693</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45693</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45693</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45693</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45693</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45693</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45693</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45693</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45693</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45693</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45693</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45693</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45693</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45693</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45693</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45693</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45693</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45693</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45693</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45693</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45693</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45693</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45693</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45693</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45693</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45693</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45693</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45693</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45693</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45693</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45693</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45693</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45693</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45693</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45693</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45693</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45693</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45693</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45693</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45693</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45693</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45693</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45693</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45693</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45693</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45693</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45693</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45693</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45693</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45693</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45693</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45693</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45693</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45693</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45693</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45693</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45693</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45693</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45693</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45693</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45693</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45693</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45693</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45693</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45693</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45693</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45693</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45693</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45693</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45693</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45693</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45693</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45693</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45693</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45693</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45693</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45693</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45693</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45693</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45693</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45693</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45693</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45693</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45693</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45693</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45693</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45693</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45693</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45693</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45693</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45693</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45693</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45693</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45693</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45693</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45693</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45693</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45693</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45693</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45693</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45693</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45693</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45693</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45693</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45693</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45693</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45693</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45693</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45693</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45693</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45693</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45693</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45693</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45693</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45693</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45693</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45693</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45693</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45693</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45693</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45693</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45693</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45693</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45693</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45693</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45693</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45693</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45693</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45693</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45693</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45693</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45693</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45693</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45693</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45693</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45693</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45693</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45693</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45693</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45693</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45693</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45693</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45693</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45693</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45693</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45693</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45693</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45693</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45693</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45693</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45693</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45693</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45693</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45693</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736-2025</t>
        </is>
      </c>
      <c r="B991" s="1" t="n">
        <v>45664</v>
      </c>
      <c r="C991" s="1" t="n">
        <v>45693</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45693</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45693</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45693</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45693</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45693</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45693</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45693</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822-2025</t>
        </is>
      </c>
      <c r="B999" s="1" t="n">
        <v>45664</v>
      </c>
      <c r="C999" s="1" t="n">
        <v>45693</v>
      </c>
      <c r="D999" t="inlineStr">
        <is>
          <t>NORRBOTTENS LÄN</t>
        </is>
      </c>
      <c r="E999" t="inlineStr">
        <is>
          <t>LULEÅ</t>
        </is>
      </c>
      <c r="G999" t="n">
        <v>0.9</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45693</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1058-2025</t>
        </is>
      </c>
      <c r="B1001" s="1" t="n">
        <v>45665</v>
      </c>
      <c r="C1001" s="1" t="n">
        <v>45693</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45693</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45693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45693</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1572-2025</t>
        </is>
      </c>
      <c r="B1005" s="1" t="n">
        <v>45670</v>
      </c>
      <c r="C1005" s="1" t="n">
        <v>45693</v>
      </c>
      <c r="D1005" t="inlineStr">
        <is>
          <t>NORRBOTTENS LÄN</t>
        </is>
      </c>
      <c r="E1005" t="inlineStr">
        <is>
          <t>LULEÅ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1513-2025</t>
        </is>
      </c>
      <c r="B1006" s="1" t="n">
        <v>45670</v>
      </c>
      <c r="C1006" s="1" t="n">
        <v>45693</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45693</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45693</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45693</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45693</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45693</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45693</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45693</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3895-2025</t>
        </is>
      </c>
      <c r="B1014" s="1" t="n">
        <v>45683</v>
      </c>
      <c r="C1014" s="1" t="n">
        <v>45693</v>
      </c>
      <c r="D1014" t="inlineStr">
        <is>
          <t>NORRBOTTENS LÄN</t>
        </is>
      </c>
      <c r="E1014" t="inlineStr">
        <is>
          <t>LULEÅ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45693</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3872-2025</t>
        </is>
      </c>
      <c r="B1016" s="1" t="n">
        <v>45683</v>
      </c>
      <c r="C1016" s="1" t="n">
        <v>45693</v>
      </c>
      <c r="D1016" t="inlineStr">
        <is>
          <t>NORRBOTTENS LÄN</t>
        </is>
      </c>
      <c r="E1016" t="inlineStr">
        <is>
          <t>LULEÅ</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45693</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45693</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45693</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45693</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4347-2025</t>
        </is>
      </c>
      <c r="B1021" s="1" t="n">
        <v>45685</v>
      </c>
      <c r="C1021" s="1" t="n">
        <v>45693</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45693</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45693</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4919-2025</t>
        </is>
      </c>
      <c r="B1024" s="1" t="n">
        <v>45688</v>
      </c>
      <c r="C1024" s="1" t="n">
        <v>45693</v>
      </c>
      <c r="D1024" t="inlineStr">
        <is>
          <t>NORRBOTTENS LÄN</t>
        </is>
      </c>
      <c r="E1024" t="inlineStr">
        <is>
          <t>LULEÅ</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4921-2025</t>
        </is>
      </c>
      <c r="B1025" s="1" t="n">
        <v>45688</v>
      </c>
      <c r="C1025" s="1" t="n">
        <v>45693</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4941-2025</t>
        </is>
      </c>
      <c r="B1026" s="1" t="n">
        <v>45688</v>
      </c>
      <c r="C1026" s="1" t="n">
        <v>45693</v>
      </c>
      <c r="D1026" t="inlineStr">
        <is>
          <t>NORRBOTTENS LÄN</t>
        </is>
      </c>
      <c r="E1026" t="inlineStr">
        <is>
          <t>LULEÅ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45693</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4940-2025</t>
        </is>
      </c>
      <c r="B1028" s="1" t="n">
        <v>45688</v>
      </c>
      <c r="C1028" s="1" t="n">
        <v>45693</v>
      </c>
      <c r="D1028" t="inlineStr">
        <is>
          <t>NORRBOTTENS LÄN</t>
        </is>
      </c>
      <c r="E1028" t="inlineStr">
        <is>
          <t>LULEÅ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5038-2025</t>
        </is>
      </c>
      <c r="B1029" s="1" t="n">
        <v>45691</v>
      </c>
      <c r="C1029" s="1" t="n">
        <v>45693</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5050-2025</t>
        </is>
      </c>
      <c r="B1030" s="1" t="n">
        <v>45691</v>
      </c>
      <c r="C1030" s="1" t="n">
        <v>45693</v>
      </c>
      <c r="D1030" t="inlineStr">
        <is>
          <t>NORRBOTTENS LÄN</t>
        </is>
      </c>
      <c r="E1030" t="inlineStr">
        <is>
          <t>LULEÅ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5058-2025</t>
        </is>
      </c>
      <c r="B1031" s="1" t="n">
        <v>45691</v>
      </c>
      <c r="C1031" s="1" t="n">
        <v>45693</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45693</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5131-2025</t>
        </is>
      </c>
      <c r="B1033" s="1" t="n">
        <v>45691</v>
      </c>
      <c r="C1033" s="1" t="n">
        <v>45693</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45693</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c r="A1035" t="inlineStr">
        <is>
          <t>A 5342-2025</t>
        </is>
      </c>
      <c r="B1035" s="1" t="n">
        <v>45692</v>
      </c>
      <c r="C1035" s="1" t="n">
        <v>45693</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2025-02-05T16:18:21Z</dcterms:created>
  <dcterms:modified xmlns:dcterms="http://purl.org/dc/terms/" xmlns:xsi="http://www.w3.org/2001/XMLSchema-instance" xsi:type="dcterms:W3CDTF">2025-02-05T16:18:22Z</dcterms:modified>
</cp:coreProperties>
</file>