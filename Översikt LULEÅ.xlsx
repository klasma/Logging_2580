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46033</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46033</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46033</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46033</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46033</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46033</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46033</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46033</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46033</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46033</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46033</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46033</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46033</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46033</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46033</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46033</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46033</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46033</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46033</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46033</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46033</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46033</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46033</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46033</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46033</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46033</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46033</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46033</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46033</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43978-2025</t>
        </is>
      </c>
      <c r="B34" s="1" t="n">
        <v>45915</v>
      </c>
      <c r="C34" s="1" t="n">
        <v>46033</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44944-2025</t>
        </is>
      </c>
      <c r="B35" s="1" t="n">
        <v>45918</v>
      </c>
      <c r="C35" s="1" t="n">
        <v>46033</v>
      </c>
      <c r="D35" t="inlineStr">
        <is>
          <t>NORRBOTTENS LÄN</t>
        </is>
      </c>
      <c r="E35" t="inlineStr">
        <is>
          <t>LULEÅ</t>
        </is>
      </c>
      <c r="G35" t="n">
        <v>4.6</v>
      </c>
      <c r="H35" t="n">
        <v>0</v>
      </c>
      <c r="I35" t="n">
        <v>0</v>
      </c>
      <c r="J35" t="n">
        <v>0</v>
      </c>
      <c r="K35" t="n">
        <v>1</v>
      </c>
      <c r="L35" t="n">
        <v>0</v>
      </c>
      <c r="M35" t="n">
        <v>0</v>
      </c>
      <c r="N35" t="n">
        <v>0</v>
      </c>
      <c r="O35" t="n">
        <v>1</v>
      </c>
      <c r="P35" t="n">
        <v>1</v>
      </c>
      <c r="Q35" t="n">
        <v>1</v>
      </c>
      <c r="R35" s="2" t="inlineStr">
        <is>
          <t>Spadskinn</t>
        </is>
      </c>
      <c r="S35">
        <f>HYPERLINK("https://klasma.github.io/Logging_2580/artfynd/A 44944-2025 artfynd.xlsx", "A 44944-2025")</f>
        <v/>
      </c>
      <c r="T35">
        <f>HYPERLINK("https://klasma.github.io/Logging_2580/kartor/A 44944-2025 karta.png", "A 44944-2025")</f>
        <v/>
      </c>
      <c r="V35">
        <f>HYPERLINK("https://klasma.github.io/Logging_2580/klagomål/A 44944-2025 FSC-klagomål.docx", "A 44944-2025")</f>
        <v/>
      </c>
      <c r="W35">
        <f>HYPERLINK("https://klasma.github.io/Logging_2580/klagomålsmail/A 44944-2025 FSC-klagomål mail.docx", "A 44944-2025")</f>
        <v/>
      </c>
      <c r="X35">
        <f>HYPERLINK("https://klasma.github.io/Logging_2580/tillsyn/A 44944-2025 tillsynsbegäran.docx", "A 44944-2025")</f>
        <v/>
      </c>
      <c r="Y35">
        <f>HYPERLINK("https://klasma.github.io/Logging_2580/tillsynsmail/A 44944-2025 tillsynsbegäran mail.docx", "A 44944-2025")</f>
        <v/>
      </c>
    </row>
    <row r="36" ht="15" customHeight="1">
      <c r="A36" t="inlineStr">
        <is>
          <t>A 29381-2025</t>
        </is>
      </c>
      <c r="B36" s="1" t="n">
        <v>45824.59027777778</v>
      </c>
      <c r="C36" s="1" t="n">
        <v>46033</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51900-2025</t>
        </is>
      </c>
      <c r="B37" s="1" t="n">
        <v>45952</v>
      </c>
      <c r="C37" s="1" t="n">
        <v>46033</v>
      </c>
      <c r="D37" t="inlineStr">
        <is>
          <t>NORRBOTTENS LÄN</t>
        </is>
      </c>
      <c r="E37" t="inlineStr">
        <is>
          <t>LULEÅ</t>
        </is>
      </c>
      <c r="G37" t="n">
        <v>21.5</v>
      </c>
      <c r="H37" t="n">
        <v>1</v>
      </c>
      <c r="I37" t="n">
        <v>0</v>
      </c>
      <c r="J37" t="n">
        <v>0</v>
      </c>
      <c r="K37" t="n">
        <v>1</v>
      </c>
      <c r="L37" t="n">
        <v>0</v>
      </c>
      <c r="M37" t="n">
        <v>0</v>
      </c>
      <c r="N37" t="n">
        <v>0</v>
      </c>
      <c r="O37" t="n">
        <v>1</v>
      </c>
      <c r="P37" t="n">
        <v>1</v>
      </c>
      <c r="Q37" t="n">
        <v>1</v>
      </c>
      <c r="R37" s="2" t="inlineStr">
        <is>
          <t>Knärot</t>
        </is>
      </c>
      <c r="S37">
        <f>HYPERLINK("https://klasma.github.io/Logging_2580/artfynd/A 51900-2025 artfynd.xlsx", "A 51900-2025")</f>
        <v/>
      </c>
      <c r="T37">
        <f>HYPERLINK("https://klasma.github.io/Logging_2580/kartor/A 51900-2025 karta.png", "A 51900-2025")</f>
        <v/>
      </c>
      <c r="U37">
        <f>HYPERLINK("https://klasma.github.io/Logging_2580/knärot/A 51900-2025 karta knärot.png", "A 51900-2025")</f>
        <v/>
      </c>
      <c r="V37">
        <f>HYPERLINK("https://klasma.github.io/Logging_2580/klagomål/A 51900-2025 FSC-klagomål.docx", "A 51900-2025")</f>
        <v/>
      </c>
      <c r="W37">
        <f>HYPERLINK("https://klasma.github.io/Logging_2580/klagomålsmail/A 51900-2025 FSC-klagomål mail.docx", "A 51900-2025")</f>
        <v/>
      </c>
      <c r="X37">
        <f>HYPERLINK("https://klasma.github.io/Logging_2580/tillsyn/A 51900-2025 tillsynsbegäran.docx", "A 51900-2025")</f>
        <v/>
      </c>
      <c r="Y37">
        <f>HYPERLINK("https://klasma.github.io/Logging_2580/tillsynsmail/A 51900-2025 tillsynsbegäran mail.docx", "A 51900-2025")</f>
        <v/>
      </c>
    </row>
    <row r="38" ht="15" customHeight="1">
      <c r="A38" t="inlineStr">
        <is>
          <t>A 32148-2025</t>
        </is>
      </c>
      <c r="B38" s="1" t="n">
        <v>45835.52969907408</v>
      </c>
      <c r="C38" s="1" t="n">
        <v>46033</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46033</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46033</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49423-2025</t>
        </is>
      </c>
      <c r="B41" s="1" t="n">
        <v>45938</v>
      </c>
      <c r="C41" s="1" t="n">
        <v>46033</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59466-2023</t>
        </is>
      </c>
      <c r="B42" s="1" t="n">
        <v>45254.4122337963</v>
      </c>
      <c r="C42" s="1" t="n">
        <v>46033</v>
      </c>
      <c r="D42" t="inlineStr">
        <is>
          <t>NORRBOTTENS LÄN</t>
        </is>
      </c>
      <c r="E42" t="inlineStr">
        <is>
          <t>LULEÅ</t>
        </is>
      </c>
      <c r="F42" t="inlineStr">
        <is>
          <t>Sveaskog</t>
        </is>
      </c>
      <c r="G42" t="n">
        <v>0.4</v>
      </c>
      <c r="H42" t="n">
        <v>0</v>
      </c>
      <c r="I42" t="n">
        <v>0</v>
      </c>
      <c r="J42" t="n">
        <v>1</v>
      </c>
      <c r="K42" t="n">
        <v>0</v>
      </c>
      <c r="L42" t="n">
        <v>0</v>
      </c>
      <c r="M42" t="n">
        <v>0</v>
      </c>
      <c r="N42" t="n">
        <v>0</v>
      </c>
      <c r="O42" t="n">
        <v>1</v>
      </c>
      <c r="P42" t="n">
        <v>0</v>
      </c>
      <c r="Q42" t="n">
        <v>1</v>
      </c>
      <c r="R42" s="2" t="inlineStr">
        <is>
          <t>Motaggsvamp</t>
        </is>
      </c>
      <c r="S42">
        <f>HYPERLINK("https://klasma.github.io/Logging_2580/artfynd/A 59466-2023 artfynd.xlsx", "A 59466-2023")</f>
        <v/>
      </c>
      <c r="T42">
        <f>HYPERLINK("https://klasma.github.io/Logging_2580/kartor/A 59466-2023 karta.png", "A 59466-2023")</f>
        <v/>
      </c>
      <c r="V42">
        <f>HYPERLINK("https://klasma.github.io/Logging_2580/klagomål/A 59466-2023 FSC-klagomål.docx", "A 59466-2023")</f>
        <v/>
      </c>
      <c r="W42">
        <f>HYPERLINK("https://klasma.github.io/Logging_2580/klagomålsmail/A 59466-2023 FSC-klagomål mail.docx", "A 59466-2023")</f>
        <v/>
      </c>
      <c r="X42">
        <f>HYPERLINK("https://klasma.github.io/Logging_2580/tillsyn/A 59466-2023 tillsynsbegäran.docx", "A 59466-2023")</f>
        <v/>
      </c>
      <c r="Y42">
        <f>HYPERLINK("https://klasma.github.io/Logging_2580/tillsynsmail/A 59466-2023 tillsynsbegäran mail.docx", "A 59466-2023")</f>
        <v/>
      </c>
    </row>
    <row r="43" ht="15" customHeight="1">
      <c r="A43" t="inlineStr">
        <is>
          <t>A 59395-2024</t>
        </is>
      </c>
      <c r="B43" s="1" t="n">
        <v>45638</v>
      </c>
      <c r="C43" s="1" t="n">
        <v>46033</v>
      </c>
      <c r="D43" t="inlineStr">
        <is>
          <t>NORRBOTTENS LÄN</t>
        </is>
      </c>
      <c r="E43" t="inlineStr">
        <is>
          <t>LULEÅ</t>
        </is>
      </c>
      <c r="F43" t="inlineStr">
        <is>
          <t>Sveaskog</t>
        </is>
      </c>
      <c r="G43" t="n">
        <v>18.3</v>
      </c>
      <c r="H43" t="n">
        <v>0</v>
      </c>
      <c r="I43" t="n">
        <v>1</v>
      </c>
      <c r="J43" t="n">
        <v>0</v>
      </c>
      <c r="K43" t="n">
        <v>0</v>
      </c>
      <c r="L43" t="n">
        <v>0</v>
      </c>
      <c r="M43" t="n">
        <v>0</v>
      </c>
      <c r="N43" t="n">
        <v>0</v>
      </c>
      <c r="O43" t="n">
        <v>0</v>
      </c>
      <c r="P43" t="n">
        <v>0</v>
      </c>
      <c r="Q43" t="n">
        <v>1</v>
      </c>
      <c r="R43" s="2" t="inlineStr">
        <is>
          <t>Stuplav</t>
        </is>
      </c>
      <c r="S43">
        <f>HYPERLINK("https://klasma.github.io/Logging_2580/artfynd/A 59395-2024 artfynd.xlsx", "A 59395-2024")</f>
        <v/>
      </c>
      <c r="T43">
        <f>HYPERLINK("https://klasma.github.io/Logging_2580/kartor/A 59395-2024 karta.png", "A 59395-2024")</f>
        <v/>
      </c>
      <c r="V43">
        <f>HYPERLINK("https://klasma.github.io/Logging_2580/klagomål/A 59395-2024 FSC-klagomål.docx", "A 59395-2024")</f>
        <v/>
      </c>
      <c r="W43">
        <f>HYPERLINK("https://klasma.github.io/Logging_2580/klagomålsmail/A 59395-2024 FSC-klagomål mail.docx", "A 59395-2024")</f>
        <v/>
      </c>
      <c r="X43">
        <f>HYPERLINK("https://klasma.github.io/Logging_2580/tillsyn/A 59395-2024 tillsynsbegäran.docx", "A 59395-2024")</f>
        <v/>
      </c>
      <c r="Y43">
        <f>HYPERLINK("https://klasma.github.io/Logging_2580/tillsynsmail/A 59395-2024 tillsynsbegäran mail.docx", "A 59395-2024")</f>
        <v/>
      </c>
    </row>
    <row r="44" ht="15" customHeight="1">
      <c r="A44" t="inlineStr">
        <is>
          <t>A 60002-2024</t>
        </is>
      </c>
      <c r="B44" s="1" t="n">
        <v>45642.41423611111</v>
      </c>
      <c r="C44" s="1" t="n">
        <v>46033</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38889-2025</t>
        </is>
      </c>
      <c r="B45" s="1" t="n">
        <v>45887.58668981482</v>
      </c>
      <c r="C45" s="1" t="n">
        <v>46033</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62753-2025</t>
        </is>
      </c>
      <c r="B46" s="1" t="n">
        <v>46008.58657407408</v>
      </c>
      <c r="C46" s="1" t="n">
        <v>46033</v>
      </c>
      <c r="D46" t="inlineStr">
        <is>
          <t>NORRBOTTENS LÄN</t>
        </is>
      </c>
      <c r="E46" t="inlineStr">
        <is>
          <t>LULEÅ</t>
        </is>
      </c>
      <c r="G46" t="n">
        <v>7.1</v>
      </c>
      <c r="H46" t="n">
        <v>1</v>
      </c>
      <c r="I46" t="n">
        <v>0</v>
      </c>
      <c r="J46" t="n">
        <v>1</v>
      </c>
      <c r="K46" t="n">
        <v>0</v>
      </c>
      <c r="L46" t="n">
        <v>0</v>
      </c>
      <c r="M46" t="n">
        <v>0</v>
      </c>
      <c r="N46" t="n">
        <v>0</v>
      </c>
      <c r="O46" t="n">
        <v>1</v>
      </c>
      <c r="P46" t="n">
        <v>0</v>
      </c>
      <c r="Q46" t="n">
        <v>1</v>
      </c>
      <c r="R46" s="2" t="inlineStr">
        <is>
          <t>Svartvit flugsnappare</t>
        </is>
      </c>
      <c r="S46">
        <f>HYPERLINK("https://klasma.github.io/Logging_2580/artfynd/A 62753-2025 artfynd.xlsx", "A 62753-2025")</f>
        <v/>
      </c>
      <c r="T46">
        <f>HYPERLINK("https://klasma.github.io/Logging_2580/kartor/A 62753-2025 karta.png", "A 62753-2025")</f>
        <v/>
      </c>
      <c r="V46">
        <f>HYPERLINK("https://klasma.github.io/Logging_2580/klagomål/A 62753-2025 FSC-klagomål.docx", "A 62753-2025")</f>
        <v/>
      </c>
      <c r="W46">
        <f>HYPERLINK("https://klasma.github.io/Logging_2580/klagomålsmail/A 62753-2025 FSC-klagomål mail.docx", "A 62753-2025")</f>
        <v/>
      </c>
      <c r="X46">
        <f>HYPERLINK("https://klasma.github.io/Logging_2580/tillsyn/A 62753-2025 tillsynsbegäran.docx", "A 62753-2025")</f>
        <v/>
      </c>
      <c r="Y46">
        <f>HYPERLINK("https://klasma.github.io/Logging_2580/tillsynsmail/A 62753-2025 tillsynsbegäran mail.docx", "A 62753-2025")</f>
        <v/>
      </c>
      <c r="Z46">
        <f>HYPERLINK("https://klasma.github.io/Logging_2580/fåglar/A 62753-2025 prioriterade fågelarter.docx", "A 62753-2025")</f>
        <v/>
      </c>
    </row>
    <row r="47" ht="15" customHeight="1">
      <c r="A47" t="inlineStr">
        <is>
          <t>A 11855-2025</t>
        </is>
      </c>
      <c r="B47" s="1" t="n">
        <v>45727</v>
      </c>
      <c r="C47" s="1" t="n">
        <v>46033</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46033</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6527-2021</t>
        </is>
      </c>
      <c r="B49" s="1" t="n">
        <v>44236</v>
      </c>
      <c r="C49" s="1" t="n">
        <v>46033</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216-2026</t>
        </is>
      </c>
      <c r="B50" s="1" t="n">
        <v>46026.65243055556</v>
      </c>
      <c r="C50" s="1" t="n">
        <v>46033</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60585-2024</t>
        </is>
      </c>
      <c r="B51" s="1" t="n">
        <v>45644</v>
      </c>
      <c r="C51" s="1" t="n">
        <v>46033</v>
      </c>
      <c r="D51" t="inlineStr">
        <is>
          <t>NORRBOTTENS LÄN</t>
        </is>
      </c>
      <c r="E51" t="inlineStr">
        <is>
          <t>LULEÅ</t>
        </is>
      </c>
      <c r="G51" t="n">
        <v>9.699999999999999</v>
      </c>
      <c r="H51" t="n">
        <v>1</v>
      </c>
      <c r="I51" t="n">
        <v>0</v>
      </c>
      <c r="J51" t="n">
        <v>0</v>
      </c>
      <c r="K51" t="n">
        <v>0</v>
      </c>
      <c r="L51" t="n">
        <v>0</v>
      </c>
      <c r="M51" t="n">
        <v>0</v>
      </c>
      <c r="N51" t="n">
        <v>0</v>
      </c>
      <c r="O51" t="n">
        <v>0</v>
      </c>
      <c r="P51" t="n">
        <v>0</v>
      </c>
      <c r="Q51" t="n">
        <v>1</v>
      </c>
      <c r="R51" s="2" t="inlineStr">
        <is>
          <t>Skogsödla</t>
        </is>
      </c>
      <c r="S51">
        <f>HYPERLINK("https://klasma.github.io/Logging_2580/artfynd/A 60585-2024 artfynd.xlsx", "A 60585-2024")</f>
        <v/>
      </c>
      <c r="T51">
        <f>HYPERLINK("https://klasma.github.io/Logging_2580/kartor/A 60585-2024 karta.png", "A 60585-2024")</f>
        <v/>
      </c>
      <c r="V51">
        <f>HYPERLINK("https://klasma.github.io/Logging_2580/klagomål/A 60585-2024 FSC-klagomål.docx", "A 60585-2024")</f>
        <v/>
      </c>
      <c r="W51">
        <f>HYPERLINK("https://klasma.github.io/Logging_2580/klagomålsmail/A 60585-2024 FSC-klagomål mail.docx", "A 60585-2024")</f>
        <v/>
      </c>
      <c r="X51">
        <f>HYPERLINK("https://klasma.github.io/Logging_2580/tillsyn/A 60585-2024 tillsynsbegäran.docx", "A 60585-2024")</f>
        <v/>
      </c>
      <c r="Y51">
        <f>HYPERLINK("https://klasma.github.io/Logging_2580/tillsynsmail/A 60585-2024 tillsynsbegäran mail.docx", "A 60585-2024")</f>
        <v/>
      </c>
    </row>
    <row r="52" ht="15" customHeight="1">
      <c r="A52" t="inlineStr">
        <is>
          <t>A 51641-2022</t>
        </is>
      </c>
      <c r="B52" s="1" t="n">
        <v>44867</v>
      </c>
      <c r="C52" s="1" t="n">
        <v>46033</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4561-2023</t>
        </is>
      </c>
      <c r="B53" s="1" t="n">
        <v>44951</v>
      </c>
      <c r="C53" s="1" t="n">
        <v>46033</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38333-2024</t>
        </is>
      </c>
      <c r="B54" s="1" t="n">
        <v>45545</v>
      </c>
      <c r="C54" s="1" t="n">
        <v>46033</v>
      </c>
      <c r="D54" t="inlineStr">
        <is>
          <t>NORRBOTTENS LÄN</t>
        </is>
      </c>
      <c r="E54" t="inlineStr">
        <is>
          <t>LULEÅ</t>
        </is>
      </c>
      <c r="F54" t="inlineStr">
        <is>
          <t>Sveaskog</t>
        </is>
      </c>
      <c r="G54" t="n">
        <v>2.9</v>
      </c>
      <c r="H54" t="n">
        <v>1</v>
      </c>
      <c r="I54" t="n">
        <v>0</v>
      </c>
      <c r="J54" t="n">
        <v>0</v>
      </c>
      <c r="K54" t="n">
        <v>1</v>
      </c>
      <c r="L54" t="n">
        <v>0</v>
      </c>
      <c r="M54" t="n">
        <v>0</v>
      </c>
      <c r="N54" t="n">
        <v>0</v>
      </c>
      <c r="O54" t="n">
        <v>1</v>
      </c>
      <c r="P54" t="n">
        <v>1</v>
      </c>
      <c r="Q54" t="n">
        <v>1</v>
      </c>
      <c r="R54" s="2" t="inlineStr">
        <is>
          <t>Knärot</t>
        </is>
      </c>
      <c r="S54">
        <f>HYPERLINK("https://klasma.github.io/Logging_2580/artfynd/A 38333-2024 artfynd.xlsx", "A 38333-2024")</f>
        <v/>
      </c>
      <c r="T54">
        <f>HYPERLINK("https://klasma.github.io/Logging_2580/kartor/A 38333-2024 karta.png", "A 38333-2024")</f>
        <v/>
      </c>
      <c r="U54">
        <f>HYPERLINK("https://klasma.github.io/Logging_2580/knärot/A 38333-2024 karta knärot.png", "A 38333-2024")</f>
        <v/>
      </c>
      <c r="V54">
        <f>HYPERLINK("https://klasma.github.io/Logging_2580/klagomål/A 38333-2024 FSC-klagomål.docx", "A 38333-2024")</f>
        <v/>
      </c>
      <c r="W54">
        <f>HYPERLINK("https://klasma.github.io/Logging_2580/klagomålsmail/A 38333-2024 FSC-klagomål mail.docx", "A 38333-2024")</f>
        <v/>
      </c>
      <c r="X54">
        <f>HYPERLINK("https://klasma.github.io/Logging_2580/tillsyn/A 38333-2024 tillsynsbegäran.docx", "A 38333-2024")</f>
        <v/>
      </c>
      <c r="Y54">
        <f>HYPERLINK("https://klasma.github.io/Logging_2580/tillsynsmail/A 38333-2024 tillsynsbegäran mail.docx", "A 38333-2024")</f>
        <v/>
      </c>
    </row>
    <row r="55" ht="15" customHeight="1">
      <c r="A55" t="inlineStr">
        <is>
          <t>A 17428-2023</t>
        </is>
      </c>
      <c r="B55" s="1" t="n">
        <v>45035.9266087963</v>
      </c>
      <c r="C55" s="1" t="n">
        <v>46033</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46033</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25528-2024</t>
        </is>
      </c>
      <c r="B57" s="1" t="n">
        <v>45463</v>
      </c>
      <c r="C57" s="1" t="n">
        <v>46033</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48323-2022</t>
        </is>
      </c>
      <c r="B58" s="1" t="n">
        <v>44854</v>
      </c>
      <c r="C58" s="1" t="n">
        <v>46033</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46033</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46033</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46033</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2380-2021</t>
        </is>
      </c>
      <c r="B62" s="1" t="n">
        <v>44211</v>
      </c>
      <c r="C62" s="1" t="n">
        <v>46033</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2397-2021</t>
        </is>
      </c>
      <c r="B63" s="1" t="n">
        <v>44211</v>
      </c>
      <c r="C63" s="1" t="n">
        <v>46033</v>
      </c>
      <c r="D63" t="inlineStr">
        <is>
          <t>NORRBOTTENS LÄN</t>
        </is>
      </c>
      <c r="E63" t="inlineStr">
        <is>
          <t>LULEÅ</t>
        </is>
      </c>
      <c r="G63" t="n">
        <v>2.3</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46033</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7726-2021</t>
        </is>
      </c>
      <c r="B65" s="1" t="n">
        <v>44239</v>
      </c>
      <c r="C65" s="1" t="n">
        <v>46033</v>
      </c>
      <c r="D65" t="inlineStr">
        <is>
          <t>NORRBOTTENS LÄN</t>
        </is>
      </c>
      <c r="E65" t="inlineStr">
        <is>
          <t>LULEÅ</t>
        </is>
      </c>
      <c r="G65" t="n">
        <v>0.7</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46033</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46033</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2385-2021</t>
        </is>
      </c>
      <c r="B68" s="1" t="n">
        <v>44211</v>
      </c>
      <c r="C68" s="1" t="n">
        <v>46033</v>
      </c>
      <c r="D68" t="inlineStr">
        <is>
          <t>NORRBOTTENS LÄN</t>
        </is>
      </c>
      <c r="E68" t="inlineStr">
        <is>
          <t>LULEÅ</t>
        </is>
      </c>
      <c r="G68" t="n">
        <v>1.1</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46033</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46033</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46033</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46033</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46033</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46033</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46033</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29730-2021</t>
        </is>
      </c>
      <c r="B76" s="1" t="n">
        <v>44362</v>
      </c>
      <c r="C76" s="1" t="n">
        <v>46033</v>
      </c>
      <c r="D76" t="inlineStr">
        <is>
          <t>NORRBOTTENS LÄN</t>
        </is>
      </c>
      <c r="E76" t="inlineStr">
        <is>
          <t>LULEÅ</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46033</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46033</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46033</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46033</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46033</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46033</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46033</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46033</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46033</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46033</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24453-2021</t>
        </is>
      </c>
      <c r="B87" s="1" t="n">
        <v>44337</v>
      </c>
      <c r="C87" s="1" t="n">
        <v>46033</v>
      </c>
      <c r="D87" t="inlineStr">
        <is>
          <t>NORRBOTTENS LÄN</t>
        </is>
      </c>
      <c r="E87" t="inlineStr">
        <is>
          <t>LULEÅ</t>
        </is>
      </c>
      <c r="G87" t="n">
        <v>2.3</v>
      </c>
      <c r="H87" t="n">
        <v>0</v>
      </c>
      <c r="I87" t="n">
        <v>0</v>
      </c>
      <c r="J87" t="n">
        <v>0</v>
      </c>
      <c r="K87" t="n">
        <v>0</v>
      </c>
      <c r="L87" t="n">
        <v>0</v>
      </c>
      <c r="M87" t="n">
        <v>0</v>
      </c>
      <c r="N87" t="n">
        <v>0</v>
      </c>
      <c r="O87" t="n">
        <v>0</v>
      </c>
      <c r="P87" t="n">
        <v>0</v>
      </c>
      <c r="Q87" t="n">
        <v>0</v>
      </c>
      <c r="R87" s="2" t="inlineStr"/>
    </row>
    <row r="88" ht="15" customHeight="1">
      <c r="A88" t="inlineStr">
        <is>
          <t>A 7468-2021</t>
        </is>
      </c>
      <c r="B88" s="1" t="n">
        <v>44239</v>
      </c>
      <c r="C88" s="1" t="n">
        <v>46033</v>
      </c>
      <c r="D88" t="inlineStr">
        <is>
          <t>NORRBOTTENS LÄN</t>
        </is>
      </c>
      <c r="E88" t="inlineStr">
        <is>
          <t>LULEÅ</t>
        </is>
      </c>
      <c r="G88" t="n">
        <v>4.1</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46033</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46033</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46033</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46033</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46033</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46033</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46033</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46033</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46033</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46033</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46033</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46033</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46033</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46033</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46033</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46033</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46033</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46033</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46033</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46033</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46033</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46033</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46033</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46033</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46033</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46033</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46033</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46033</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46033</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46033</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46033</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46033</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46033</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46033</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46033</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1144-2021</t>
        </is>
      </c>
      <c r="B124" s="1" t="n">
        <v>44207</v>
      </c>
      <c r="C124" s="1" t="n">
        <v>46033</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1147-2021</t>
        </is>
      </c>
      <c r="B125" s="1" t="n">
        <v>44207</v>
      </c>
      <c r="C125" s="1" t="n">
        <v>46033</v>
      </c>
      <c r="D125" t="inlineStr">
        <is>
          <t>NORRBOTTENS LÄN</t>
        </is>
      </c>
      <c r="E125" t="inlineStr">
        <is>
          <t>LULEÅ</t>
        </is>
      </c>
      <c r="G125" t="n">
        <v>6.5</v>
      </c>
      <c r="H125" t="n">
        <v>0</v>
      </c>
      <c r="I125" t="n">
        <v>0</v>
      </c>
      <c r="J125" t="n">
        <v>0</v>
      </c>
      <c r="K125" t="n">
        <v>0</v>
      </c>
      <c r="L125" t="n">
        <v>0</v>
      </c>
      <c r="M125" t="n">
        <v>0</v>
      </c>
      <c r="N125" t="n">
        <v>0</v>
      </c>
      <c r="O125" t="n">
        <v>0</v>
      </c>
      <c r="P125" t="n">
        <v>0</v>
      </c>
      <c r="Q125" t="n">
        <v>0</v>
      </c>
      <c r="R125" s="2" t="inlineStr"/>
    </row>
    <row r="126" ht="15" customHeight="1">
      <c r="A126" t="inlineStr">
        <is>
          <t>A 5559-2021</t>
        </is>
      </c>
      <c r="B126" s="1" t="n">
        <v>44229</v>
      </c>
      <c r="C126" s="1" t="n">
        <v>46033</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46033</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46033</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46033</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46033</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46033</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46033</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46033</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46033</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46033</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46033</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46033</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9929-2022</t>
        </is>
      </c>
      <c r="B138" s="1" t="n">
        <v>44620.92225694445</v>
      </c>
      <c r="C138" s="1" t="n">
        <v>46033</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9930-2022</t>
        </is>
      </c>
      <c r="B139" s="1" t="n">
        <v>44620.92230324074</v>
      </c>
      <c r="C139" s="1" t="n">
        <v>46033</v>
      </c>
      <c r="D139" t="inlineStr">
        <is>
          <t>NORRBOTTENS LÄN</t>
        </is>
      </c>
      <c r="E139" t="inlineStr">
        <is>
          <t>LULEÅ</t>
        </is>
      </c>
      <c r="G139" t="n">
        <v>0.8</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46033</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44705-2022</t>
        </is>
      </c>
      <c r="B141" s="1" t="n">
        <v>44839</v>
      </c>
      <c r="C141" s="1" t="n">
        <v>46033</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9282-2023</t>
        </is>
      </c>
      <c r="B142" s="1" t="n">
        <v>44977</v>
      </c>
      <c r="C142" s="1" t="n">
        <v>46033</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6718-2024</t>
        </is>
      </c>
      <c r="B143" s="1" t="n">
        <v>45342</v>
      </c>
      <c r="C143" s="1" t="n">
        <v>46033</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26582-2024</t>
        </is>
      </c>
      <c r="B144" s="1" t="n">
        <v>45469.66545138889</v>
      </c>
      <c r="C144" s="1" t="n">
        <v>46033</v>
      </c>
      <c r="D144" t="inlineStr">
        <is>
          <t>NORRBOTTENS LÄN</t>
        </is>
      </c>
      <c r="E144" t="inlineStr">
        <is>
          <t>LULEÅ</t>
        </is>
      </c>
      <c r="G144" t="n">
        <v>4.8</v>
      </c>
      <c r="H144" t="n">
        <v>0</v>
      </c>
      <c r="I144" t="n">
        <v>0</v>
      </c>
      <c r="J144" t="n">
        <v>0</v>
      </c>
      <c r="K144" t="n">
        <v>0</v>
      </c>
      <c r="L144" t="n">
        <v>0</v>
      </c>
      <c r="M144" t="n">
        <v>0</v>
      </c>
      <c r="N144" t="n">
        <v>0</v>
      </c>
      <c r="O144" t="n">
        <v>0</v>
      </c>
      <c r="P144" t="n">
        <v>0</v>
      </c>
      <c r="Q144" t="n">
        <v>0</v>
      </c>
      <c r="R144" s="2" t="inlineStr"/>
    </row>
    <row r="145" ht="15" customHeight="1">
      <c r="A145" t="inlineStr">
        <is>
          <t>A 57821-2022</t>
        </is>
      </c>
      <c r="B145" s="1" t="n">
        <v>44897</v>
      </c>
      <c r="C145" s="1" t="n">
        <v>46033</v>
      </c>
      <c r="D145" t="inlineStr">
        <is>
          <t>NORRBOTTENS LÄN</t>
        </is>
      </c>
      <c r="E145" t="inlineStr">
        <is>
          <t>LULEÅ</t>
        </is>
      </c>
      <c r="G145" t="n">
        <v>8.6</v>
      </c>
      <c r="H145" t="n">
        <v>0</v>
      </c>
      <c r="I145" t="n">
        <v>0</v>
      </c>
      <c r="J145" t="n">
        <v>0</v>
      </c>
      <c r="K145" t="n">
        <v>0</v>
      </c>
      <c r="L145" t="n">
        <v>0</v>
      </c>
      <c r="M145" t="n">
        <v>0</v>
      </c>
      <c r="N145" t="n">
        <v>0</v>
      </c>
      <c r="O145" t="n">
        <v>0</v>
      </c>
      <c r="P145" t="n">
        <v>0</v>
      </c>
      <c r="Q145" t="n">
        <v>0</v>
      </c>
      <c r="R145" s="2" t="inlineStr"/>
    </row>
    <row r="146" ht="15" customHeight="1">
      <c r="A146" t="inlineStr">
        <is>
          <t>A 10815-2024</t>
        </is>
      </c>
      <c r="B146" s="1" t="n">
        <v>45369</v>
      </c>
      <c r="C146" s="1" t="n">
        <v>46033</v>
      </c>
      <c r="D146" t="inlineStr">
        <is>
          <t>NORRBOTTENS LÄN</t>
        </is>
      </c>
      <c r="E146" t="inlineStr">
        <is>
          <t>LULEÅ</t>
        </is>
      </c>
      <c r="G146" t="n">
        <v>2.5</v>
      </c>
      <c r="H146" t="n">
        <v>0</v>
      </c>
      <c r="I146" t="n">
        <v>0</v>
      </c>
      <c r="J146" t="n">
        <v>0</v>
      </c>
      <c r="K146" t="n">
        <v>0</v>
      </c>
      <c r="L146" t="n">
        <v>0</v>
      </c>
      <c r="M146" t="n">
        <v>0</v>
      </c>
      <c r="N146" t="n">
        <v>0</v>
      </c>
      <c r="O146" t="n">
        <v>0</v>
      </c>
      <c r="P146" t="n">
        <v>0</v>
      </c>
      <c r="Q146" t="n">
        <v>0</v>
      </c>
      <c r="R146" s="2" t="inlineStr"/>
    </row>
    <row r="147" ht="15" customHeight="1">
      <c r="A147" t="inlineStr">
        <is>
          <t>A 22007-2024</t>
        </is>
      </c>
      <c r="B147" s="1" t="n">
        <v>45443</v>
      </c>
      <c r="C147" s="1" t="n">
        <v>46033</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4768-2024</t>
        </is>
      </c>
      <c r="B148" s="1" t="n">
        <v>45328</v>
      </c>
      <c r="C148" s="1" t="n">
        <v>46033</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3128-2023</t>
        </is>
      </c>
      <c r="B149" s="1" t="n">
        <v>44946</v>
      </c>
      <c r="C149" s="1" t="n">
        <v>46033</v>
      </c>
      <c r="D149" t="inlineStr">
        <is>
          <t>NORRBOTTENS LÄN</t>
        </is>
      </c>
      <c r="E149" t="inlineStr">
        <is>
          <t>LULEÅ</t>
        </is>
      </c>
      <c r="G149" t="n">
        <v>5</v>
      </c>
      <c r="H149" t="n">
        <v>0</v>
      </c>
      <c r="I149" t="n">
        <v>0</v>
      </c>
      <c r="J149" t="n">
        <v>0</v>
      </c>
      <c r="K149" t="n">
        <v>0</v>
      </c>
      <c r="L149" t="n">
        <v>0</v>
      </c>
      <c r="M149" t="n">
        <v>0</v>
      </c>
      <c r="N149" t="n">
        <v>0</v>
      </c>
      <c r="O149" t="n">
        <v>0</v>
      </c>
      <c r="P149" t="n">
        <v>0</v>
      </c>
      <c r="Q149" t="n">
        <v>0</v>
      </c>
      <c r="R149" s="2" t="inlineStr"/>
    </row>
    <row r="150" ht="15" customHeight="1">
      <c r="A150" t="inlineStr">
        <is>
          <t>A 14160-2024</t>
        </is>
      </c>
      <c r="B150" s="1" t="n">
        <v>45392</v>
      </c>
      <c r="C150" s="1" t="n">
        <v>46033</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46033</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17438-2023</t>
        </is>
      </c>
      <c r="B152" s="1" t="n">
        <v>45035.92709490741</v>
      </c>
      <c r="C152" s="1" t="n">
        <v>46033</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60106-2024</t>
        </is>
      </c>
      <c r="B153" s="1" t="n">
        <v>45642.56950231481</v>
      </c>
      <c r="C153" s="1" t="n">
        <v>46033</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38714-2025</t>
        </is>
      </c>
      <c r="B154" s="1" t="n">
        <v>45886.34490740741</v>
      </c>
      <c r="C154" s="1" t="n">
        <v>46033</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52444-2021</t>
        </is>
      </c>
      <c r="B155" s="1" t="n">
        <v>44463</v>
      </c>
      <c r="C155" s="1" t="n">
        <v>46033</v>
      </c>
      <c r="D155" t="inlineStr">
        <is>
          <t>NORRBOTTENS LÄN</t>
        </is>
      </c>
      <c r="E155" t="inlineStr">
        <is>
          <t>LULEÅ</t>
        </is>
      </c>
      <c r="G155" t="n">
        <v>2.1</v>
      </c>
      <c r="H155" t="n">
        <v>0</v>
      </c>
      <c r="I155" t="n">
        <v>0</v>
      </c>
      <c r="J155" t="n">
        <v>0</v>
      </c>
      <c r="K155" t="n">
        <v>0</v>
      </c>
      <c r="L155" t="n">
        <v>0</v>
      </c>
      <c r="M155" t="n">
        <v>0</v>
      </c>
      <c r="N155" t="n">
        <v>0</v>
      </c>
      <c r="O155" t="n">
        <v>0</v>
      </c>
      <c r="P155" t="n">
        <v>0</v>
      </c>
      <c r="Q155" t="n">
        <v>0</v>
      </c>
      <c r="R155" s="2" t="inlineStr"/>
    </row>
    <row r="156" ht="15" customHeight="1">
      <c r="A156" t="inlineStr">
        <is>
          <t>A 50914-2025</t>
        </is>
      </c>
      <c r="B156" s="1" t="n">
        <v>45946.65719907408</v>
      </c>
      <c r="C156" s="1" t="n">
        <v>46033</v>
      </c>
      <c r="D156" t="inlineStr">
        <is>
          <t>NORRBOTTENS LÄN</t>
        </is>
      </c>
      <c r="E156" t="inlineStr">
        <is>
          <t>LULEÅ</t>
        </is>
      </c>
      <c r="G156" t="n">
        <v>6.9</v>
      </c>
      <c r="H156" t="n">
        <v>0</v>
      </c>
      <c r="I156" t="n">
        <v>0</v>
      </c>
      <c r="J156" t="n">
        <v>0</v>
      </c>
      <c r="K156" t="n">
        <v>0</v>
      </c>
      <c r="L156" t="n">
        <v>0</v>
      </c>
      <c r="M156" t="n">
        <v>0</v>
      </c>
      <c r="N156" t="n">
        <v>0</v>
      </c>
      <c r="O156" t="n">
        <v>0</v>
      </c>
      <c r="P156" t="n">
        <v>0</v>
      </c>
      <c r="Q156" t="n">
        <v>0</v>
      </c>
      <c r="R156" s="2" t="inlineStr"/>
    </row>
    <row r="157" ht="15" customHeight="1">
      <c r="A157" t="inlineStr">
        <is>
          <t>A 50889-2025</t>
        </is>
      </c>
      <c r="B157" s="1" t="n">
        <v>45946.63664351852</v>
      </c>
      <c r="C157" s="1" t="n">
        <v>46033</v>
      </c>
      <c r="D157" t="inlineStr">
        <is>
          <t>NORRBOTTENS LÄN</t>
        </is>
      </c>
      <c r="E157" t="inlineStr">
        <is>
          <t>LULEÅ</t>
        </is>
      </c>
      <c r="G157" t="n">
        <v>2.7</v>
      </c>
      <c r="H157" t="n">
        <v>0</v>
      </c>
      <c r="I157" t="n">
        <v>0</v>
      </c>
      <c r="J157" t="n">
        <v>0</v>
      </c>
      <c r="K157" t="n">
        <v>0</v>
      </c>
      <c r="L157" t="n">
        <v>0</v>
      </c>
      <c r="M157" t="n">
        <v>0</v>
      </c>
      <c r="N157" t="n">
        <v>0</v>
      </c>
      <c r="O157" t="n">
        <v>0</v>
      </c>
      <c r="P157" t="n">
        <v>0</v>
      </c>
      <c r="Q157" t="n">
        <v>0</v>
      </c>
      <c r="R157" s="2" t="inlineStr"/>
    </row>
    <row r="158" ht="15" customHeight="1">
      <c r="A158" t="inlineStr">
        <is>
          <t>A 50890-2025</t>
        </is>
      </c>
      <c r="B158" s="1" t="n">
        <v>45946.63673611111</v>
      </c>
      <c r="C158" s="1" t="n">
        <v>46033</v>
      </c>
      <c r="D158" t="inlineStr">
        <is>
          <t>NORRBOTTENS LÄN</t>
        </is>
      </c>
      <c r="E158" t="inlineStr">
        <is>
          <t>LULEÅ</t>
        </is>
      </c>
      <c r="G158" t="n">
        <v>5.4</v>
      </c>
      <c r="H158" t="n">
        <v>0</v>
      </c>
      <c r="I158" t="n">
        <v>0</v>
      </c>
      <c r="J158" t="n">
        <v>0</v>
      </c>
      <c r="K158" t="n">
        <v>0</v>
      </c>
      <c r="L158" t="n">
        <v>0</v>
      </c>
      <c r="M158" t="n">
        <v>0</v>
      </c>
      <c r="N158" t="n">
        <v>0</v>
      </c>
      <c r="O158" t="n">
        <v>0</v>
      </c>
      <c r="P158" t="n">
        <v>0</v>
      </c>
      <c r="Q158" t="n">
        <v>0</v>
      </c>
      <c r="R158" s="2" t="inlineStr"/>
    </row>
    <row r="159" ht="15" customHeight="1">
      <c r="A159" t="inlineStr">
        <is>
          <t>A 51136-2025</t>
        </is>
      </c>
      <c r="B159" s="1" t="n">
        <v>45947.55820601852</v>
      </c>
      <c r="C159" s="1" t="n">
        <v>46033</v>
      </c>
      <c r="D159" t="inlineStr">
        <is>
          <t>NORRBOTTENS LÄN</t>
        </is>
      </c>
      <c r="E159" t="inlineStr">
        <is>
          <t>LULEÅ</t>
        </is>
      </c>
      <c r="G159" t="n">
        <v>3.3</v>
      </c>
      <c r="H159" t="n">
        <v>0</v>
      </c>
      <c r="I159" t="n">
        <v>0</v>
      </c>
      <c r="J159" t="n">
        <v>0</v>
      </c>
      <c r="K159" t="n">
        <v>0</v>
      </c>
      <c r="L159" t="n">
        <v>0</v>
      </c>
      <c r="M159" t="n">
        <v>0</v>
      </c>
      <c r="N159" t="n">
        <v>0</v>
      </c>
      <c r="O159" t="n">
        <v>0</v>
      </c>
      <c r="P159" t="n">
        <v>0</v>
      </c>
      <c r="Q159" t="n">
        <v>0</v>
      </c>
      <c r="R159" s="2" t="inlineStr"/>
    </row>
    <row r="160" ht="15" customHeight="1">
      <c r="A160" t="inlineStr">
        <is>
          <t>A 38712-2025</t>
        </is>
      </c>
      <c r="B160" s="1" t="n">
        <v>45886.34465277778</v>
      </c>
      <c r="C160" s="1" t="n">
        <v>46033</v>
      </c>
      <c r="D160" t="inlineStr">
        <is>
          <t>NORRBOTTENS LÄN</t>
        </is>
      </c>
      <c r="E160" t="inlineStr">
        <is>
          <t>LULEÅ</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50866-2025</t>
        </is>
      </c>
      <c r="B161" s="1" t="n">
        <v>45946.59548611111</v>
      </c>
      <c r="C161" s="1" t="n">
        <v>46033</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16296-2025</t>
        </is>
      </c>
      <c r="B162" s="1" t="n">
        <v>45751.34513888889</v>
      </c>
      <c r="C162" s="1" t="n">
        <v>46033</v>
      </c>
      <c r="D162" t="inlineStr">
        <is>
          <t>NORRBOTTENS LÄN</t>
        </is>
      </c>
      <c r="E162" t="inlineStr">
        <is>
          <t>LULEÅ</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62061-2022</t>
        </is>
      </c>
      <c r="B163" s="1" t="n">
        <v>44914</v>
      </c>
      <c r="C163" s="1" t="n">
        <v>46033</v>
      </c>
      <c r="D163" t="inlineStr">
        <is>
          <t>NORRBOTTENS LÄN</t>
        </is>
      </c>
      <c r="E163" t="inlineStr">
        <is>
          <t>LULEÅ</t>
        </is>
      </c>
      <c r="G163" t="n">
        <v>2.4</v>
      </c>
      <c r="H163" t="n">
        <v>0</v>
      </c>
      <c r="I163" t="n">
        <v>0</v>
      </c>
      <c r="J163" t="n">
        <v>0</v>
      </c>
      <c r="K163" t="n">
        <v>0</v>
      </c>
      <c r="L163" t="n">
        <v>0</v>
      </c>
      <c r="M163" t="n">
        <v>0</v>
      </c>
      <c r="N163" t="n">
        <v>0</v>
      </c>
      <c r="O163" t="n">
        <v>0</v>
      </c>
      <c r="P163" t="n">
        <v>0</v>
      </c>
      <c r="Q163" t="n">
        <v>0</v>
      </c>
      <c r="R163" s="2" t="inlineStr"/>
    </row>
    <row r="164" ht="15" customHeight="1">
      <c r="A164" t="inlineStr">
        <is>
          <t>A 3895-2025</t>
        </is>
      </c>
      <c r="B164" s="1" t="n">
        <v>45683</v>
      </c>
      <c r="C164" s="1" t="n">
        <v>46033</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42422-2024</t>
        </is>
      </c>
      <c r="B165" s="1" t="n">
        <v>45565.38912037037</v>
      </c>
      <c r="C165" s="1" t="n">
        <v>46033</v>
      </c>
      <c r="D165" t="inlineStr">
        <is>
          <t>NORRBOTTENS LÄN</t>
        </is>
      </c>
      <c r="E165" t="inlineStr">
        <is>
          <t>LULEÅ</t>
        </is>
      </c>
      <c r="G165" t="n">
        <v>0.5</v>
      </c>
      <c r="H165" t="n">
        <v>0</v>
      </c>
      <c r="I165" t="n">
        <v>0</v>
      </c>
      <c r="J165" t="n">
        <v>0</v>
      </c>
      <c r="K165" t="n">
        <v>0</v>
      </c>
      <c r="L165" t="n">
        <v>0</v>
      </c>
      <c r="M165" t="n">
        <v>0</v>
      </c>
      <c r="N165" t="n">
        <v>0</v>
      </c>
      <c r="O165" t="n">
        <v>0</v>
      </c>
      <c r="P165" t="n">
        <v>0</v>
      </c>
      <c r="Q165" t="n">
        <v>0</v>
      </c>
      <c r="R165" s="2" t="inlineStr"/>
    </row>
    <row r="166" ht="15" customHeight="1">
      <c r="A166" t="inlineStr">
        <is>
          <t>A 42426-2024</t>
        </is>
      </c>
      <c r="B166" s="1" t="n">
        <v>45565.39958333333</v>
      </c>
      <c r="C166" s="1" t="n">
        <v>46033</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10608-2025</t>
        </is>
      </c>
      <c r="B167" s="1" t="n">
        <v>45721</v>
      </c>
      <c r="C167" s="1" t="n">
        <v>46033</v>
      </c>
      <c r="D167" t="inlineStr">
        <is>
          <t>NORRBOTTENS LÄN</t>
        </is>
      </c>
      <c r="E167" t="inlineStr">
        <is>
          <t>LULEÅ</t>
        </is>
      </c>
      <c r="G167" t="n">
        <v>1.5</v>
      </c>
      <c r="H167" t="n">
        <v>0</v>
      </c>
      <c r="I167" t="n">
        <v>0</v>
      </c>
      <c r="J167" t="n">
        <v>0</v>
      </c>
      <c r="K167" t="n">
        <v>0</v>
      </c>
      <c r="L167" t="n">
        <v>0</v>
      </c>
      <c r="M167" t="n">
        <v>0</v>
      </c>
      <c r="N167" t="n">
        <v>0</v>
      </c>
      <c r="O167" t="n">
        <v>0</v>
      </c>
      <c r="P167" t="n">
        <v>0</v>
      </c>
      <c r="Q167" t="n">
        <v>0</v>
      </c>
      <c r="R167" s="2" t="inlineStr"/>
    </row>
    <row r="168" ht="15" customHeight="1">
      <c r="A168" t="inlineStr">
        <is>
          <t>A 50988-2025</t>
        </is>
      </c>
      <c r="B168" s="1" t="n">
        <v>45947.34571759259</v>
      </c>
      <c r="C168" s="1" t="n">
        <v>46033</v>
      </c>
      <c r="D168" t="inlineStr">
        <is>
          <t>NORRBOTTENS LÄN</t>
        </is>
      </c>
      <c r="E168" t="inlineStr">
        <is>
          <t>LULEÅ</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50912-2025</t>
        </is>
      </c>
      <c r="B169" s="1" t="n">
        <v>45946.65706018519</v>
      </c>
      <c r="C169" s="1" t="n">
        <v>46033</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50867-2025</t>
        </is>
      </c>
      <c r="B170" s="1" t="n">
        <v>45946.59561342592</v>
      </c>
      <c r="C170" s="1" t="n">
        <v>46033</v>
      </c>
      <c r="D170" t="inlineStr">
        <is>
          <t>NORRBOTTENS LÄN</t>
        </is>
      </c>
      <c r="E170" t="inlineStr">
        <is>
          <t>LULEÅ</t>
        </is>
      </c>
      <c r="G170" t="n">
        <v>11</v>
      </c>
      <c r="H170" t="n">
        <v>0</v>
      </c>
      <c r="I170" t="n">
        <v>0</v>
      </c>
      <c r="J170" t="n">
        <v>0</v>
      </c>
      <c r="K170" t="n">
        <v>0</v>
      </c>
      <c r="L170" t="n">
        <v>0</v>
      </c>
      <c r="M170" t="n">
        <v>0</v>
      </c>
      <c r="N170" t="n">
        <v>0</v>
      </c>
      <c r="O170" t="n">
        <v>0</v>
      </c>
      <c r="P170" t="n">
        <v>0</v>
      </c>
      <c r="Q170" t="n">
        <v>0</v>
      </c>
      <c r="R170" s="2" t="inlineStr"/>
    </row>
    <row r="171" ht="15" customHeight="1">
      <c r="A171" t="inlineStr">
        <is>
          <t>A 11716-2023</t>
        </is>
      </c>
      <c r="B171" s="1" t="n">
        <v>44992</v>
      </c>
      <c r="C171" s="1" t="n">
        <v>46033</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50845-2025</t>
        </is>
      </c>
      <c r="B172" s="1" t="n">
        <v>45946.5737037037</v>
      </c>
      <c r="C172" s="1" t="n">
        <v>46033</v>
      </c>
      <c r="D172" t="inlineStr">
        <is>
          <t>NORRBOTTENS LÄN</t>
        </is>
      </c>
      <c r="E172" t="inlineStr">
        <is>
          <t>LULEÅ</t>
        </is>
      </c>
      <c r="G172" t="n">
        <v>11.7</v>
      </c>
      <c r="H172" t="n">
        <v>0</v>
      </c>
      <c r="I172" t="n">
        <v>0</v>
      </c>
      <c r="J172" t="n">
        <v>0</v>
      </c>
      <c r="K172" t="n">
        <v>0</v>
      </c>
      <c r="L172" t="n">
        <v>0</v>
      </c>
      <c r="M172" t="n">
        <v>0</v>
      </c>
      <c r="N172" t="n">
        <v>0</v>
      </c>
      <c r="O172" t="n">
        <v>0</v>
      </c>
      <c r="P172" t="n">
        <v>0</v>
      </c>
      <c r="Q172" t="n">
        <v>0</v>
      </c>
      <c r="R172" s="2" t="inlineStr"/>
    </row>
    <row r="173" ht="15" customHeight="1">
      <c r="A173" t="inlineStr">
        <is>
          <t>A 38685-2025</t>
        </is>
      </c>
      <c r="B173" s="1" t="n">
        <v>45884.65607638889</v>
      </c>
      <c r="C173" s="1" t="n">
        <v>46033</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38841-2025</t>
        </is>
      </c>
      <c r="B174" s="1" t="n">
        <v>45887.53751157408</v>
      </c>
      <c r="C174" s="1" t="n">
        <v>46033</v>
      </c>
      <c r="D174" t="inlineStr">
        <is>
          <t>NORRBOTTENS LÄN</t>
        </is>
      </c>
      <c r="E174" t="inlineStr">
        <is>
          <t>LULEÅ</t>
        </is>
      </c>
      <c r="G174" t="n">
        <v>1.1</v>
      </c>
      <c r="H174" t="n">
        <v>0</v>
      </c>
      <c r="I174" t="n">
        <v>0</v>
      </c>
      <c r="J174" t="n">
        <v>0</v>
      </c>
      <c r="K174" t="n">
        <v>0</v>
      </c>
      <c r="L174" t="n">
        <v>0</v>
      </c>
      <c r="M174" t="n">
        <v>0</v>
      </c>
      <c r="N174" t="n">
        <v>0</v>
      </c>
      <c r="O174" t="n">
        <v>0</v>
      </c>
      <c r="P174" t="n">
        <v>0</v>
      </c>
      <c r="Q174" t="n">
        <v>0</v>
      </c>
      <c r="R174" s="2" t="inlineStr"/>
    </row>
    <row r="175" ht="15" customHeight="1">
      <c r="A175" t="inlineStr">
        <is>
          <t>A 60651-2023</t>
        </is>
      </c>
      <c r="B175" s="1" t="n">
        <v>45260</v>
      </c>
      <c r="C175" s="1" t="n">
        <v>46033</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8271-2025</t>
        </is>
      </c>
      <c r="B176" s="1" t="n">
        <v>45708</v>
      </c>
      <c r="C176" s="1" t="n">
        <v>46033</v>
      </c>
      <c r="D176" t="inlineStr">
        <is>
          <t>NORRBOTTENS LÄN</t>
        </is>
      </c>
      <c r="E176" t="inlineStr">
        <is>
          <t>LULEÅ</t>
        </is>
      </c>
      <c r="G176" t="n">
        <v>11.4</v>
      </c>
      <c r="H176" t="n">
        <v>0</v>
      </c>
      <c r="I176" t="n">
        <v>0</v>
      </c>
      <c r="J176" t="n">
        <v>0</v>
      </c>
      <c r="K176" t="n">
        <v>0</v>
      </c>
      <c r="L176" t="n">
        <v>0</v>
      </c>
      <c r="M176" t="n">
        <v>0</v>
      </c>
      <c r="N176" t="n">
        <v>0</v>
      </c>
      <c r="O176" t="n">
        <v>0</v>
      </c>
      <c r="P176" t="n">
        <v>0</v>
      </c>
      <c r="Q176" t="n">
        <v>0</v>
      </c>
      <c r="R176" s="2" t="inlineStr"/>
    </row>
    <row r="177" ht="15" customHeight="1">
      <c r="A177" t="inlineStr">
        <is>
          <t>A 50989-2025</t>
        </is>
      </c>
      <c r="B177" s="1" t="n">
        <v>45947.34578703704</v>
      </c>
      <c r="C177" s="1" t="n">
        <v>46033</v>
      </c>
      <c r="D177" t="inlineStr">
        <is>
          <t>NORRBOTTENS LÄN</t>
        </is>
      </c>
      <c r="E177" t="inlineStr">
        <is>
          <t>LULEÅ</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38683-2025</t>
        </is>
      </c>
      <c r="B178" s="1" t="n">
        <v>45884.65483796296</v>
      </c>
      <c r="C178" s="1" t="n">
        <v>46033</v>
      </c>
      <c r="D178" t="inlineStr">
        <is>
          <t>NORRBOTTENS LÄN</t>
        </is>
      </c>
      <c r="E178" t="inlineStr">
        <is>
          <t>LULEÅ</t>
        </is>
      </c>
      <c r="G178" t="n">
        <v>0.7</v>
      </c>
      <c r="H178" t="n">
        <v>0</v>
      </c>
      <c r="I178" t="n">
        <v>0</v>
      </c>
      <c r="J178" t="n">
        <v>0</v>
      </c>
      <c r="K178" t="n">
        <v>0</v>
      </c>
      <c r="L178" t="n">
        <v>0</v>
      </c>
      <c r="M178" t="n">
        <v>0</v>
      </c>
      <c r="N178" t="n">
        <v>0</v>
      </c>
      <c r="O178" t="n">
        <v>0</v>
      </c>
      <c r="P178" t="n">
        <v>0</v>
      </c>
      <c r="Q178" t="n">
        <v>0</v>
      </c>
      <c r="R178" s="2" t="inlineStr"/>
    </row>
    <row r="179" ht="15" customHeight="1">
      <c r="A179" t="inlineStr">
        <is>
          <t>A 61504-2024</t>
        </is>
      </c>
      <c r="B179" s="1" t="n">
        <v>45646.56238425926</v>
      </c>
      <c r="C179" s="1" t="n">
        <v>46033</v>
      </c>
      <c r="D179" t="inlineStr">
        <is>
          <t>NORRBOTTENS LÄN</t>
        </is>
      </c>
      <c r="E179" t="inlineStr">
        <is>
          <t>LULEÅ</t>
        </is>
      </c>
      <c r="G179" t="n">
        <v>3.1</v>
      </c>
      <c r="H179" t="n">
        <v>0</v>
      </c>
      <c r="I179" t="n">
        <v>0</v>
      </c>
      <c r="J179" t="n">
        <v>0</v>
      </c>
      <c r="K179" t="n">
        <v>0</v>
      </c>
      <c r="L179" t="n">
        <v>0</v>
      </c>
      <c r="M179" t="n">
        <v>0</v>
      </c>
      <c r="N179" t="n">
        <v>0</v>
      </c>
      <c r="O179" t="n">
        <v>0</v>
      </c>
      <c r="P179" t="n">
        <v>0</v>
      </c>
      <c r="Q179" t="n">
        <v>0</v>
      </c>
      <c r="R179" s="2" t="inlineStr"/>
    </row>
    <row r="180" ht="15" customHeight="1">
      <c r="A180" t="inlineStr">
        <is>
          <t>A 61510-2024</t>
        </is>
      </c>
      <c r="B180" s="1" t="n">
        <v>45646.56674768519</v>
      </c>
      <c r="C180" s="1" t="n">
        <v>46033</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34910-2023</t>
        </is>
      </c>
      <c r="B181" s="1" t="n">
        <v>45142.4560300926</v>
      </c>
      <c r="C181" s="1" t="n">
        <v>46033</v>
      </c>
      <c r="D181" t="inlineStr">
        <is>
          <t>NORRBOTTENS LÄN</t>
        </is>
      </c>
      <c r="E181" t="inlineStr">
        <is>
          <t>LULEÅ</t>
        </is>
      </c>
      <c r="G181" t="n">
        <v>18.9</v>
      </c>
      <c r="H181" t="n">
        <v>0</v>
      </c>
      <c r="I181" t="n">
        <v>0</v>
      </c>
      <c r="J181" t="n">
        <v>0</v>
      </c>
      <c r="K181" t="n">
        <v>0</v>
      </c>
      <c r="L181" t="n">
        <v>0</v>
      </c>
      <c r="M181" t="n">
        <v>0</v>
      </c>
      <c r="N181" t="n">
        <v>0</v>
      </c>
      <c r="O181" t="n">
        <v>0</v>
      </c>
      <c r="P181" t="n">
        <v>0</v>
      </c>
      <c r="Q181" t="n">
        <v>0</v>
      </c>
      <c r="R181" s="2" t="inlineStr"/>
    </row>
    <row r="182" ht="15" customHeight="1">
      <c r="A182" t="inlineStr">
        <is>
          <t>A 35090-2023</t>
        </is>
      </c>
      <c r="B182" s="1" t="n">
        <v>45145</v>
      </c>
      <c r="C182" s="1" t="n">
        <v>46033</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51391-2025</t>
        </is>
      </c>
      <c r="B183" s="1" t="n">
        <v>45950.46918981482</v>
      </c>
      <c r="C183" s="1" t="n">
        <v>46033</v>
      </c>
      <c r="D183" t="inlineStr">
        <is>
          <t>NORRBOTTENS LÄN</t>
        </is>
      </c>
      <c r="E183" t="inlineStr">
        <is>
          <t>LULEÅ</t>
        </is>
      </c>
      <c r="F183" t="inlineStr">
        <is>
          <t>SCA</t>
        </is>
      </c>
      <c r="G183" t="n">
        <v>3.6</v>
      </c>
      <c r="H183" t="n">
        <v>0</v>
      </c>
      <c r="I183" t="n">
        <v>0</v>
      </c>
      <c r="J183" t="n">
        <v>0</v>
      </c>
      <c r="K183" t="n">
        <v>0</v>
      </c>
      <c r="L183" t="n">
        <v>0</v>
      </c>
      <c r="M183" t="n">
        <v>0</v>
      </c>
      <c r="N183" t="n">
        <v>0</v>
      </c>
      <c r="O183" t="n">
        <v>0</v>
      </c>
      <c r="P183" t="n">
        <v>0</v>
      </c>
      <c r="Q183" t="n">
        <v>0</v>
      </c>
      <c r="R183" s="2" t="inlineStr"/>
    </row>
    <row r="184" ht="15" customHeight="1">
      <c r="A184" t="inlineStr">
        <is>
          <t>A 51465-2025</t>
        </is>
      </c>
      <c r="B184" s="1" t="n">
        <v>45950.61075231482</v>
      </c>
      <c r="C184" s="1" t="n">
        <v>46033</v>
      </c>
      <c r="D184" t="inlineStr">
        <is>
          <t>NORRBOTTENS LÄN</t>
        </is>
      </c>
      <c r="E184" t="inlineStr">
        <is>
          <t>LULEÅ</t>
        </is>
      </c>
      <c r="G184" t="n">
        <v>5.8</v>
      </c>
      <c r="H184" t="n">
        <v>0</v>
      </c>
      <c r="I184" t="n">
        <v>0</v>
      </c>
      <c r="J184" t="n">
        <v>0</v>
      </c>
      <c r="K184" t="n">
        <v>0</v>
      </c>
      <c r="L184" t="n">
        <v>0</v>
      </c>
      <c r="M184" t="n">
        <v>0</v>
      </c>
      <c r="N184" t="n">
        <v>0</v>
      </c>
      <c r="O184" t="n">
        <v>0</v>
      </c>
      <c r="P184" t="n">
        <v>0</v>
      </c>
      <c r="Q184" t="n">
        <v>0</v>
      </c>
      <c r="R184" s="2" t="inlineStr"/>
    </row>
    <row r="185" ht="15" customHeight="1">
      <c r="A185" t="inlineStr">
        <is>
          <t>A 39269-2025</t>
        </is>
      </c>
      <c r="B185" s="1" t="n">
        <v>45889.38579861111</v>
      </c>
      <c r="C185" s="1" t="n">
        <v>46033</v>
      </c>
      <c r="D185" t="inlineStr">
        <is>
          <t>NORRBOTTENS LÄN</t>
        </is>
      </c>
      <c r="E185" t="inlineStr">
        <is>
          <t>LULEÅ</t>
        </is>
      </c>
      <c r="F185" t="inlineStr">
        <is>
          <t>SCA</t>
        </is>
      </c>
      <c r="G185" t="n">
        <v>1</v>
      </c>
      <c r="H185" t="n">
        <v>0</v>
      </c>
      <c r="I185" t="n">
        <v>0</v>
      </c>
      <c r="J185" t="n">
        <v>0</v>
      </c>
      <c r="K185" t="n">
        <v>0</v>
      </c>
      <c r="L185" t="n">
        <v>0</v>
      </c>
      <c r="M185" t="n">
        <v>0</v>
      </c>
      <c r="N185" t="n">
        <v>0</v>
      </c>
      <c r="O185" t="n">
        <v>0</v>
      </c>
      <c r="P185" t="n">
        <v>0</v>
      </c>
      <c r="Q185" t="n">
        <v>0</v>
      </c>
      <c r="R185" s="2" t="inlineStr"/>
    </row>
    <row r="186" ht="15" customHeight="1">
      <c r="A186" t="inlineStr">
        <is>
          <t>A 63801-2023</t>
        </is>
      </c>
      <c r="B186" s="1" t="n">
        <v>45278.42126157408</v>
      </c>
      <c r="C186" s="1" t="n">
        <v>46033</v>
      </c>
      <c r="D186" t="inlineStr">
        <is>
          <t>NORRBOTTENS LÄN</t>
        </is>
      </c>
      <c r="E186" t="inlineStr">
        <is>
          <t>LULEÅ</t>
        </is>
      </c>
      <c r="G186" t="n">
        <v>1.2</v>
      </c>
      <c r="H186" t="n">
        <v>0</v>
      </c>
      <c r="I186" t="n">
        <v>0</v>
      </c>
      <c r="J186" t="n">
        <v>0</v>
      </c>
      <c r="K186" t="n">
        <v>0</v>
      </c>
      <c r="L186" t="n">
        <v>0</v>
      </c>
      <c r="M186" t="n">
        <v>0</v>
      </c>
      <c r="N186" t="n">
        <v>0</v>
      </c>
      <c r="O186" t="n">
        <v>0</v>
      </c>
      <c r="P186" t="n">
        <v>0</v>
      </c>
      <c r="Q186" t="n">
        <v>0</v>
      </c>
      <c r="R186" s="2" t="inlineStr"/>
    </row>
    <row r="187" ht="15" customHeight="1">
      <c r="A187" t="inlineStr">
        <is>
          <t>A 11178-2023</t>
        </is>
      </c>
      <c r="B187" s="1" t="n">
        <v>44987</v>
      </c>
      <c r="C187" s="1" t="n">
        <v>46033</v>
      </c>
      <c r="D187" t="inlineStr">
        <is>
          <t>NORRBOTTENS LÄN</t>
        </is>
      </c>
      <c r="E187" t="inlineStr">
        <is>
          <t>LULEÅ</t>
        </is>
      </c>
      <c r="G187" t="n">
        <v>4.7</v>
      </c>
      <c r="H187" t="n">
        <v>0</v>
      </c>
      <c r="I187" t="n">
        <v>0</v>
      </c>
      <c r="J187" t="n">
        <v>0</v>
      </c>
      <c r="K187" t="n">
        <v>0</v>
      </c>
      <c r="L187" t="n">
        <v>0</v>
      </c>
      <c r="M187" t="n">
        <v>0</v>
      </c>
      <c r="N187" t="n">
        <v>0</v>
      </c>
      <c r="O187" t="n">
        <v>0</v>
      </c>
      <c r="P187" t="n">
        <v>0</v>
      </c>
      <c r="Q187" t="n">
        <v>0</v>
      </c>
      <c r="R187" s="2" t="inlineStr"/>
    </row>
    <row r="188" ht="15" customHeight="1">
      <c r="A188" t="inlineStr">
        <is>
          <t>A 29417-2025</t>
        </is>
      </c>
      <c r="B188" s="1" t="n">
        <v>45824.63576388889</v>
      </c>
      <c r="C188" s="1" t="n">
        <v>46033</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52697-2023</t>
        </is>
      </c>
      <c r="B189" s="1" t="n">
        <v>45219</v>
      </c>
      <c r="C189" s="1" t="n">
        <v>46033</v>
      </c>
      <c r="D189" t="inlineStr">
        <is>
          <t>NORRBOTTENS LÄN</t>
        </is>
      </c>
      <c r="E189" t="inlineStr">
        <is>
          <t>LULEÅ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46374-2024</t>
        </is>
      </c>
      <c r="B190" s="1" t="n">
        <v>45582</v>
      </c>
      <c r="C190" s="1" t="n">
        <v>46033</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29237-2024</t>
        </is>
      </c>
      <c r="B191" s="1" t="n">
        <v>45482.92732638889</v>
      </c>
      <c r="C191" s="1" t="n">
        <v>46033</v>
      </c>
      <c r="D191" t="inlineStr">
        <is>
          <t>NORRBOTTENS LÄN</t>
        </is>
      </c>
      <c r="E191" t="inlineStr">
        <is>
          <t>LULEÅ</t>
        </is>
      </c>
      <c r="G191" t="n">
        <v>10.3</v>
      </c>
      <c r="H191" t="n">
        <v>0</v>
      </c>
      <c r="I191" t="n">
        <v>0</v>
      </c>
      <c r="J191" t="n">
        <v>0</v>
      </c>
      <c r="K191" t="n">
        <v>0</v>
      </c>
      <c r="L191" t="n">
        <v>0</v>
      </c>
      <c r="M191" t="n">
        <v>0</v>
      </c>
      <c r="N191" t="n">
        <v>0</v>
      </c>
      <c r="O191" t="n">
        <v>0</v>
      </c>
      <c r="P191" t="n">
        <v>0</v>
      </c>
      <c r="Q191" t="n">
        <v>0</v>
      </c>
      <c r="R191" s="2" t="inlineStr"/>
    </row>
    <row r="192" ht="15" customHeight="1">
      <c r="A192" t="inlineStr">
        <is>
          <t>A 23534-2025</t>
        </is>
      </c>
      <c r="B192" s="1" t="n">
        <v>45792</v>
      </c>
      <c r="C192" s="1" t="n">
        <v>46033</v>
      </c>
      <c r="D192" t="inlineStr">
        <is>
          <t>NORRBOTTENS LÄN</t>
        </is>
      </c>
      <c r="E192" t="inlineStr">
        <is>
          <t>LULEÅ</t>
        </is>
      </c>
      <c r="G192" t="n">
        <v>3.2</v>
      </c>
      <c r="H192" t="n">
        <v>0</v>
      </c>
      <c r="I192" t="n">
        <v>0</v>
      </c>
      <c r="J192" t="n">
        <v>0</v>
      </c>
      <c r="K192" t="n">
        <v>0</v>
      </c>
      <c r="L192" t="n">
        <v>0</v>
      </c>
      <c r="M192" t="n">
        <v>0</v>
      </c>
      <c r="N192" t="n">
        <v>0</v>
      </c>
      <c r="O192" t="n">
        <v>0</v>
      </c>
      <c r="P192" t="n">
        <v>0</v>
      </c>
      <c r="Q192" t="n">
        <v>0</v>
      </c>
      <c r="R192" s="2" t="inlineStr"/>
    </row>
    <row r="193" ht="15" customHeight="1">
      <c r="A193" t="inlineStr">
        <is>
          <t>A 23516-2025</t>
        </is>
      </c>
      <c r="B193" s="1" t="n">
        <v>45792</v>
      </c>
      <c r="C193" s="1" t="n">
        <v>46033</v>
      </c>
      <c r="D193" t="inlineStr">
        <is>
          <t>NORRBOTTENS LÄN</t>
        </is>
      </c>
      <c r="E193" t="inlineStr">
        <is>
          <t>LULEÅ</t>
        </is>
      </c>
      <c r="G193" t="n">
        <v>2.7</v>
      </c>
      <c r="H193" t="n">
        <v>0</v>
      </c>
      <c r="I193" t="n">
        <v>0</v>
      </c>
      <c r="J193" t="n">
        <v>0</v>
      </c>
      <c r="K193" t="n">
        <v>0</v>
      </c>
      <c r="L193" t="n">
        <v>0</v>
      </c>
      <c r="M193" t="n">
        <v>0</v>
      </c>
      <c r="N193" t="n">
        <v>0</v>
      </c>
      <c r="O193" t="n">
        <v>0</v>
      </c>
      <c r="P193" t="n">
        <v>0</v>
      </c>
      <c r="Q193" t="n">
        <v>0</v>
      </c>
      <c r="R193" s="2" t="inlineStr"/>
    </row>
    <row r="194" ht="15" customHeight="1">
      <c r="A194" t="inlineStr">
        <is>
          <t>A 23519-2025</t>
        </is>
      </c>
      <c r="B194" s="1" t="n">
        <v>45792.51074074074</v>
      </c>
      <c r="C194" s="1" t="n">
        <v>46033</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59605-2025</t>
        </is>
      </c>
      <c r="B195" s="1" t="n">
        <v>45992</v>
      </c>
      <c r="C195" s="1" t="n">
        <v>46033</v>
      </c>
      <c r="D195" t="inlineStr">
        <is>
          <t>NORRBOTTENS LÄN</t>
        </is>
      </c>
      <c r="E195" t="inlineStr">
        <is>
          <t>LULEÅ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54739-2024</t>
        </is>
      </c>
      <c r="B196" s="1" t="n">
        <v>45618.44335648148</v>
      </c>
      <c r="C196" s="1" t="n">
        <v>46033</v>
      </c>
      <c r="D196" t="inlineStr">
        <is>
          <t>NORRBOTTENS LÄN</t>
        </is>
      </c>
      <c r="E196" t="inlineStr">
        <is>
          <t>LULEÅ</t>
        </is>
      </c>
      <c r="G196" t="n">
        <v>4.8</v>
      </c>
      <c r="H196" t="n">
        <v>0</v>
      </c>
      <c r="I196" t="n">
        <v>0</v>
      </c>
      <c r="J196" t="n">
        <v>0</v>
      </c>
      <c r="K196" t="n">
        <v>0</v>
      </c>
      <c r="L196" t="n">
        <v>0</v>
      </c>
      <c r="M196" t="n">
        <v>0</v>
      </c>
      <c r="N196" t="n">
        <v>0</v>
      </c>
      <c r="O196" t="n">
        <v>0</v>
      </c>
      <c r="P196" t="n">
        <v>0</v>
      </c>
      <c r="Q196" t="n">
        <v>0</v>
      </c>
      <c r="R196" s="2" t="inlineStr"/>
    </row>
    <row r="197" ht="15" customHeight="1">
      <c r="A197" t="inlineStr">
        <is>
          <t>A 59731-2025</t>
        </is>
      </c>
      <c r="B197" s="1" t="n">
        <v>45992.56959490741</v>
      </c>
      <c r="C197" s="1" t="n">
        <v>46033</v>
      </c>
      <c r="D197" t="inlineStr">
        <is>
          <t>NORRBOTTENS LÄN</t>
        </is>
      </c>
      <c r="E197" t="inlineStr">
        <is>
          <t>LULEÅ</t>
        </is>
      </c>
      <c r="G197" t="n">
        <v>2.2</v>
      </c>
      <c r="H197" t="n">
        <v>0</v>
      </c>
      <c r="I197" t="n">
        <v>0</v>
      </c>
      <c r="J197" t="n">
        <v>0</v>
      </c>
      <c r="K197" t="n">
        <v>0</v>
      </c>
      <c r="L197" t="n">
        <v>0</v>
      </c>
      <c r="M197" t="n">
        <v>0</v>
      </c>
      <c r="N197" t="n">
        <v>0</v>
      </c>
      <c r="O197" t="n">
        <v>0</v>
      </c>
      <c r="P197" t="n">
        <v>0</v>
      </c>
      <c r="Q197" t="n">
        <v>0</v>
      </c>
      <c r="R197" s="2" t="inlineStr"/>
    </row>
    <row r="198" ht="15" customHeight="1">
      <c r="A198" t="inlineStr">
        <is>
          <t>A 53836-2024</t>
        </is>
      </c>
      <c r="B198" s="1" t="n">
        <v>45615.62185185185</v>
      </c>
      <c r="C198" s="1" t="n">
        <v>46033</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13846-2024</t>
        </is>
      </c>
      <c r="B199" s="1" t="n">
        <v>45390</v>
      </c>
      <c r="C199" s="1" t="n">
        <v>46033</v>
      </c>
      <c r="D199" t="inlineStr">
        <is>
          <t>NORRBOTTENS LÄN</t>
        </is>
      </c>
      <c r="E199" t="inlineStr">
        <is>
          <t>LULEÅ</t>
        </is>
      </c>
      <c r="G199" t="n">
        <v>16.4</v>
      </c>
      <c r="H199" t="n">
        <v>0</v>
      </c>
      <c r="I199" t="n">
        <v>0</v>
      </c>
      <c r="J199" t="n">
        <v>0</v>
      </c>
      <c r="K199" t="n">
        <v>0</v>
      </c>
      <c r="L199" t="n">
        <v>0</v>
      </c>
      <c r="M199" t="n">
        <v>0</v>
      </c>
      <c r="N199" t="n">
        <v>0</v>
      </c>
      <c r="O199" t="n">
        <v>0</v>
      </c>
      <c r="P199" t="n">
        <v>0</v>
      </c>
      <c r="Q199" t="n">
        <v>0</v>
      </c>
      <c r="R199" s="2" t="inlineStr"/>
    </row>
    <row r="200" ht="15" customHeight="1">
      <c r="A200" t="inlineStr">
        <is>
          <t>A 23520-2025</t>
        </is>
      </c>
      <c r="B200" s="1" t="n">
        <v>45792.51074074074</v>
      </c>
      <c r="C200" s="1" t="n">
        <v>46033</v>
      </c>
      <c r="D200" t="inlineStr">
        <is>
          <t>NORRBOTTENS LÄN</t>
        </is>
      </c>
      <c r="E200" t="inlineStr">
        <is>
          <t>LULEÅ</t>
        </is>
      </c>
      <c r="G200" t="n">
        <v>3.2</v>
      </c>
      <c r="H200" t="n">
        <v>0</v>
      </c>
      <c r="I200" t="n">
        <v>0</v>
      </c>
      <c r="J200" t="n">
        <v>0</v>
      </c>
      <c r="K200" t="n">
        <v>0</v>
      </c>
      <c r="L200" t="n">
        <v>0</v>
      </c>
      <c r="M200" t="n">
        <v>0</v>
      </c>
      <c r="N200" t="n">
        <v>0</v>
      </c>
      <c r="O200" t="n">
        <v>0</v>
      </c>
      <c r="P200" t="n">
        <v>0</v>
      </c>
      <c r="Q200" t="n">
        <v>0</v>
      </c>
      <c r="R200" s="2" t="inlineStr"/>
    </row>
    <row r="201" ht="15" customHeight="1">
      <c r="A201" t="inlineStr">
        <is>
          <t>A 23524-2025</t>
        </is>
      </c>
      <c r="B201" s="1" t="n">
        <v>45792</v>
      </c>
      <c r="C201" s="1" t="n">
        <v>46033</v>
      </c>
      <c r="D201" t="inlineStr">
        <is>
          <t>NORRBOTTENS LÄN</t>
        </is>
      </c>
      <c r="E201" t="inlineStr">
        <is>
          <t>LULEÅ</t>
        </is>
      </c>
      <c r="G201" t="n">
        <v>6.5</v>
      </c>
      <c r="H201" t="n">
        <v>0</v>
      </c>
      <c r="I201" t="n">
        <v>0</v>
      </c>
      <c r="J201" t="n">
        <v>0</v>
      </c>
      <c r="K201" t="n">
        <v>0</v>
      </c>
      <c r="L201" t="n">
        <v>0</v>
      </c>
      <c r="M201" t="n">
        <v>0</v>
      </c>
      <c r="N201" t="n">
        <v>0</v>
      </c>
      <c r="O201" t="n">
        <v>0</v>
      </c>
      <c r="P201" t="n">
        <v>0</v>
      </c>
      <c r="Q201" t="n">
        <v>0</v>
      </c>
      <c r="R201" s="2" t="inlineStr"/>
    </row>
    <row r="202" ht="15" customHeight="1">
      <c r="A202" t="inlineStr">
        <is>
          <t>A 23505-2025</t>
        </is>
      </c>
      <c r="B202" s="1" t="n">
        <v>45792</v>
      </c>
      <c r="C202" s="1" t="n">
        <v>46033</v>
      </c>
      <c r="D202" t="inlineStr">
        <is>
          <t>NORRBOTTENS LÄN</t>
        </is>
      </c>
      <c r="E202" t="inlineStr">
        <is>
          <t>LULEÅ</t>
        </is>
      </c>
      <c r="G202" t="n">
        <v>4.6</v>
      </c>
      <c r="H202" t="n">
        <v>0</v>
      </c>
      <c r="I202" t="n">
        <v>0</v>
      </c>
      <c r="J202" t="n">
        <v>0</v>
      </c>
      <c r="K202" t="n">
        <v>0</v>
      </c>
      <c r="L202" t="n">
        <v>0</v>
      </c>
      <c r="M202" t="n">
        <v>0</v>
      </c>
      <c r="N202" t="n">
        <v>0</v>
      </c>
      <c r="O202" t="n">
        <v>0</v>
      </c>
      <c r="P202" t="n">
        <v>0</v>
      </c>
      <c r="Q202" t="n">
        <v>0</v>
      </c>
      <c r="R202" s="2" t="inlineStr"/>
    </row>
    <row r="203" ht="15" customHeight="1">
      <c r="A203" t="inlineStr">
        <is>
          <t>A 30950-2024</t>
        </is>
      </c>
      <c r="B203" s="1" t="n">
        <v>45499</v>
      </c>
      <c r="C203" s="1" t="n">
        <v>46033</v>
      </c>
      <c r="D203" t="inlineStr">
        <is>
          <t>NORRBOTTENS LÄN</t>
        </is>
      </c>
      <c r="E203" t="inlineStr">
        <is>
          <t>LULEÅ</t>
        </is>
      </c>
      <c r="G203" t="n">
        <v>2.3</v>
      </c>
      <c r="H203" t="n">
        <v>0</v>
      </c>
      <c r="I203" t="n">
        <v>0</v>
      </c>
      <c r="J203" t="n">
        <v>0</v>
      </c>
      <c r="K203" t="n">
        <v>0</v>
      </c>
      <c r="L203" t="n">
        <v>0</v>
      </c>
      <c r="M203" t="n">
        <v>0</v>
      </c>
      <c r="N203" t="n">
        <v>0</v>
      </c>
      <c r="O203" t="n">
        <v>0</v>
      </c>
      <c r="P203" t="n">
        <v>0</v>
      </c>
      <c r="Q203" t="n">
        <v>0</v>
      </c>
      <c r="R203" s="2" t="inlineStr"/>
    </row>
    <row r="204" ht="15" customHeight="1">
      <c r="A204" t="inlineStr">
        <is>
          <t>A 6957-2025</t>
        </is>
      </c>
      <c r="B204" s="1" t="n">
        <v>45701.49048611111</v>
      </c>
      <c r="C204" s="1" t="n">
        <v>46033</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39644-2025</t>
        </is>
      </c>
      <c r="B205" s="1" t="n">
        <v>45890.61241898148</v>
      </c>
      <c r="C205" s="1" t="n">
        <v>46033</v>
      </c>
      <c r="D205" t="inlineStr">
        <is>
          <t>NORRBOTTENS LÄN</t>
        </is>
      </c>
      <c r="E205" t="inlineStr">
        <is>
          <t>LULEÅ</t>
        </is>
      </c>
      <c r="G205" t="n">
        <v>4.6</v>
      </c>
      <c r="H205" t="n">
        <v>0</v>
      </c>
      <c r="I205" t="n">
        <v>0</v>
      </c>
      <c r="J205" t="n">
        <v>0</v>
      </c>
      <c r="K205" t="n">
        <v>0</v>
      </c>
      <c r="L205" t="n">
        <v>0</v>
      </c>
      <c r="M205" t="n">
        <v>0</v>
      </c>
      <c r="N205" t="n">
        <v>0</v>
      </c>
      <c r="O205" t="n">
        <v>0</v>
      </c>
      <c r="P205" t="n">
        <v>0</v>
      </c>
      <c r="Q205" t="n">
        <v>0</v>
      </c>
      <c r="R205" s="2" t="inlineStr"/>
    </row>
    <row r="206" ht="15" customHeight="1">
      <c r="A206" t="inlineStr">
        <is>
          <t>A 44324-2024</t>
        </is>
      </c>
      <c r="B206" s="1" t="n">
        <v>45573.59376157408</v>
      </c>
      <c r="C206" s="1" t="n">
        <v>46033</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46033</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34680-2023</t>
        </is>
      </c>
      <c r="B208" s="1" t="n">
        <v>45140</v>
      </c>
      <c r="C208" s="1" t="n">
        <v>46033</v>
      </c>
      <c r="D208" t="inlineStr">
        <is>
          <t>NORRBOTTENS LÄN</t>
        </is>
      </c>
      <c r="E208" t="inlineStr">
        <is>
          <t>LULEÅ</t>
        </is>
      </c>
      <c r="G208" t="n">
        <v>4.9</v>
      </c>
      <c r="H208" t="n">
        <v>0</v>
      </c>
      <c r="I208" t="n">
        <v>0</v>
      </c>
      <c r="J208" t="n">
        <v>0</v>
      </c>
      <c r="K208" t="n">
        <v>0</v>
      </c>
      <c r="L208" t="n">
        <v>0</v>
      </c>
      <c r="M208" t="n">
        <v>0</v>
      </c>
      <c r="N208" t="n">
        <v>0</v>
      </c>
      <c r="O208" t="n">
        <v>0</v>
      </c>
      <c r="P208" t="n">
        <v>0</v>
      </c>
      <c r="Q208" t="n">
        <v>0</v>
      </c>
      <c r="R208" s="2" t="inlineStr"/>
    </row>
    <row r="209" ht="15" customHeight="1">
      <c r="A209" t="inlineStr">
        <is>
          <t>A 6459-2025</t>
        </is>
      </c>
      <c r="B209" s="1" t="n">
        <v>45699.56368055556</v>
      </c>
      <c r="C209" s="1" t="n">
        <v>46033</v>
      </c>
      <c r="D209" t="inlineStr">
        <is>
          <t>NORRBOTTENS LÄN</t>
        </is>
      </c>
      <c r="E209" t="inlineStr">
        <is>
          <t>LULEÅ</t>
        </is>
      </c>
      <c r="F209" t="inlineStr">
        <is>
          <t>Övriga Aktiebolag</t>
        </is>
      </c>
      <c r="G209" t="n">
        <v>2.8</v>
      </c>
      <c r="H209" t="n">
        <v>0</v>
      </c>
      <c r="I209" t="n">
        <v>0</v>
      </c>
      <c r="J209" t="n">
        <v>0</v>
      </c>
      <c r="K209" t="n">
        <v>0</v>
      </c>
      <c r="L209" t="n">
        <v>0</v>
      </c>
      <c r="M209" t="n">
        <v>0</v>
      </c>
      <c r="N209" t="n">
        <v>0</v>
      </c>
      <c r="O209" t="n">
        <v>0</v>
      </c>
      <c r="P209" t="n">
        <v>0</v>
      </c>
      <c r="Q209" t="n">
        <v>0</v>
      </c>
      <c r="R209" s="2" t="inlineStr"/>
    </row>
    <row r="210" ht="15" customHeight="1">
      <c r="A210" t="inlineStr">
        <is>
          <t>A 39531-2025</t>
        </is>
      </c>
      <c r="B210" s="1" t="n">
        <v>45890.44831018519</v>
      </c>
      <c r="C210" s="1" t="n">
        <v>46033</v>
      </c>
      <c r="D210" t="inlineStr">
        <is>
          <t>NORRBOTTENS LÄN</t>
        </is>
      </c>
      <c r="E210" t="inlineStr">
        <is>
          <t>LULEÅ</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49721-2022</t>
        </is>
      </c>
      <c r="B211" s="1" t="n">
        <v>44859</v>
      </c>
      <c r="C211" s="1" t="n">
        <v>46033</v>
      </c>
      <c r="D211" t="inlineStr">
        <is>
          <t>NORRBOTTENS LÄN</t>
        </is>
      </c>
      <c r="E211" t="inlineStr">
        <is>
          <t>LULEÅ</t>
        </is>
      </c>
      <c r="G211" t="n">
        <v>1.4</v>
      </c>
      <c r="H211" t="n">
        <v>0</v>
      </c>
      <c r="I211" t="n">
        <v>0</v>
      </c>
      <c r="J211" t="n">
        <v>0</v>
      </c>
      <c r="K211" t="n">
        <v>0</v>
      </c>
      <c r="L211" t="n">
        <v>0</v>
      </c>
      <c r="M211" t="n">
        <v>0</v>
      </c>
      <c r="N211" t="n">
        <v>0</v>
      </c>
      <c r="O211" t="n">
        <v>0</v>
      </c>
      <c r="P211" t="n">
        <v>0</v>
      </c>
      <c r="Q211" t="n">
        <v>0</v>
      </c>
      <c r="R211" s="2" t="inlineStr"/>
    </row>
    <row r="212" ht="15" customHeight="1">
      <c r="A212" t="inlineStr">
        <is>
          <t>A 59670-2025</t>
        </is>
      </c>
      <c r="B212" s="1" t="n">
        <v>45992.45686342593</v>
      </c>
      <c r="C212" s="1" t="n">
        <v>46033</v>
      </c>
      <c r="D212" t="inlineStr">
        <is>
          <t>NORRBOTTENS LÄN</t>
        </is>
      </c>
      <c r="E212" t="inlineStr">
        <is>
          <t>LULEÅ</t>
        </is>
      </c>
      <c r="G212" t="n">
        <v>2.4</v>
      </c>
      <c r="H212" t="n">
        <v>0</v>
      </c>
      <c r="I212" t="n">
        <v>0</v>
      </c>
      <c r="J212" t="n">
        <v>0</v>
      </c>
      <c r="K212" t="n">
        <v>0</v>
      </c>
      <c r="L212" t="n">
        <v>0</v>
      </c>
      <c r="M212" t="n">
        <v>0</v>
      </c>
      <c r="N212" t="n">
        <v>0</v>
      </c>
      <c r="O212" t="n">
        <v>0</v>
      </c>
      <c r="P212" t="n">
        <v>0</v>
      </c>
      <c r="Q212" t="n">
        <v>0</v>
      </c>
      <c r="R212" s="2" t="inlineStr"/>
    </row>
    <row r="213" ht="15" customHeight="1">
      <c r="A213" t="inlineStr">
        <is>
          <t>A 59671-2025</t>
        </is>
      </c>
      <c r="B213" s="1" t="n">
        <v>45992.45798611111</v>
      </c>
      <c r="C213" s="1" t="n">
        <v>46033</v>
      </c>
      <c r="D213" t="inlineStr">
        <is>
          <t>NORRBOTTENS LÄN</t>
        </is>
      </c>
      <c r="E213" t="inlineStr">
        <is>
          <t>LULEÅ</t>
        </is>
      </c>
      <c r="G213" t="n">
        <v>3</v>
      </c>
      <c r="H213" t="n">
        <v>0</v>
      </c>
      <c r="I213" t="n">
        <v>0</v>
      </c>
      <c r="J213" t="n">
        <v>0</v>
      </c>
      <c r="K213" t="n">
        <v>0</v>
      </c>
      <c r="L213" t="n">
        <v>0</v>
      </c>
      <c r="M213" t="n">
        <v>0</v>
      </c>
      <c r="N213" t="n">
        <v>0</v>
      </c>
      <c r="O213" t="n">
        <v>0</v>
      </c>
      <c r="P213" t="n">
        <v>0</v>
      </c>
      <c r="Q213" t="n">
        <v>0</v>
      </c>
      <c r="R213" s="2" t="inlineStr"/>
    </row>
    <row r="214" ht="15" customHeight="1">
      <c r="A214" t="inlineStr">
        <is>
          <t>A 25340-2024</t>
        </is>
      </c>
      <c r="B214" s="1" t="n">
        <v>45462</v>
      </c>
      <c r="C214" s="1" t="n">
        <v>46033</v>
      </c>
      <c r="D214" t="inlineStr">
        <is>
          <t>NORRBOTTENS LÄN</t>
        </is>
      </c>
      <c r="E214" t="inlineStr">
        <is>
          <t>LULEÅ</t>
        </is>
      </c>
      <c r="G214" t="n">
        <v>3.6</v>
      </c>
      <c r="H214" t="n">
        <v>0</v>
      </c>
      <c r="I214" t="n">
        <v>0</v>
      </c>
      <c r="J214" t="n">
        <v>0</v>
      </c>
      <c r="K214" t="n">
        <v>0</v>
      </c>
      <c r="L214" t="n">
        <v>0</v>
      </c>
      <c r="M214" t="n">
        <v>0</v>
      </c>
      <c r="N214" t="n">
        <v>0</v>
      </c>
      <c r="O214" t="n">
        <v>0</v>
      </c>
      <c r="P214" t="n">
        <v>0</v>
      </c>
      <c r="Q214" t="n">
        <v>0</v>
      </c>
      <c r="R214" s="2" t="inlineStr"/>
    </row>
    <row r="215" ht="15" customHeight="1">
      <c r="A215" t="inlineStr">
        <is>
          <t>A 86-2025</t>
        </is>
      </c>
      <c r="B215" s="1" t="n">
        <v>45659.45902777778</v>
      </c>
      <c r="C215" s="1" t="n">
        <v>46033</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30787-2024</t>
        </is>
      </c>
      <c r="B216" s="1" t="n">
        <v>45496.95108796296</v>
      </c>
      <c r="C216" s="1" t="n">
        <v>46033</v>
      </c>
      <c r="D216" t="inlineStr">
        <is>
          <t>NORRBOTTENS LÄN</t>
        </is>
      </c>
      <c r="E216" t="inlineStr">
        <is>
          <t>LULEÅ</t>
        </is>
      </c>
      <c r="F216" t="inlineStr">
        <is>
          <t>Naturvårdsverket</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59825-2024</t>
        </is>
      </c>
      <c r="B217" s="1" t="n">
        <v>45639.64152777778</v>
      </c>
      <c r="C217" s="1" t="n">
        <v>46033</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40464-2025</t>
        </is>
      </c>
      <c r="B218" s="1" t="n">
        <v>45895.65347222222</v>
      </c>
      <c r="C218" s="1" t="n">
        <v>46033</v>
      </c>
      <c r="D218" t="inlineStr">
        <is>
          <t>NORRBOTTENS LÄN</t>
        </is>
      </c>
      <c r="E218" t="inlineStr">
        <is>
          <t>LULEÅ</t>
        </is>
      </c>
      <c r="G218" t="n">
        <v>6.9</v>
      </c>
      <c r="H218" t="n">
        <v>0</v>
      </c>
      <c r="I218" t="n">
        <v>0</v>
      </c>
      <c r="J218" t="n">
        <v>0</v>
      </c>
      <c r="K218" t="n">
        <v>0</v>
      </c>
      <c r="L218" t="n">
        <v>0</v>
      </c>
      <c r="M218" t="n">
        <v>0</v>
      </c>
      <c r="N218" t="n">
        <v>0</v>
      </c>
      <c r="O218" t="n">
        <v>0</v>
      </c>
      <c r="P218" t="n">
        <v>0</v>
      </c>
      <c r="Q218" t="n">
        <v>0</v>
      </c>
      <c r="R218" s="2" t="inlineStr"/>
    </row>
    <row r="219" ht="15" customHeight="1">
      <c r="A219" t="inlineStr">
        <is>
          <t>A 59616-2025</t>
        </is>
      </c>
      <c r="B219" s="1" t="n">
        <v>45992</v>
      </c>
      <c r="C219" s="1" t="n">
        <v>46033</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4919-2025</t>
        </is>
      </c>
      <c r="B220" s="1" t="n">
        <v>45688.68407407407</v>
      </c>
      <c r="C220" s="1" t="n">
        <v>46033</v>
      </c>
      <c r="D220" t="inlineStr">
        <is>
          <t>NORRBOTTENS LÄN</t>
        </is>
      </c>
      <c r="E220" t="inlineStr">
        <is>
          <t>LULEÅ</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48409-2023</t>
        </is>
      </c>
      <c r="B221" s="1" t="n">
        <v>45205</v>
      </c>
      <c r="C221" s="1" t="n">
        <v>46033</v>
      </c>
      <c r="D221" t="inlineStr">
        <is>
          <t>NORRBOTTENS LÄN</t>
        </is>
      </c>
      <c r="E221" t="inlineStr">
        <is>
          <t>LULEÅ</t>
        </is>
      </c>
      <c r="G221" t="n">
        <v>7.9</v>
      </c>
      <c r="H221" t="n">
        <v>0</v>
      </c>
      <c r="I221" t="n">
        <v>0</v>
      </c>
      <c r="J221" t="n">
        <v>0</v>
      </c>
      <c r="K221" t="n">
        <v>0</v>
      </c>
      <c r="L221" t="n">
        <v>0</v>
      </c>
      <c r="M221" t="n">
        <v>0</v>
      </c>
      <c r="N221" t="n">
        <v>0</v>
      </c>
      <c r="O221" t="n">
        <v>0</v>
      </c>
      <c r="P221" t="n">
        <v>0</v>
      </c>
      <c r="Q221" t="n">
        <v>0</v>
      </c>
      <c r="R221" s="2" t="inlineStr"/>
    </row>
    <row r="222" ht="15" customHeight="1">
      <c r="A222" t="inlineStr">
        <is>
          <t>A 48410-2023</t>
        </is>
      </c>
      <c r="B222" s="1" t="n">
        <v>45205</v>
      </c>
      <c r="C222" s="1" t="n">
        <v>46033</v>
      </c>
      <c r="D222" t="inlineStr">
        <is>
          <t>NORRBOTTENS LÄN</t>
        </is>
      </c>
      <c r="E222" t="inlineStr">
        <is>
          <t>LULEÅ</t>
        </is>
      </c>
      <c r="G222" t="n">
        <v>6.7</v>
      </c>
      <c r="H222" t="n">
        <v>0</v>
      </c>
      <c r="I222" t="n">
        <v>0</v>
      </c>
      <c r="J222" t="n">
        <v>0</v>
      </c>
      <c r="K222" t="n">
        <v>0</v>
      </c>
      <c r="L222" t="n">
        <v>0</v>
      </c>
      <c r="M222" t="n">
        <v>0</v>
      </c>
      <c r="N222" t="n">
        <v>0</v>
      </c>
      <c r="O222" t="n">
        <v>0</v>
      </c>
      <c r="P222" t="n">
        <v>0</v>
      </c>
      <c r="Q222" t="n">
        <v>0</v>
      </c>
      <c r="R222" s="2" t="inlineStr"/>
    </row>
    <row r="223" ht="15" customHeight="1">
      <c r="A223" t="inlineStr">
        <is>
          <t>A 6731-2025</t>
        </is>
      </c>
      <c r="B223" s="1" t="n">
        <v>45700.59357638889</v>
      </c>
      <c r="C223" s="1" t="n">
        <v>46033</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60056-2025</t>
        </is>
      </c>
      <c r="B224" s="1" t="n">
        <v>45993</v>
      </c>
      <c r="C224" s="1" t="n">
        <v>46033</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7037-2025</t>
        </is>
      </c>
      <c r="B225" s="1" t="n">
        <v>45701.63607638889</v>
      </c>
      <c r="C225" s="1" t="n">
        <v>46033</v>
      </c>
      <c r="D225" t="inlineStr">
        <is>
          <t>NORRBOTTENS LÄN</t>
        </is>
      </c>
      <c r="E225" t="inlineStr">
        <is>
          <t>LULEÅ</t>
        </is>
      </c>
      <c r="G225" t="n">
        <v>1.9</v>
      </c>
      <c r="H225" t="n">
        <v>0</v>
      </c>
      <c r="I225" t="n">
        <v>0</v>
      </c>
      <c r="J225" t="n">
        <v>0</v>
      </c>
      <c r="K225" t="n">
        <v>0</v>
      </c>
      <c r="L225" t="n">
        <v>0</v>
      </c>
      <c r="M225" t="n">
        <v>0</v>
      </c>
      <c r="N225" t="n">
        <v>0</v>
      </c>
      <c r="O225" t="n">
        <v>0</v>
      </c>
      <c r="P225" t="n">
        <v>0</v>
      </c>
      <c r="Q225" t="n">
        <v>0</v>
      </c>
      <c r="R225" s="2" t="inlineStr"/>
    </row>
    <row r="226" ht="15" customHeight="1">
      <c r="A226" t="inlineStr">
        <is>
          <t>A 4921-2025</t>
        </is>
      </c>
      <c r="B226" s="1" t="n">
        <v>45688.68416666667</v>
      </c>
      <c r="C226" s="1" t="n">
        <v>46033</v>
      </c>
      <c r="D226" t="inlineStr">
        <is>
          <t>NORRBOTTENS LÄN</t>
        </is>
      </c>
      <c r="E226" t="inlineStr">
        <is>
          <t>LULEÅ</t>
        </is>
      </c>
      <c r="G226" t="n">
        <v>2.7</v>
      </c>
      <c r="H226" t="n">
        <v>0</v>
      </c>
      <c r="I226" t="n">
        <v>0</v>
      </c>
      <c r="J226" t="n">
        <v>0</v>
      </c>
      <c r="K226" t="n">
        <v>0</v>
      </c>
      <c r="L226" t="n">
        <v>0</v>
      </c>
      <c r="M226" t="n">
        <v>0</v>
      </c>
      <c r="N226" t="n">
        <v>0</v>
      </c>
      <c r="O226" t="n">
        <v>0</v>
      </c>
      <c r="P226" t="n">
        <v>0</v>
      </c>
      <c r="Q226" t="n">
        <v>0</v>
      </c>
      <c r="R226" s="2" t="inlineStr"/>
    </row>
    <row r="227" ht="15" customHeight="1">
      <c r="A227" t="inlineStr">
        <is>
          <t>A 339-2025</t>
        </is>
      </c>
      <c r="B227" s="1" t="n">
        <v>45660.6911574074</v>
      </c>
      <c r="C227" s="1" t="n">
        <v>46033</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40695-2025</t>
        </is>
      </c>
      <c r="B228" s="1" t="n">
        <v>45897.28637731481</v>
      </c>
      <c r="C228" s="1" t="n">
        <v>46033</v>
      </c>
      <c r="D228" t="inlineStr">
        <is>
          <t>NORRBOTTENS LÄN</t>
        </is>
      </c>
      <c r="E228" t="inlineStr">
        <is>
          <t>LULEÅ</t>
        </is>
      </c>
      <c r="G228" t="n">
        <v>2.4</v>
      </c>
      <c r="H228" t="n">
        <v>0</v>
      </c>
      <c r="I228" t="n">
        <v>0</v>
      </c>
      <c r="J228" t="n">
        <v>0</v>
      </c>
      <c r="K228" t="n">
        <v>0</v>
      </c>
      <c r="L228" t="n">
        <v>0</v>
      </c>
      <c r="M228" t="n">
        <v>0</v>
      </c>
      <c r="N228" t="n">
        <v>0</v>
      </c>
      <c r="O228" t="n">
        <v>0</v>
      </c>
      <c r="P228" t="n">
        <v>0</v>
      </c>
      <c r="Q228" t="n">
        <v>0</v>
      </c>
      <c r="R228" s="2" t="inlineStr"/>
    </row>
    <row r="229" ht="15" customHeight="1">
      <c r="A229" t="inlineStr">
        <is>
          <t>A 40643-2025</t>
        </is>
      </c>
      <c r="B229" s="1" t="n">
        <v>45896.61263888889</v>
      </c>
      <c r="C229" s="1" t="n">
        <v>46033</v>
      </c>
      <c r="D229" t="inlineStr">
        <is>
          <t>NORRBOTTENS LÄN</t>
        </is>
      </c>
      <c r="E229" t="inlineStr">
        <is>
          <t>LULEÅ</t>
        </is>
      </c>
      <c r="G229" t="n">
        <v>4.1</v>
      </c>
      <c r="H229" t="n">
        <v>0</v>
      </c>
      <c r="I229" t="n">
        <v>0</v>
      </c>
      <c r="J229" t="n">
        <v>0</v>
      </c>
      <c r="K229" t="n">
        <v>0</v>
      </c>
      <c r="L229" t="n">
        <v>0</v>
      </c>
      <c r="M229" t="n">
        <v>0</v>
      </c>
      <c r="N229" t="n">
        <v>0</v>
      </c>
      <c r="O229" t="n">
        <v>0</v>
      </c>
      <c r="P229" t="n">
        <v>0</v>
      </c>
      <c r="Q229" t="n">
        <v>0</v>
      </c>
      <c r="R229" s="2" t="inlineStr"/>
    </row>
    <row r="230" ht="15" customHeight="1">
      <c r="A230" t="inlineStr">
        <is>
          <t>A 17421-2023</t>
        </is>
      </c>
      <c r="B230" s="1" t="n">
        <v>45035.92607638889</v>
      </c>
      <c r="C230" s="1" t="n">
        <v>46033</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49742-2022</t>
        </is>
      </c>
      <c r="B231" s="1" t="n">
        <v>44859</v>
      </c>
      <c r="C231" s="1" t="n">
        <v>46033</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40641-2025</t>
        </is>
      </c>
      <c r="B232" s="1" t="n">
        <v>45896</v>
      </c>
      <c r="C232" s="1" t="n">
        <v>46033</v>
      </c>
      <c r="D232" t="inlineStr">
        <is>
          <t>NORRBOTTENS LÄN</t>
        </is>
      </c>
      <c r="E232" t="inlineStr">
        <is>
          <t>LULEÅ</t>
        </is>
      </c>
      <c r="G232" t="n">
        <v>4.2</v>
      </c>
      <c r="H232" t="n">
        <v>0</v>
      </c>
      <c r="I232" t="n">
        <v>0</v>
      </c>
      <c r="J232" t="n">
        <v>0</v>
      </c>
      <c r="K232" t="n">
        <v>0</v>
      </c>
      <c r="L232" t="n">
        <v>0</v>
      </c>
      <c r="M232" t="n">
        <v>0</v>
      </c>
      <c r="N232" t="n">
        <v>0</v>
      </c>
      <c r="O232" t="n">
        <v>0</v>
      </c>
      <c r="P232" t="n">
        <v>0</v>
      </c>
      <c r="Q232" t="n">
        <v>0</v>
      </c>
      <c r="R232" s="2" t="inlineStr"/>
    </row>
    <row r="233" ht="15" customHeight="1">
      <c r="A233" t="inlineStr">
        <is>
          <t>A 24752-2025</t>
        </is>
      </c>
      <c r="B233" s="1" t="n">
        <v>45799.3653587963</v>
      </c>
      <c r="C233" s="1" t="n">
        <v>46033</v>
      </c>
      <c r="D233" t="inlineStr">
        <is>
          <t>NORRBOTTENS LÄN</t>
        </is>
      </c>
      <c r="E233" t="inlineStr">
        <is>
          <t>LULEÅ</t>
        </is>
      </c>
      <c r="G233" t="n">
        <v>0.7</v>
      </c>
      <c r="H233" t="n">
        <v>0</v>
      </c>
      <c r="I233" t="n">
        <v>0</v>
      </c>
      <c r="J233" t="n">
        <v>0</v>
      </c>
      <c r="K233" t="n">
        <v>0</v>
      </c>
      <c r="L233" t="n">
        <v>0</v>
      </c>
      <c r="M233" t="n">
        <v>0</v>
      </c>
      <c r="N233" t="n">
        <v>0</v>
      </c>
      <c r="O233" t="n">
        <v>0</v>
      </c>
      <c r="P233" t="n">
        <v>0</v>
      </c>
      <c r="Q233" t="n">
        <v>0</v>
      </c>
      <c r="R233" s="2" t="inlineStr"/>
    </row>
    <row r="234" ht="15" customHeight="1">
      <c r="A234" t="inlineStr">
        <is>
          <t>A 40644-2025</t>
        </is>
      </c>
      <c r="B234" s="1" t="n">
        <v>45896.6166087963</v>
      </c>
      <c r="C234" s="1" t="n">
        <v>46033</v>
      </c>
      <c r="D234" t="inlineStr">
        <is>
          <t>NORRBOTTENS LÄN</t>
        </is>
      </c>
      <c r="E234" t="inlineStr">
        <is>
          <t>LULEÅ</t>
        </is>
      </c>
      <c r="G234" t="n">
        <v>4.1</v>
      </c>
      <c r="H234" t="n">
        <v>0</v>
      </c>
      <c r="I234" t="n">
        <v>0</v>
      </c>
      <c r="J234" t="n">
        <v>0</v>
      </c>
      <c r="K234" t="n">
        <v>0</v>
      </c>
      <c r="L234" t="n">
        <v>0</v>
      </c>
      <c r="M234" t="n">
        <v>0</v>
      </c>
      <c r="N234" t="n">
        <v>0</v>
      </c>
      <c r="O234" t="n">
        <v>0</v>
      </c>
      <c r="P234" t="n">
        <v>0</v>
      </c>
      <c r="Q234" t="n">
        <v>0</v>
      </c>
      <c r="R234" s="2" t="inlineStr"/>
    </row>
    <row r="235" ht="15" customHeight="1">
      <c r="A235" t="inlineStr">
        <is>
          <t>A 26513-2025</t>
        </is>
      </c>
      <c r="B235" s="1" t="n">
        <v>45807</v>
      </c>
      <c r="C235" s="1" t="n">
        <v>46033</v>
      </c>
      <c r="D235" t="inlineStr">
        <is>
          <t>NORRBOTTENS LÄN</t>
        </is>
      </c>
      <c r="E235" t="inlineStr">
        <is>
          <t>LULEÅ</t>
        </is>
      </c>
      <c r="G235" t="n">
        <v>5</v>
      </c>
      <c r="H235" t="n">
        <v>0</v>
      </c>
      <c r="I235" t="n">
        <v>0</v>
      </c>
      <c r="J235" t="n">
        <v>0</v>
      </c>
      <c r="K235" t="n">
        <v>0</v>
      </c>
      <c r="L235" t="n">
        <v>0</v>
      </c>
      <c r="M235" t="n">
        <v>0</v>
      </c>
      <c r="N235" t="n">
        <v>0</v>
      </c>
      <c r="O235" t="n">
        <v>0</v>
      </c>
      <c r="P235" t="n">
        <v>0</v>
      </c>
      <c r="Q235" t="n">
        <v>0</v>
      </c>
      <c r="R235" s="2" t="inlineStr"/>
    </row>
    <row r="236" ht="15" customHeight="1">
      <c r="A236" t="inlineStr">
        <is>
          <t>A 736-2025</t>
        </is>
      </c>
      <c r="B236" s="1" t="n">
        <v>45664</v>
      </c>
      <c r="C236" s="1" t="n">
        <v>46033</v>
      </c>
      <c r="D236" t="inlineStr">
        <is>
          <t>NORRBOTTENS LÄN</t>
        </is>
      </c>
      <c r="E236" t="inlineStr">
        <is>
          <t>LULEÅ</t>
        </is>
      </c>
      <c r="G236" t="n">
        <v>1.5</v>
      </c>
      <c r="H236" t="n">
        <v>0</v>
      </c>
      <c r="I236" t="n">
        <v>0</v>
      </c>
      <c r="J236" t="n">
        <v>0</v>
      </c>
      <c r="K236" t="n">
        <v>0</v>
      </c>
      <c r="L236" t="n">
        <v>0</v>
      </c>
      <c r="M236" t="n">
        <v>0</v>
      </c>
      <c r="N236" t="n">
        <v>0</v>
      </c>
      <c r="O236" t="n">
        <v>0</v>
      </c>
      <c r="P236" t="n">
        <v>0</v>
      </c>
      <c r="Q236" t="n">
        <v>0</v>
      </c>
      <c r="R236" s="2" t="inlineStr"/>
    </row>
    <row r="237" ht="15" customHeight="1">
      <c r="A237" t="inlineStr">
        <is>
          <t>A 51256-2025</t>
        </is>
      </c>
      <c r="B237" s="1" t="n">
        <v>45949.40681712963</v>
      </c>
      <c r="C237" s="1" t="n">
        <v>46033</v>
      </c>
      <c r="D237" t="inlineStr">
        <is>
          <t>NORRBOTTENS LÄN</t>
        </is>
      </c>
      <c r="E237" t="inlineStr">
        <is>
          <t>LULEÅ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35902-2025</t>
        </is>
      </c>
      <c r="B238" s="1" t="n">
        <v>45862.48990740741</v>
      </c>
      <c r="C238" s="1" t="n">
        <v>46033</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35912-2025</t>
        </is>
      </c>
      <c r="B239" s="1" t="n">
        <v>45862.53150462963</v>
      </c>
      <c r="C239" s="1" t="n">
        <v>46033</v>
      </c>
      <c r="D239" t="inlineStr">
        <is>
          <t>NORRBOTTENS LÄN</t>
        </is>
      </c>
      <c r="E239" t="inlineStr">
        <is>
          <t>LULEÅ</t>
        </is>
      </c>
      <c r="G239" t="n">
        <v>5.5</v>
      </c>
      <c r="H239" t="n">
        <v>0</v>
      </c>
      <c r="I239" t="n">
        <v>0</v>
      </c>
      <c r="J239" t="n">
        <v>0</v>
      </c>
      <c r="K239" t="n">
        <v>0</v>
      </c>
      <c r="L239" t="n">
        <v>0</v>
      </c>
      <c r="M239" t="n">
        <v>0</v>
      </c>
      <c r="N239" t="n">
        <v>0</v>
      </c>
      <c r="O239" t="n">
        <v>0</v>
      </c>
      <c r="P239" t="n">
        <v>0</v>
      </c>
      <c r="Q239" t="n">
        <v>0</v>
      </c>
      <c r="R239" s="2" t="inlineStr"/>
    </row>
    <row r="240" ht="15" customHeight="1">
      <c r="A240" t="inlineStr">
        <is>
          <t>A 42496-2024</t>
        </is>
      </c>
      <c r="B240" s="1" t="n">
        <v>45565.49769675926</v>
      </c>
      <c r="C240" s="1" t="n">
        <v>46033</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19594-2025</t>
        </is>
      </c>
      <c r="B241" s="1" t="n">
        <v>45770.57881944445</v>
      </c>
      <c r="C241" s="1" t="n">
        <v>46033</v>
      </c>
      <c r="D241" t="inlineStr">
        <is>
          <t>NORRBOTTENS LÄN</t>
        </is>
      </c>
      <c r="E241" t="inlineStr">
        <is>
          <t>LULEÅ</t>
        </is>
      </c>
      <c r="G241" t="n">
        <v>2.8</v>
      </c>
      <c r="H241" t="n">
        <v>0</v>
      </c>
      <c r="I241" t="n">
        <v>0</v>
      </c>
      <c r="J241" t="n">
        <v>0</v>
      </c>
      <c r="K241" t="n">
        <v>0</v>
      </c>
      <c r="L241" t="n">
        <v>0</v>
      </c>
      <c r="M241" t="n">
        <v>0</v>
      </c>
      <c r="N241" t="n">
        <v>0</v>
      </c>
      <c r="O241" t="n">
        <v>0</v>
      </c>
      <c r="P241" t="n">
        <v>0</v>
      </c>
      <c r="Q241" t="n">
        <v>0</v>
      </c>
      <c r="R241" s="2" t="inlineStr"/>
    </row>
    <row r="242" ht="15" customHeight="1">
      <c r="A242" t="inlineStr">
        <is>
          <t>A 5137-2024</t>
        </is>
      </c>
      <c r="B242" s="1" t="n">
        <v>45330.46430555556</v>
      </c>
      <c r="C242" s="1" t="n">
        <v>46033</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46033</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48379-2022</t>
        </is>
      </c>
      <c r="B244" s="1" t="n">
        <v>44854</v>
      </c>
      <c r="C244" s="1" t="n">
        <v>46033</v>
      </c>
      <c r="D244" t="inlineStr">
        <is>
          <t>NORRBOTTENS LÄN</t>
        </is>
      </c>
      <c r="E244" t="inlineStr">
        <is>
          <t>LULEÅ</t>
        </is>
      </c>
      <c r="G244" t="n">
        <v>2.1</v>
      </c>
      <c r="H244" t="n">
        <v>0</v>
      </c>
      <c r="I244" t="n">
        <v>0</v>
      </c>
      <c r="J244" t="n">
        <v>0</v>
      </c>
      <c r="K244" t="n">
        <v>0</v>
      </c>
      <c r="L244" t="n">
        <v>0</v>
      </c>
      <c r="M244" t="n">
        <v>0</v>
      </c>
      <c r="N244" t="n">
        <v>0</v>
      </c>
      <c r="O244" t="n">
        <v>0</v>
      </c>
      <c r="P244" t="n">
        <v>0</v>
      </c>
      <c r="Q244" t="n">
        <v>0</v>
      </c>
      <c r="R244" s="2" t="inlineStr"/>
    </row>
    <row r="245" ht="15" customHeight="1">
      <c r="A245" t="inlineStr">
        <is>
          <t>A 19238-2025</t>
        </is>
      </c>
      <c r="B245" s="1" t="n">
        <v>45769.47217592593</v>
      </c>
      <c r="C245" s="1" t="n">
        <v>46033</v>
      </c>
      <c r="D245" t="inlineStr">
        <is>
          <t>NORRBOTTENS LÄN</t>
        </is>
      </c>
      <c r="E245" t="inlineStr">
        <is>
          <t>LULEÅ</t>
        </is>
      </c>
      <c r="G245" t="n">
        <v>4.9</v>
      </c>
      <c r="H245" t="n">
        <v>0</v>
      </c>
      <c r="I245" t="n">
        <v>0</v>
      </c>
      <c r="J245" t="n">
        <v>0</v>
      </c>
      <c r="K245" t="n">
        <v>0</v>
      </c>
      <c r="L245" t="n">
        <v>0</v>
      </c>
      <c r="M245" t="n">
        <v>0</v>
      </c>
      <c r="N245" t="n">
        <v>0</v>
      </c>
      <c r="O245" t="n">
        <v>0</v>
      </c>
      <c r="P245" t="n">
        <v>0</v>
      </c>
      <c r="Q245" t="n">
        <v>0</v>
      </c>
      <c r="R245" s="2" t="inlineStr"/>
    </row>
    <row r="246" ht="15" customHeight="1">
      <c r="A246" t="inlineStr">
        <is>
          <t>A 53754-2023</t>
        </is>
      </c>
      <c r="B246" s="1" t="n">
        <v>45230</v>
      </c>
      <c r="C246" s="1" t="n">
        <v>46033</v>
      </c>
      <c r="D246" t="inlineStr">
        <is>
          <t>NORRBOTTENS LÄN</t>
        </is>
      </c>
      <c r="E246" t="inlineStr">
        <is>
          <t>LULEÅ</t>
        </is>
      </c>
      <c r="G246" t="n">
        <v>2.5</v>
      </c>
      <c r="H246" t="n">
        <v>0</v>
      </c>
      <c r="I246" t="n">
        <v>0</v>
      </c>
      <c r="J246" t="n">
        <v>0</v>
      </c>
      <c r="K246" t="n">
        <v>0</v>
      </c>
      <c r="L246" t="n">
        <v>0</v>
      </c>
      <c r="M246" t="n">
        <v>0</v>
      </c>
      <c r="N246" t="n">
        <v>0</v>
      </c>
      <c r="O246" t="n">
        <v>0</v>
      </c>
      <c r="P246" t="n">
        <v>0</v>
      </c>
      <c r="Q246" t="n">
        <v>0</v>
      </c>
      <c r="R246" s="2" t="inlineStr"/>
    </row>
    <row r="247" ht="15" customHeight="1">
      <c r="A247" t="inlineStr">
        <is>
          <t>A 46587-2023</t>
        </is>
      </c>
      <c r="B247" s="1" t="n">
        <v>45194</v>
      </c>
      <c r="C247" s="1" t="n">
        <v>46033</v>
      </c>
      <c r="D247" t="inlineStr">
        <is>
          <t>NORRBOTTENS LÄN</t>
        </is>
      </c>
      <c r="E247" t="inlineStr">
        <is>
          <t>LULEÅ</t>
        </is>
      </c>
      <c r="G247" t="n">
        <v>15.3</v>
      </c>
      <c r="H247" t="n">
        <v>0</v>
      </c>
      <c r="I247" t="n">
        <v>0</v>
      </c>
      <c r="J247" t="n">
        <v>0</v>
      </c>
      <c r="K247" t="n">
        <v>0</v>
      </c>
      <c r="L247" t="n">
        <v>0</v>
      </c>
      <c r="M247" t="n">
        <v>0</v>
      </c>
      <c r="N247" t="n">
        <v>0</v>
      </c>
      <c r="O247" t="n">
        <v>0</v>
      </c>
      <c r="P247" t="n">
        <v>0</v>
      </c>
      <c r="Q247" t="n">
        <v>0</v>
      </c>
      <c r="R247" s="2" t="inlineStr"/>
    </row>
    <row r="248" ht="15" customHeight="1">
      <c r="A248" t="inlineStr">
        <is>
          <t>A 25798-2024</t>
        </is>
      </c>
      <c r="B248" s="1" t="n">
        <v>45463</v>
      </c>
      <c r="C248" s="1" t="n">
        <v>46033</v>
      </c>
      <c r="D248" t="inlineStr">
        <is>
          <t>NORRBOTTENS LÄN</t>
        </is>
      </c>
      <c r="E248" t="inlineStr">
        <is>
          <t>LULEÅ</t>
        </is>
      </c>
      <c r="G248" t="n">
        <v>4.9</v>
      </c>
      <c r="H248" t="n">
        <v>0</v>
      </c>
      <c r="I248" t="n">
        <v>0</v>
      </c>
      <c r="J248" t="n">
        <v>0</v>
      </c>
      <c r="K248" t="n">
        <v>0</v>
      </c>
      <c r="L248" t="n">
        <v>0</v>
      </c>
      <c r="M248" t="n">
        <v>0</v>
      </c>
      <c r="N248" t="n">
        <v>0</v>
      </c>
      <c r="O248" t="n">
        <v>0</v>
      </c>
      <c r="P248" t="n">
        <v>0</v>
      </c>
      <c r="Q248" t="n">
        <v>0</v>
      </c>
      <c r="R248" s="2" t="inlineStr"/>
    </row>
    <row r="249" ht="15" customHeight="1">
      <c r="A249" t="inlineStr">
        <is>
          <t>A 822-2025</t>
        </is>
      </c>
      <c r="B249" s="1" t="n">
        <v>45664</v>
      </c>
      <c r="C249" s="1" t="n">
        <v>46033</v>
      </c>
      <c r="D249" t="inlineStr">
        <is>
          <t>NORRBOTTENS LÄN</t>
        </is>
      </c>
      <c r="E249" t="inlineStr">
        <is>
          <t>LULEÅ</t>
        </is>
      </c>
      <c r="G249" t="n">
        <v>0.9</v>
      </c>
      <c r="H249" t="n">
        <v>0</v>
      </c>
      <c r="I249" t="n">
        <v>0</v>
      </c>
      <c r="J249" t="n">
        <v>0</v>
      </c>
      <c r="K249" t="n">
        <v>0</v>
      </c>
      <c r="L249" t="n">
        <v>0</v>
      </c>
      <c r="M249" t="n">
        <v>0</v>
      </c>
      <c r="N249" t="n">
        <v>0</v>
      </c>
      <c r="O249" t="n">
        <v>0</v>
      </c>
      <c r="P249" t="n">
        <v>0</v>
      </c>
      <c r="Q249" t="n">
        <v>0</v>
      </c>
      <c r="R249" s="2" t="inlineStr"/>
    </row>
    <row r="250" ht="15" customHeight="1">
      <c r="A250" t="inlineStr">
        <is>
          <t>A 804-2025</t>
        </is>
      </c>
      <c r="B250" s="1" t="n">
        <v>45664</v>
      </c>
      <c r="C250" s="1" t="n">
        <v>46033</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814-2025</t>
        </is>
      </c>
      <c r="B251" s="1" t="n">
        <v>45664</v>
      </c>
      <c r="C251" s="1" t="n">
        <v>46033</v>
      </c>
      <c r="D251" t="inlineStr">
        <is>
          <t>NORRBOTTENS LÄN</t>
        </is>
      </c>
      <c r="E251" t="inlineStr">
        <is>
          <t>LULEÅ</t>
        </is>
      </c>
      <c r="G251" t="n">
        <v>3.4</v>
      </c>
      <c r="H251" t="n">
        <v>0</v>
      </c>
      <c r="I251" t="n">
        <v>0</v>
      </c>
      <c r="J251" t="n">
        <v>0</v>
      </c>
      <c r="K251" t="n">
        <v>0</v>
      </c>
      <c r="L251" t="n">
        <v>0</v>
      </c>
      <c r="M251" t="n">
        <v>0</v>
      </c>
      <c r="N251" t="n">
        <v>0</v>
      </c>
      <c r="O251" t="n">
        <v>0</v>
      </c>
      <c r="P251" t="n">
        <v>0</v>
      </c>
      <c r="Q251" t="n">
        <v>0</v>
      </c>
      <c r="R251" s="2" t="inlineStr"/>
    </row>
    <row r="252" ht="15" customHeight="1">
      <c r="A252" t="inlineStr">
        <is>
          <t>A 44680-2021</t>
        </is>
      </c>
      <c r="B252" s="1" t="n">
        <v>44435</v>
      </c>
      <c r="C252" s="1" t="n">
        <v>46033</v>
      </c>
      <c r="D252" t="inlineStr">
        <is>
          <t>NORRBOTTENS LÄN</t>
        </is>
      </c>
      <c r="E252" t="inlineStr">
        <is>
          <t>LULEÅ</t>
        </is>
      </c>
      <c r="G252" t="n">
        <v>6.1</v>
      </c>
      <c r="H252" t="n">
        <v>0</v>
      </c>
      <c r="I252" t="n">
        <v>0</v>
      </c>
      <c r="J252" t="n">
        <v>0</v>
      </c>
      <c r="K252" t="n">
        <v>0</v>
      </c>
      <c r="L252" t="n">
        <v>0</v>
      </c>
      <c r="M252" t="n">
        <v>0</v>
      </c>
      <c r="N252" t="n">
        <v>0</v>
      </c>
      <c r="O252" t="n">
        <v>0</v>
      </c>
      <c r="P252" t="n">
        <v>0</v>
      </c>
      <c r="Q252" t="n">
        <v>0</v>
      </c>
      <c r="R252" s="2" t="inlineStr"/>
    </row>
    <row r="253" ht="15" customHeight="1">
      <c r="A253" t="inlineStr">
        <is>
          <t>A 42854-2024</t>
        </is>
      </c>
      <c r="B253" s="1" t="n">
        <v>45566.64958333333</v>
      </c>
      <c r="C253" s="1" t="n">
        <v>46033</v>
      </c>
      <c r="D253" t="inlineStr">
        <is>
          <t>NORRBOTTENS LÄN</t>
        </is>
      </c>
      <c r="E253" t="inlineStr">
        <is>
          <t>LULEÅ</t>
        </is>
      </c>
      <c r="G253" t="n">
        <v>1.6</v>
      </c>
      <c r="H253" t="n">
        <v>0</v>
      </c>
      <c r="I253" t="n">
        <v>0</v>
      </c>
      <c r="J253" t="n">
        <v>0</v>
      </c>
      <c r="K253" t="n">
        <v>0</v>
      </c>
      <c r="L253" t="n">
        <v>0</v>
      </c>
      <c r="M253" t="n">
        <v>0</v>
      </c>
      <c r="N253" t="n">
        <v>0</v>
      </c>
      <c r="O253" t="n">
        <v>0</v>
      </c>
      <c r="P253" t="n">
        <v>0</v>
      </c>
      <c r="Q253" t="n">
        <v>0</v>
      </c>
      <c r="R253" s="2" t="inlineStr"/>
    </row>
    <row r="254" ht="15" customHeight="1">
      <c r="A254" t="inlineStr">
        <is>
          <t>A 40697-2024</t>
        </is>
      </c>
      <c r="B254" s="1" t="n">
        <v>45558.41288194444</v>
      </c>
      <c r="C254" s="1" t="n">
        <v>46033</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11834-2025</t>
        </is>
      </c>
      <c r="B255" s="1" t="n">
        <v>45727</v>
      </c>
      <c r="C255" s="1" t="n">
        <v>46033</v>
      </c>
      <c r="D255" t="inlineStr">
        <is>
          <t>NORRBOTTENS LÄN</t>
        </is>
      </c>
      <c r="E255" t="inlineStr">
        <is>
          <t>LULEÅ</t>
        </is>
      </c>
      <c r="G255" t="n">
        <v>0.7</v>
      </c>
      <c r="H255" t="n">
        <v>0</v>
      </c>
      <c r="I255" t="n">
        <v>0</v>
      </c>
      <c r="J255" t="n">
        <v>0</v>
      </c>
      <c r="K255" t="n">
        <v>0</v>
      </c>
      <c r="L255" t="n">
        <v>0</v>
      </c>
      <c r="M255" t="n">
        <v>0</v>
      </c>
      <c r="N255" t="n">
        <v>0</v>
      </c>
      <c r="O255" t="n">
        <v>0</v>
      </c>
      <c r="P255" t="n">
        <v>0</v>
      </c>
      <c r="Q255" t="n">
        <v>0</v>
      </c>
      <c r="R255" s="2" t="inlineStr"/>
      <c r="U255">
        <f>HYPERLINK("https://klasma.github.io/Logging_2580/knärot/A 11834-2025 karta knärot.png", "A 11834-2025")</f>
        <v/>
      </c>
      <c r="V255">
        <f>HYPERLINK("https://klasma.github.io/Logging_2580/klagomål/A 11834-2025 FSC-klagomål.docx", "A 11834-2025")</f>
        <v/>
      </c>
      <c r="W255">
        <f>HYPERLINK("https://klasma.github.io/Logging_2580/klagomålsmail/A 11834-2025 FSC-klagomål mail.docx", "A 11834-2025")</f>
        <v/>
      </c>
      <c r="X255">
        <f>HYPERLINK("https://klasma.github.io/Logging_2580/tillsyn/A 11834-2025 tillsynsbegäran.docx", "A 11834-2025")</f>
        <v/>
      </c>
      <c r="Y255">
        <f>HYPERLINK("https://klasma.github.io/Logging_2580/tillsynsmail/A 11834-2025 tillsynsbegäran mail.docx", "A 11834-2025")</f>
        <v/>
      </c>
    </row>
    <row r="256" ht="15" customHeight="1">
      <c r="A256" t="inlineStr">
        <is>
          <t>A 42217-2025</t>
        </is>
      </c>
      <c r="B256" s="1" t="n">
        <v>45904.51274305556</v>
      </c>
      <c r="C256" s="1" t="n">
        <v>46033</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42218-2025</t>
        </is>
      </c>
      <c r="B257" s="1" t="n">
        <v>45904.51621527778</v>
      </c>
      <c r="C257" s="1" t="n">
        <v>46033</v>
      </c>
      <c r="D257" t="inlineStr">
        <is>
          <t>NORRBOTTENS LÄN</t>
        </is>
      </c>
      <c r="E257" t="inlineStr">
        <is>
          <t>LULEÅ</t>
        </is>
      </c>
      <c r="G257" t="n">
        <v>0.7</v>
      </c>
      <c r="H257" t="n">
        <v>0</v>
      </c>
      <c r="I257" t="n">
        <v>0</v>
      </c>
      <c r="J257" t="n">
        <v>0</v>
      </c>
      <c r="K257" t="n">
        <v>0</v>
      </c>
      <c r="L257" t="n">
        <v>0</v>
      </c>
      <c r="M257" t="n">
        <v>0</v>
      </c>
      <c r="N257" t="n">
        <v>0</v>
      </c>
      <c r="O257" t="n">
        <v>0</v>
      </c>
      <c r="P257" t="n">
        <v>0</v>
      </c>
      <c r="Q257" t="n">
        <v>0</v>
      </c>
      <c r="R257" s="2" t="inlineStr"/>
    </row>
    <row r="258" ht="15" customHeight="1">
      <c r="A258" t="inlineStr">
        <is>
          <t>A 59586-2025</t>
        </is>
      </c>
      <c r="B258" s="1" t="n">
        <v>45992</v>
      </c>
      <c r="C258" s="1" t="n">
        <v>46033</v>
      </c>
      <c r="D258" t="inlineStr">
        <is>
          <t>NORRBOTTENS LÄN</t>
        </is>
      </c>
      <c r="E258" t="inlineStr">
        <is>
          <t>LULEÅ</t>
        </is>
      </c>
      <c r="G258" t="n">
        <v>3.4</v>
      </c>
      <c r="H258" t="n">
        <v>0</v>
      </c>
      <c r="I258" t="n">
        <v>0</v>
      </c>
      <c r="J258" t="n">
        <v>0</v>
      </c>
      <c r="K258" t="n">
        <v>0</v>
      </c>
      <c r="L258" t="n">
        <v>0</v>
      </c>
      <c r="M258" t="n">
        <v>0</v>
      </c>
      <c r="N258" t="n">
        <v>0</v>
      </c>
      <c r="O258" t="n">
        <v>0</v>
      </c>
      <c r="P258" t="n">
        <v>0</v>
      </c>
      <c r="Q258" t="n">
        <v>0</v>
      </c>
      <c r="R258" s="2" t="inlineStr"/>
    </row>
    <row r="259" ht="15" customHeight="1">
      <c r="A259" t="inlineStr">
        <is>
          <t>A 59596-2025</t>
        </is>
      </c>
      <c r="B259" s="1" t="n">
        <v>45992</v>
      </c>
      <c r="C259" s="1" t="n">
        <v>46033</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59599-2025</t>
        </is>
      </c>
      <c r="B260" s="1" t="n">
        <v>45992</v>
      </c>
      <c r="C260" s="1" t="n">
        <v>46033</v>
      </c>
      <c r="D260" t="inlineStr">
        <is>
          <t>NORRBOTTENS LÄN</t>
        </is>
      </c>
      <c r="E260" t="inlineStr">
        <is>
          <t>LULEÅ</t>
        </is>
      </c>
      <c r="G260" t="n">
        <v>5</v>
      </c>
      <c r="H260" t="n">
        <v>0</v>
      </c>
      <c r="I260" t="n">
        <v>0</v>
      </c>
      <c r="J260" t="n">
        <v>0</v>
      </c>
      <c r="K260" t="n">
        <v>0</v>
      </c>
      <c r="L260" t="n">
        <v>0</v>
      </c>
      <c r="M260" t="n">
        <v>0</v>
      </c>
      <c r="N260" t="n">
        <v>0</v>
      </c>
      <c r="O260" t="n">
        <v>0</v>
      </c>
      <c r="P260" t="n">
        <v>0</v>
      </c>
      <c r="Q260" t="n">
        <v>0</v>
      </c>
      <c r="R260" s="2" t="inlineStr"/>
    </row>
    <row r="261" ht="15" customHeight="1">
      <c r="A261" t="inlineStr">
        <is>
          <t>A 59660-2025</t>
        </is>
      </c>
      <c r="B261" s="1" t="n">
        <v>45992.44833333333</v>
      </c>
      <c r="C261" s="1" t="n">
        <v>46033</v>
      </c>
      <c r="D261" t="inlineStr">
        <is>
          <t>NORRBOTTENS LÄN</t>
        </is>
      </c>
      <c r="E261" t="inlineStr">
        <is>
          <t>LULEÅ</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49401-2022</t>
        </is>
      </c>
      <c r="B262" s="1" t="n">
        <v>44861</v>
      </c>
      <c r="C262" s="1" t="n">
        <v>46033</v>
      </c>
      <c r="D262" t="inlineStr">
        <is>
          <t>NORRBOTTENS LÄN</t>
        </is>
      </c>
      <c r="E262" t="inlineStr">
        <is>
          <t>LULEÅ</t>
        </is>
      </c>
      <c r="G262" t="n">
        <v>8.4</v>
      </c>
      <c r="H262" t="n">
        <v>0</v>
      </c>
      <c r="I262" t="n">
        <v>0</v>
      </c>
      <c r="J262" t="n">
        <v>0</v>
      </c>
      <c r="K262" t="n">
        <v>0</v>
      </c>
      <c r="L262" t="n">
        <v>0</v>
      </c>
      <c r="M262" t="n">
        <v>0</v>
      </c>
      <c r="N262" t="n">
        <v>0</v>
      </c>
      <c r="O262" t="n">
        <v>0</v>
      </c>
      <c r="P262" t="n">
        <v>0</v>
      </c>
      <c r="Q262" t="n">
        <v>0</v>
      </c>
      <c r="R262" s="2" t="inlineStr"/>
    </row>
    <row r="263" ht="15" customHeight="1">
      <c r="A263" t="inlineStr">
        <is>
          <t>A 49727-2022</t>
        </is>
      </c>
      <c r="B263" s="1" t="n">
        <v>44859</v>
      </c>
      <c r="C263" s="1" t="n">
        <v>46033</v>
      </c>
      <c r="D263" t="inlineStr">
        <is>
          <t>NORRBOTTENS LÄN</t>
        </is>
      </c>
      <c r="E263" t="inlineStr">
        <is>
          <t>LULEÅ</t>
        </is>
      </c>
      <c r="G263" t="n">
        <v>3.5</v>
      </c>
      <c r="H263" t="n">
        <v>0</v>
      </c>
      <c r="I263" t="n">
        <v>0</v>
      </c>
      <c r="J263" t="n">
        <v>0</v>
      </c>
      <c r="K263" t="n">
        <v>0</v>
      </c>
      <c r="L263" t="n">
        <v>0</v>
      </c>
      <c r="M263" t="n">
        <v>0</v>
      </c>
      <c r="N263" t="n">
        <v>0</v>
      </c>
      <c r="O263" t="n">
        <v>0</v>
      </c>
      <c r="P263" t="n">
        <v>0</v>
      </c>
      <c r="Q263" t="n">
        <v>0</v>
      </c>
      <c r="R263" s="2" t="inlineStr"/>
    </row>
    <row r="264" ht="15" customHeight="1">
      <c r="A264" t="inlineStr">
        <is>
          <t>A 43115-2025</t>
        </is>
      </c>
      <c r="B264" s="1" t="n">
        <v>45909.66664351852</v>
      </c>
      <c r="C264" s="1" t="n">
        <v>46033</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43116-2025</t>
        </is>
      </c>
      <c r="B265" s="1" t="n">
        <v>45909.66799768519</v>
      </c>
      <c r="C265" s="1" t="n">
        <v>46033</v>
      </c>
      <c r="D265" t="inlineStr">
        <is>
          <t>NORRBOTTENS LÄN</t>
        </is>
      </c>
      <c r="E265" t="inlineStr">
        <is>
          <t>LULEÅ</t>
        </is>
      </c>
      <c r="G265" t="n">
        <v>1.3</v>
      </c>
      <c r="H265" t="n">
        <v>0</v>
      </c>
      <c r="I265" t="n">
        <v>0</v>
      </c>
      <c r="J265" t="n">
        <v>0</v>
      </c>
      <c r="K265" t="n">
        <v>0</v>
      </c>
      <c r="L265" t="n">
        <v>0</v>
      </c>
      <c r="M265" t="n">
        <v>0</v>
      </c>
      <c r="N265" t="n">
        <v>0</v>
      </c>
      <c r="O265" t="n">
        <v>0</v>
      </c>
      <c r="P265" t="n">
        <v>0</v>
      </c>
      <c r="Q265" t="n">
        <v>0</v>
      </c>
      <c r="R265" s="2" t="inlineStr"/>
    </row>
    <row r="266" ht="15" customHeight="1">
      <c r="A266" t="inlineStr">
        <is>
          <t>A 27107-2025</t>
        </is>
      </c>
      <c r="B266" s="1" t="n">
        <v>45811</v>
      </c>
      <c r="C266" s="1" t="n">
        <v>46033</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43112-2025</t>
        </is>
      </c>
      <c r="B267" s="1" t="n">
        <v>45909.66228009259</v>
      </c>
      <c r="C267" s="1" t="n">
        <v>46033</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43113-2025</t>
        </is>
      </c>
      <c r="B268" s="1" t="n">
        <v>45909.6640625</v>
      </c>
      <c r="C268" s="1" t="n">
        <v>46033</v>
      </c>
      <c r="D268" t="inlineStr">
        <is>
          <t>NORRBOTTENS LÄN</t>
        </is>
      </c>
      <c r="E268" t="inlineStr">
        <is>
          <t>LULEÅ</t>
        </is>
      </c>
      <c r="G268" t="n">
        <v>1.8</v>
      </c>
      <c r="H268" t="n">
        <v>0</v>
      </c>
      <c r="I268" t="n">
        <v>0</v>
      </c>
      <c r="J268" t="n">
        <v>0</v>
      </c>
      <c r="K268" t="n">
        <v>0</v>
      </c>
      <c r="L268" t="n">
        <v>0</v>
      </c>
      <c r="M268" t="n">
        <v>0</v>
      </c>
      <c r="N268" t="n">
        <v>0</v>
      </c>
      <c r="O268" t="n">
        <v>0</v>
      </c>
      <c r="P268" t="n">
        <v>0</v>
      </c>
      <c r="Q268" t="n">
        <v>0</v>
      </c>
      <c r="R268" s="2" t="inlineStr"/>
    </row>
    <row r="269" ht="15" customHeight="1">
      <c r="A269" t="inlineStr">
        <is>
          <t>A 27463-2025</t>
        </is>
      </c>
      <c r="B269" s="1" t="n">
        <v>45813.34618055556</v>
      </c>
      <c r="C269" s="1" t="n">
        <v>46033</v>
      </c>
      <c r="D269" t="inlineStr">
        <is>
          <t>NORRBOTTENS LÄN</t>
        </is>
      </c>
      <c r="E269" t="inlineStr">
        <is>
          <t>LULEÅ</t>
        </is>
      </c>
      <c r="F269" t="inlineStr">
        <is>
          <t>Naturvårdsverket</t>
        </is>
      </c>
      <c r="G269" t="n">
        <v>8.6</v>
      </c>
      <c r="H269" t="n">
        <v>0</v>
      </c>
      <c r="I269" t="n">
        <v>0</v>
      </c>
      <c r="J269" t="n">
        <v>0</v>
      </c>
      <c r="K269" t="n">
        <v>0</v>
      </c>
      <c r="L269" t="n">
        <v>0</v>
      </c>
      <c r="M269" t="n">
        <v>0</v>
      </c>
      <c r="N269" t="n">
        <v>0</v>
      </c>
      <c r="O269" t="n">
        <v>0</v>
      </c>
      <c r="P269" t="n">
        <v>0</v>
      </c>
      <c r="Q269" t="n">
        <v>0</v>
      </c>
      <c r="R269" s="2" t="inlineStr"/>
    </row>
    <row r="270" ht="15" customHeight="1">
      <c r="A270" t="inlineStr">
        <is>
          <t>A 52319-2025</t>
        </is>
      </c>
      <c r="B270" s="1" t="n">
        <v>45953.65697916667</v>
      </c>
      <c r="C270" s="1" t="n">
        <v>46033</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row>
    <row r="271" ht="15" customHeight="1">
      <c r="A271" t="inlineStr">
        <is>
          <t>A 27526-2025</t>
        </is>
      </c>
      <c r="B271" s="1" t="n">
        <v>45813</v>
      </c>
      <c r="C271" s="1" t="n">
        <v>46033</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43182-2025</t>
        </is>
      </c>
      <c r="B272" s="1" t="n">
        <v>45910.40729166667</v>
      </c>
      <c r="C272" s="1" t="n">
        <v>46033</v>
      </c>
      <c r="D272" t="inlineStr">
        <is>
          <t>NORRBOTTENS LÄN</t>
        </is>
      </c>
      <c r="E272" t="inlineStr">
        <is>
          <t>LULEÅ</t>
        </is>
      </c>
      <c r="G272" t="n">
        <v>17.7</v>
      </c>
      <c r="H272" t="n">
        <v>0</v>
      </c>
      <c r="I272" t="n">
        <v>0</v>
      </c>
      <c r="J272" t="n">
        <v>0</v>
      </c>
      <c r="K272" t="n">
        <v>0</v>
      </c>
      <c r="L272" t="n">
        <v>0</v>
      </c>
      <c r="M272" t="n">
        <v>0</v>
      </c>
      <c r="N272" t="n">
        <v>0</v>
      </c>
      <c r="O272" t="n">
        <v>0</v>
      </c>
      <c r="P272" t="n">
        <v>0</v>
      </c>
      <c r="Q272" t="n">
        <v>0</v>
      </c>
      <c r="R272" s="2" t="inlineStr"/>
    </row>
    <row r="273" ht="15" customHeight="1">
      <c r="A273" t="inlineStr">
        <is>
          <t>A 28344-2025</t>
        </is>
      </c>
      <c r="B273" s="1" t="n">
        <v>45817</v>
      </c>
      <c r="C273" s="1" t="n">
        <v>46033</v>
      </c>
      <c r="D273" t="inlineStr">
        <is>
          <t>NORRBOTTENS LÄN</t>
        </is>
      </c>
      <c r="E273" t="inlineStr">
        <is>
          <t>LULEÅ</t>
        </is>
      </c>
      <c r="G273" t="n">
        <v>2.2</v>
      </c>
      <c r="H273" t="n">
        <v>0</v>
      </c>
      <c r="I273" t="n">
        <v>0</v>
      </c>
      <c r="J273" t="n">
        <v>0</v>
      </c>
      <c r="K273" t="n">
        <v>0</v>
      </c>
      <c r="L273" t="n">
        <v>0</v>
      </c>
      <c r="M273" t="n">
        <v>0</v>
      </c>
      <c r="N273" t="n">
        <v>0</v>
      </c>
      <c r="O273" t="n">
        <v>0</v>
      </c>
      <c r="P273" t="n">
        <v>0</v>
      </c>
      <c r="Q273" t="n">
        <v>0</v>
      </c>
      <c r="R273" s="2" t="inlineStr"/>
    </row>
    <row r="274" ht="15" customHeight="1">
      <c r="A274" t="inlineStr">
        <is>
          <t>A 44006-2025</t>
        </is>
      </c>
      <c r="B274" s="1" t="n">
        <v>45915</v>
      </c>
      <c r="C274" s="1" t="n">
        <v>46033</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43955-2025</t>
        </is>
      </c>
      <c r="B275" s="1" t="n">
        <v>45915</v>
      </c>
      <c r="C275" s="1" t="n">
        <v>46033</v>
      </c>
      <c r="D275" t="inlineStr">
        <is>
          <t>NORRBOTTENS LÄN</t>
        </is>
      </c>
      <c r="E275" t="inlineStr">
        <is>
          <t>LULEÅ</t>
        </is>
      </c>
      <c r="G275" t="n">
        <v>2</v>
      </c>
      <c r="H275" t="n">
        <v>0</v>
      </c>
      <c r="I275" t="n">
        <v>0</v>
      </c>
      <c r="J275" t="n">
        <v>0</v>
      </c>
      <c r="K275" t="n">
        <v>0</v>
      </c>
      <c r="L275" t="n">
        <v>0</v>
      </c>
      <c r="M275" t="n">
        <v>0</v>
      </c>
      <c r="N275" t="n">
        <v>0</v>
      </c>
      <c r="O275" t="n">
        <v>0</v>
      </c>
      <c r="P275" t="n">
        <v>0</v>
      </c>
      <c r="Q275" t="n">
        <v>0</v>
      </c>
      <c r="R275" s="2" t="inlineStr"/>
    </row>
    <row r="276" ht="15" customHeight="1">
      <c r="A276" t="inlineStr">
        <is>
          <t>A 43953-2025</t>
        </is>
      </c>
      <c r="B276" s="1" t="n">
        <v>45915.38332175926</v>
      </c>
      <c r="C276" s="1" t="n">
        <v>46033</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43976-2025</t>
        </is>
      </c>
      <c r="B277" s="1" t="n">
        <v>45915</v>
      </c>
      <c r="C277" s="1" t="n">
        <v>46033</v>
      </c>
      <c r="D277" t="inlineStr">
        <is>
          <t>NORRBOTTENS LÄN</t>
        </is>
      </c>
      <c r="E277" t="inlineStr">
        <is>
          <t>LULEÅ</t>
        </is>
      </c>
      <c r="G277" t="n">
        <v>6.2</v>
      </c>
      <c r="H277" t="n">
        <v>0</v>
      </c>
      <c r="I277" t="n">
        <v>0</v>
      </c>
      <c r="J277" t="n">
        <v>0</v>
      </c>
      <c r="K277" t="n">
        <v>0</v>
      </c>
      <c r="L277" t="n">
        <v>0</v>
      </c>
      <c r="M277" t="n">
        <v>0</v>
      </c>
      <c r="N277" t="n">
        <v>0</v>
      </c>
      <c r="O277" t="n">
        <v>0</v>
      </c>
      <c r="P277" t="n">
        <v>0</v>
      </c>
      <c r="Q277" t="n">
        <v>0</v>
      </c>
      <c r="R277" s="2" t="inlineStr"/>
    </row>
    <row r="278" ht="15" customHeight="1">
      <c r="A278" t="inlineStr">
        <is>
          <t>A 52698-2024</t>
        </is>
      </c>
      <c r="B278" s="1" t="n">
        <v>45610</v>
      </c>
      <c r="C278" s="1" t="n">
        <v>46033</v>
      </c>
      <c r="D278" t="inlineStr">
        <is>
          <t>NORRBOTTENS LÄN</t>
        </is>
      </c>
      <c r="E278" t="inlineStr">
        <is>
          <t>LULEÅ</t>
        </is>
      </c>
      <c r="G278" t="n">
        <v>8.9</v>
      </c>
      <c r="H278" t="n">
        <v>0</v>
      </c>
      <c r="I278" t="n">
        <v>0</v>
      </c>
      <c r="J278" t="n">
        <v>0</v>
      </c>
      <c r="K278" t="n">
        <v>0</v>
      </c>
      <c r="L278" t="n">
        <v>0</v>
      </c>
      <c r="M278" t="n">
        <v>0</v>
      </c>
      <c r="N278" t="n">
        <v>0</v>
      </c>
      <c r="O278" t="n">
        <v>0</v>
      </c>
      <c r="P278" t="n">
        <v>0</v>
      </c>
      <c r="Q278" t="n">
        <v>0</v>
      </c>
      <c r="R278" s="2" t="inlineStr"/>
    </row>
    <row r="279" ht="15" customHeight="1">
      <c r="A279" t="inlineStr">
        <is>
          <t>A 4920-2025</t>
        </is>
      </c>
      <c r="B279" s="1" t="n">
        <v>45688.68412037037</v>
      </c>
      <c r="C279" s="1" t="n">
        <v>46033</v>
      </c>
      <c r="D279" t="inlineStr">
        <is>
          <t>NORRBOTTENS LÄN</t>
        </is>
      </c>
      <c r="E279" t="inlineStr">
        <is>
          <t>LULEÅ</t>
        </is>
      </c>
      <c r="G279" t="n">
        <v>6.4</v>
      </c>
      <c r="H279" t="n">
        <v>0</v>
      </c>
      <c r="I279" t="n">
        <v>0</v>
      </c>
      <c r="J279" t="n">
        <v>0</v>
      </c>
      <c r="K279" t="n">
        <v>0</v>
      </c>
      <c r="L279" t="n">
        <v>0</v>
      </c>
      <c r="M279" t="n">
        <v>0</v>
      </c>
      <c r="N279" t="n">
        <v>0</v>
      </c>
      <c r="O279" t="n">
        <v>0</v>
      </c>
      <c r="P279" t="n">
        <v>0</v>
      </c>
      <c r="Q279" t="n">
        <v>0</v>
      </c>
      <c r="R279" s="2" t="inlineStr"/>
    </row>
    <row r="280" ht="15" customHeight="1">
      <c r="A280" t="inlineStr">
        <is>
          <t>A 51981-2025</t>
        </is>
      </c>
      <c r="B280" s="1" t="n">
        <v>45952</v>
      </c>
      <c r="C280" s="1" t="n">
        <v>46033</v>
      </c>
      <c r="D280" t="inlineStr">
        <is>
          <t>NORRBOTTENS LÄN</t>
        </is>
      </c>
      <c r="E280" t="inlineStr">
        <is>
          <t>LULEÅ</t>
        </is>
      </c>
      <c r="G280" t="n">
        <v>2</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46033</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44462-2025</t>
        </is>
      </c>
      <c r="B282" s="1" t="n">
        <v>45916</v>
      </c>
      <c r="C282" s="1" t="n">
        <v>46033</v>
      </c>
      <c r="D282" t="inlineStr">
        <is>
          <t>NORRBOTTENS LÄN</t>
        </is>
      </c>
      <c r="E282" t="inlineStr">
        <is>
          <t>LULEÅ</t>
        </is>
      </c>
      <c r="G282" t="n">
        <v>5</v>
      </c>
      <c r="H282" t="n">
        <v>0</v>
      </c>
      <c r="I282" t="n">
        <v>0</v>
      </c>
      <c r="J282" t="n">
        <v>0</v>
      </c>
      <c r="K282" t="n">
        <v>0</v>
      </c>
      <c r="L282" t="n">
        <v>0</v>
      </c>
      <c r="M282" t="n">
        <v>0</v>
      </c>
      <c r="N282" t="n">
        <v>0</v>
      </c>
      <c r="O282" t="n">
        <v>0</v>
      </c>
      <c r="P282" t="n">
        <v>0</v>
      </c>
      <c r="Q282" t="n">
        <v>0</v>
      </c>
      <c r="R282" s="2" t="inlineStr"/>
    </row>
    <row r="283" ht="15" customHeight="1">
      <c r="A283" t="inlineStr">
        <is>
          <t>A 19526-2025</t>
        </is>
      </c>
      <c r="B283" s="1" t="n">
        <v>45770.46388888889</v>
      </c>
      <c r="C283" s="1" t="n">
        <v>46033</v>
      </c>
      <c r="D283" t="inlineStr">
        <is>
          <t>NORRBOTTENS LÄN</t>
        </is>
      </c>
      <c r="E283" t="inlineStr">
        <is>
          <t>LULEÅ</t>
        </is>
      </c>
      <c r="G283" t="n">
        <v>10.6</v>
      </c>
      <c r="H283" t="n">
        <v>0</v>
      </c>
      <c r="I283" t="n">
        <v>0</v>
      </c>
      <c r="J283" t="n">
        <v>0</v>
      </c>
      <c r="K283" t="n">
        <v>0</v>
      </c>
      <c r="L283" t="n">
        <v>0</v>
      </c>
      <c r="M283" t="n">
        <v>0</v>
      </c>
      <c r="N283" t="n">
        <v>0</v>
      </c>
      <c r="O283" t="n">
        <v>0</v>
      </c>
      <c r="P283" t="n">
        <v>0</v>
      </c>
      <c r="Q283" t="n">
        <v>0</v>
      </c>
      <c r="R283" s="2" t="inlineStr"/>
    </row>
    <row r="284" ht="15" customHeight="1">
      <c r="A284" t="inlineStr">
        <is>
          <t>A 44463-2025</t>
        </is>
      </c>
      <c r="B284" s="1" t="n">
        <v>45916</v>
      </c>
      <c r="C284" s="1" t="n">
        <v>46033</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44443-2025</t>
        </is>
      </c>
      <c r="B285" s="1" t="n">
        <v>45916</v>
      </c>
      <c r="C285" s="1" t="n">
        <v>46033</v>
      </c>
      <c r="D285" t="inlineStr">
        <is>
          <t>NORRBOTTENS LÄN</t>
        </is>
      </c>
      <c r="E285" t="inlineStr">
        <is>
          <t>LULEÅ</t>
        </is>
      </c>
      <c r="G285" t="n">
        <v>8.9</v>
      </c>
      <c r="H285" t="n">
        <v>0</v>
      </c>
      <c r="I285" t="n">
        <v>0</v>
      </c>
      <c r="J285" t="n">
        <v>0</v>
      </c>
      <c r="K285" t="n">
        <v>0</v>
      </c>
      <c r="L285" t="n">
        <v>0</v>
      </c>
      <c r="M285" t="n">
        <v>0</v>
      </c>
      <c r="N285" t="n">
        <v>0</v>
      </c>
      <c r="O285" t="n">
        <v>0</v>
      </c>
      <c r="P285" t="n">
        <v>0</v>
      </c>
      <c r="Q285" t="n">
        <v>0</v>
      </c>
      <c r="R285" s="2" t="inlineStr"/>
    </row>
    <row r="286" ht="15" customHeight="1">
      <c r="A286" t="inlineStr">
        <is>
          <t>A 8229-2024</t>
        </is>
      </c>
      <c r="B286" s="1" t="n">
        <v>45351</v>
      </c>
      <c r="C286" s="1" t="n">
        <v>46033</v>
      </c>
      <c r="D286" t="inlineStr">
        <is>
          <t>NORRBOTTENS LÄN</t>
        </is>
      </c>
      <c r="E286" t="inlineStr">
        <is>
          <t>LULEÅ</t>
        </is>
      </c>
      <c r="G286" t="n">
        <v>14.8</v>
      </c>
      <c r="H286" t="n">
        <v>0</v>
      </c>
      <c r="I286" t="n">
        <v>0</v>
      </c>
      <c r="J286" t="n">
        <v>0</v>
      </c>
      <c r="K286" t="n">
        <v>0</v>
      </c>
      <c r="L286" t="n">
        <v>0</v>
      </c>
      <c r="M286" t="n">
        <v>0</v>
      </c>
      <c r="N286" t="n">
        <v>0</v>
      </c>
      <c r="O286" t="n">
        <v>0</v>
      </c>
      <c r="P286" t="n">
        <v>0</v>
      </c>
      <c r="Q286" t="n">
        <v>0</v>
      </c>
      <c r="R286" s="2" t="inlineStr"/>
    </row>
    <row r="287" ht="15" customHeight="1">
      <c r="A287" t="inlineStr">
        <is>
          <t>A 51668-2022</t>
        </is>
      </c>
      <c r="B287" s="1" t="n">
        <v>44867</v>
      </c>
      <c r="C287" s="1" t="n">
        <v>46033</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60245-2025</t>
        </is>
      </c>
      <c r="B288" s="1" t="n">
        <v>45993</v>
      </c>
      <c r="C288" s="1" t="n">
        <v>46033</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29332-2025</t>
        </is>
      </c>
      <c r="B289" s="1" t="n">
        <v>45824</v>
      </c>
      <c r="C289" s="1" t="n">
        <v>46033</v>
      </c>
      <c r="D289" t="inlineStr">
        <is>
          <t>NORRBOTTENS LÄN</t>
        </is>
      </c>
      <c r="E289" t="inlineStr">
        <is>
          <t>LULEÅ</t>
        </is>
      </c>
      <c r="G289" t="n">
        <v>3</v>
      </c>
      <c r="H289" t="n">
        <v>0</v>
      </c>
      <c r="I289" t="n">
        <v>0</v>
      </c>
      <c r="J289" t="n">
        <v>0</v>
      </c>
      <c r="K289" t="n">
        <v>0</v>
      </c>
      <c r="L289" t="n">
        <v>0</v>
      </c>
      <c r="M289" t="n">
        <v>0</v>
      </c>
      <c r="N289" t="n">
        <v>0</v>
      </c>
      <c r="O289" t="n">
        <v>0</v>
      </c>
      <c r="P289" t="n">
        <v>0</v>
      </c>
      <c r="Q289" t="n">
        <v>0</v>
      </c>
      <c r="R289" s="2" t="inlineStr"/>
    </row>
    <row r="290" ht="15" customHeight="1">
      <c r="A290" t="inlineStr">
        <is>
          <t>A 45000-2025</t>
        </is>
      </c>
      <c r="B290" s="1" t="n">
        <v>45918</v>
      </c>
      <c r="C290" s="1" t="n">
        <v>46033</v>
      </c>
      <c r="D290" t="inlineStr">
        <is>
          <t>NORRBOTTENS LÄN</t>
        </is>
      </c>
      <c r="E290" t="inlineStr">
        <is>
          <t>LULEÅ</t>
        </is>
      </c>
      <c r="G290" t="n">
        <v>4</v>
      </c>
      <c r="H290" t="n">
        <v>0</v>
      </c>
      <c r="I290" t="n">
        <v>0</v>
      </c>
      <c r="J290" t="n">
        <v>0</v>
      </c>
      <c r="K290" t="n">
        <v>0</v>
      </c>
      <c r="L290" t="n">
        <v>0</v>
      </c>
      <c r="M290" t="n">
        <v>0</v>
      </c>
      <c r="N290" t="n">
        <v>0</v>
      </c>
      <c r="O290" t="n">
        <v>0</v>
      </c>
      <c r="P290" t="n">
        <v>0</v>
      </c>
      <c r="Q290" t="n">
        <v>0</v>
      </c>
      <c r="R290" s="2" t="inlineStr"/>
    </row>
    <row r="291" ht="15" customHeight="1">
      <c r="A291" t="inlineStr">
        <is>
          <t>A 44982-2025</t>
        </is>
      </c>
      <c r="B291" s="1" t="n">
        <v>45918</v>
      </c>
      <c r="C291" s="1" t="n">
        <v>46033</v>
      </c>
      <c r="D291" t="inlineStr">
        <is>
          <t>NORRBOTTENS LÄN</t>
        </is>
      </c>
      <c r="E291" t="inlineStr">
        <is>
          <t>LULEÅ</t>
        </is>
      </c>
      <c r="G291" t="n">
        <v>13.7</v>
      </c>
      <c r="H291" t="n">
        <v>0</v>
      </c>
      <c r="I291" t="n">
        <v>0</v>
      </c>
      <c r="J291" t="n">
        <v>0</v>
      </c>
      <c r="K291" t="n">
        <v>0</v>
      </c>
      <c r="L291" t="n">
        <v>0</v>
      </c>
      <c r="M291" t="n">
        <v>0</v>
      </c>
      <c r="N291" t="n">
        <v>0</v>
      </c>
      <c r="O291" t="n">
        <v>0</v>
      </c>
      <c r="P291" t="n">
        <v>0</v>
      </c>
      <c r="Q291" t="n">
        <v>0</v>
      </c>
      <c r="R291" s="2" t="inlineStr"/>
    </row>
    <row r="292" ht="15" customHeight="1">
      <c r="A292" t="inlineStr">
        <is>
          <t>A 59609-2024</t>
        </is>
      </c>
      <c r="B292" s="1" t="n">
        <v>45638.75081018519</v>
      </c>
      <c r="C292" s="1" t="n">
        <v>46033</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45472-2025</t>
        </is>
      </c>
      <c r="B293" s="1" t="n">
        <v>45922.5109837963</v>
      </c>
      <c r="C293" s="1" t="n">
        <v>46033</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29530-2025</t>
        </is>
      </c>
      <c r="B294" s="1" t="n">
        <v>45825.3443287037</v>
      </c>
      <c r="C294" s="1" t="n">
        <v>46033</v>
      </c>
      <c r="D294" t="inlineStr">
        <is>
          <t>NORRBOTTENS LÄN</t>
        </is>
      </c>
      <c r="E294" t="inlineStr">
        <is>
          <t>LULEÅ</t>
        </is>
      </c>
      <c r="F294" t="inlineStr">
        <is>
          <t>SCA</t>
        </is>
      </c>
      <c r="G294" t="n">
        <v>17.5</v>
      </c>
      <c r="H294" t="n">
        <v>0</v>
      </c>
      <c r="I294" t="n">
        <v>0</v>
      </c>
      <c r="J294" t="n">
        <v>0</v>
      </c>
      <c r="K294" t="n">
        <v>0</v>
      </c>
      <c r="L294" t="n">
        <v>0</v>
      </c>
      <c r="M294" t="n">
        <v>0</v>
      </c>
      <c r="N294" t="n">
        <v>0</v>
      </c>
      <c r="O294" t="n">
        <v>0</v>
      </c>
      <c r="P294" t="n">
        <v>0</v>
      </c>
      <c r="Q294" t="n">
        <v>0</v>
      </c>
      <c r="R294" s="2" t="inlineStr"/>
    </row>
    <row r="295" ht="15" customHeight="1">
      <c r="A295" t="inlineStr">
        <is>
          <t>A 45673-2025</t>
        </is>
      </c>
      <c r="B295" s="1" t="n">
        <v>45922</v>
      </c>
      <c r="C295" s="1" t="n">
        <v>46033</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45471-2025</t>
        </is>
      </c>
      <c r="B296" s="1" t="n">
        <v>45922.51094907407</v>
      </c>
      <c r="C296" s="1" t="n">
        <v>46033</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4941-2025</t>
        </is>
      </c>
      <c r="B297" s="1" t="n">
        <v>45688.6995949074</v>
      </c>
      <c r="C297" s="1" t="n">
        <v>46033</v>
      </c>
      <c r="D297" t="inlineStr">
        <is>
          <t>NORRBOTTENS LÄN</t>
        </is>
      </c>
      <c r="E297" t="inlineStr">
        <is>
          <t>LULEÅ</t>
        </is>
      </c>
      <c r="G297" t="n">
        <v>0.6</v>
      </c>
      <c r="H297" t="n">
        <v>0</v>
      </c>
      <c r="I297" t="n">
        <v>0</v>
      </c>
      <c r="J297" t="n">
        <v>0</v>
      </c>
      <c r="K297" t="n">
        <v>0</v>
      </c>
      <c r="L297" t="n">
        <v>0</v>
      </c>
      <c r="M297" t="n">
        <v>0</v>
      </c>
      <c r="N297" t="n">
        <v>0</v>
      </c>
      <c r="O297" t="n">
        <v>0</v>
      </c>
      <c r="P297" t="n">
        <v>0</v>
      </c>
      <c r="Q297" t="n">
        <v>0</v>
      </c>
      <c r="R297" s="2" t="inlineStr"/>
    </row>
    <row r="298" ht="15" customHeight="1">
      <c r="A298" t="inlineStr">
        <is>
          <t>A 29375-2025</t>
        </is>
      </c>
      <c r="B298" s="1" t="n">
        <v>45824.58546296296</v>
      </c>
      <c r="C298" s="1" t="n">
        <v>46033</v>
      </c>
      <c r="D298" t="inlineStr">
        <is>
          <t>NORRBOTTENS LÄN</t>
        </is>
      </c>
      <c r="E298" t="inlineStr">
        <is>
          <t>LULEÅ</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30035-2025</t>
        </is>
      </c>
      <c r="B299" s="1" t="n">
        <v>45826.57041666667</v>
      </c>
      <c r="C299" s="1" t="n">
        <v>46033</v>
      </c>
      <c r="D299" t="inlineStr">
        <is>
          <t>NORRBOTTENS LÄN</t>
        </is>
      </c>
      <c r="E299" t="inlineStr">
        <is>
          <t>LULEÅ</t>
        </is>
      </c>
      <c r="G299" t="n">
        <v>16.6</v>
      </c>
      <c r="H299" t="n">
        <v>0</v>
      </c>
      <c r="I299" t="n">
        <v>0</v>
      </c>
      <c r="J299" t="n">
        <v>0</v>
      </c>
      <c r="K299" t="n">
        <v>0</v>
      </c>
      <c r="L299" t="n">
        <v>0</v>
      </c>
      <c r="M299" t="n">
        <v>0</v>
      </c>
      <c r="N299" t="n">
        <v>0</v>
      </c>
      <c r="O299" t="n">
        <v>0</v>
      </c>
      <c r="P299" t="n">
        <v>0</v>
      </c>
      <c r="Q299" t="n">
        <v>0</v>
      </c>
      <c r="R299" s="2" t="inlineStr"/>
    </row>
    <row r="300" ht="15" customHeight="1">
      <c r="A300" t="inlineStr">
        <is>
          <t>A 51277-2024</t>
        </is>
      </c>
      <c r="B300" s="1" t="n">
        <v>45603.74953703704</v>
      </c>
      <c r="C300" s="1" t="n">
        <v>46033</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45684-2025</t>
        </is>
      </c>
      <c r="B301" s="1" t="n">
        <v>45918</v>
      </c>
      <c r="C301" s="1" t="n">
        <v>46033</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30091-2025</t>
        </is>
      </c>
      <c r="B302" s="1" t="n">
        <v>45826</v>
      </c>
      <c r="C302" s="1" t="n">
        <v>46033</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45470-2025</t>
        </is>
      </c>
      <c r="B303" s="1" t="n">
        <v>45922.51091435185</v>
      </c>
      <c r="C303" s="1" t="n">
        <v>46033</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29896-2025</t>
        </is>
      </c>
      <c r="B304" s="1" t="n">
        <v>45826.38290509259</v>
      </c>
      <c r="C304" s="1" t="n">
        <v>46033</v>
      </c>
      <c r="D304" t="inlineStr">
        <is>
          <t>NORRBOTTENS LÄN</t>
        </is>
      </c>
      <c r="E304" t="inlineStr">
        <is>
          <t>LULEÅ</t>
        </is>
      </c>
      <c r="G304" t="n">
        <v>17.9</v>
      </c>
      <c r="H304" t="n">
        <v>0</v>
      </c>
      <c r="I304" t="n">
        <v>0</v>
      </c>
      <c r="J304" t="n">
        <v>0</v>
      </c>
      <c r="K304" t="n">
        <v>0</v>
      </c>
      <c r="L304" t="n">
        <v>0</v>
      </c>
      <c r="M304" t="n">
        <v>0</v>
      </c>
      <c r="N304" t="n">
        <v>0</v>
      </c>
      <c r="O304" t="n">
        <v>0</v>
      </c>
      <c r="P304" t="n">
        <v>0</v>
      </c>
      <c r="Q304" t="n">
        <v>0</v>
      </c>
      <c r="R304" s="2" t="inlineStr"/>
    </row>
    <row r="305" ht="15" customHeight="1">
      <c r="A305" t="inlineStr">
        <is>
          <t>A 30241-2025</t>
        </is>
      </c>
      <c r="B305" s="1" t="n">
        <v>45827.40512731481</v>
      </c>
      <c r="C305" s="1" t="n">
        <v>46033</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45001-2025</t>
        </is>
      </c>
      <c r="B306" s="1" t="n">
        <v>45918</v>
      </c>
      <c r="C306" s="1" t="n">
        <v>46033</v>
      </c>
      <c r="D306" t="inlineStr">
        <is>
          <t>NORRBOTTENS LÄN</t>
        </is>
      </c>
      <c r="E306" t="inlineStr">
        <is>
          <t>LULEÅ</t>
        </is>
      </c>
      <c r="G306" t="n">
        <v>7.8</v>
      </c>
      <c r="H306" t="n">
        <v>0</v>
      </c>
      <c r="I306" t="n">
        <v>0</v>
      </c>
      <c r="J306" t="n">
        <v>0</v>
      </c>
      <c r="K306" t="n">
        <v>0</v>
      </c>
      <c r="L306" t="n">
        <v>0</v>
      </c>
      <c r="M306" t="n">
        <v>0</v>
      </c>
      <c r="N306" t="n">
        <v>0</v>
      </c>
      <c r="O306" t="n">
        <v>0</v>
      </c>
      <c r="P306" t="n">
        <v>0</v>
      </c>
      <c r="Q306" t="n">
        <v>0</v>
      </c>
      <c r="R306" s="2" t="inlineStr"/>
    </row>
    <row r="307" ht="15" customHeight="1">
      <c r="A307" t="inlineStr">
        <is>
          <t>A 4547-2025</t>
        </is>
      </c>
      <c r="B307" s="1" t="n">
        <v>45687.40212962963</v>
      </c>
      <c r="C307" s="1" t="n">
        <v>46033</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46117-2025</t>
        </is>
      </c>
      <c r="B308" s="1" t="n">
        <v>45924.5737962963</v>
      </c>
      <c r="C308" s="1" t="n">
        <v>46033</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30059-2025</t>
        </is>
      </c>
      <c r="B309" s="1" t="n">
        <v>45826.61388888889</v>
      </c>
      <c r="C309" s="1" t="n">
        <v>46033</v>
      </c>
      <c r="D309" t="inlineStr">
        <is>
          <t>NORRBOTTENS LÄN</t>
        </is>
      </c>
      <c r="E309" t="inlineStr">
        <is>
          <t>LULEÅ</t>
        </is>
      </c>
      <c r="G309" t="n">
        <v>1.2</v>
      </c>
      <c r="H309" t="n">
        <v>0</v>
      </c>
      <c r="I309" t="n">
        <v>0</v>
      </c>
      <c r="J309" t="n">
        <v>0</v>
      </c>
      <c r="K309" t="n">
        <v>0</v>
      </c>
      <c r="L309" t="n">
        <v>0</v>
      </c>
      <c r="M309" t="n">
        <v>0</v>
      </c>
      <c r="N309" t="n">
        <v>0</v>
      </c>
      <c r="O309" t="n">
        <v>0</v>
      </c>
      <c r="P309" t="n">
        <v>0</v>
      </c>
      <c r="Q309" t="n">
        <v>0</v>
      </c>
      <c r="R309" s="2" t="inlineStr"/>
    </row>
    <row r="310" ht="15" customHeight="1">
      <c r="A310" t="inlineStr">
        <is>
          <t>A 30065-2025</t>
        </is>
      </c>
      <c r="B310" s="1" t="n">
        <v>45826.6207175926</v>
      </c>
      <c r="C310" s="1" t="n">
        <v>46033</v>
      </c>
      <c r="D310" t="inlineStr">
        <is>
          <t>NORRBOTTENS LÄN</t>
        </is>
      </c>
      <c r="E310" t="inlineStr">
        <is>
          <t>LULEÅ</t>
        </is>
      </c>
      <c r="G310" t="n">
        <v>4</v>
      </c>
      <c r="H310" t="n">
        <v>0</v>
      </c>
      <c r="I310" t="n">
        <v>0</v>
      </c>
      <c r="J310" t="n">
        <v>0</v>
      </c>
      <c r="K310" t="n">
        <v>0</v>
      </c>
      <c r="L310" t="n">
        <v>0</v>
      </c>
      <c r="M310" t="n">
        <v>0</v>
      </c>
      <c r="N310" t="n">
        <v>0</v>
      </c>
      <c r="O310" t="n">
        <v>0</v>
      </c>
      <c r="P310" t="n">
        <v>0</v>
      </c>
      <c r="Q310" t="n">
        <v>0</v>
      </c>
      <c r="R310" s="2" t="inlineStr"/>
    </row>
    <row r="311" ht="15" customHeight="1">
      <c r="A311" t="inlineStr">
        <is>
          <t>A 30080-2025</t>
        </is>
      </c>
      <c r="B311" s="1" t="n">
        <v>45826.65047453704</v>
      </c>
      <c r="C311" s="1" t="n">
        <v>46033</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30245-2025</t>
        </is>
      </c>
      <c r="B312" s="1" t="n">
        <v>45827.4106712963</v>
      </c>
      <c r="C312" s="1" t="n">
        <v>46033</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30048-2025</t>
        </is>
      </c>
      <c r="B313" s="1" t="n">
        <v>45826.58424768518</v>
      </c>
      <c r="C313" s="1" t="n">
        <v>46033</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30052-2025</t>
        </is>
      </c>
      <c r="B314" s="1" t="n">
        <v>45826.59502314815</v>
      </c>
      <c r="C314" s="1" t="n">
        <v>46033</v>
      </c>
      <c r="D314" t="inlineStr">
        <is>
          <t>NORRBOTTENS LÄN</t>
        </is>
      </c>
      <c r="E314" t="inlineStr">
        <is>
          <t>LULEÅ</t>
        </is>
      </c>
      <c r="G314" t="n">
        <v>1.2</v>
      </c>
      <c r="H314" t="n">
        <v>0</v>
      </c>
      <c r="I314" t="n">
        <v>0</v>
      </c>
      <c r="J314" t="n">
        <v>0</v>
      </c>
      <c r="K314" t="n">
        <v>0</v>
      </c>
      <c r="L314" t="n">
        <v>0</v>
      </c>
      <c r="M314" t="n">
        <v>0</v>
      </c>
      <c r="N314" t="n">
        <v>0</v>
      </c>
      <c r="O314" t="n">
        <v>0</v>
      </c>
      <c r="P314" t="n">
        <v>0</v>
      </c>
      <c r="Q314" t="n">
        <v>0</v>
      </c>
      <c r="R314" s="2" t="inlineStr"/>
    </row>
    <row r="315" ht="15" customHeight="1">
      <c r="A315" t="inlineStr">
        <is>
          <t>A 46469-2025</t>
        </is>
      </c>
      <c r="B315" s="1" t="n">
        <v>45925.68186342593</v>
      </c>
      <c r="C315" s="1" t="n">
        <v>46033</v>
      </c>
      <c r="D315" t="inlineStr">
        <is>
          <t>NORRBOTTENS LÄN</t>
        </is>
      </c>
      <c r="E315" t="inlineStr">
        <is>
          <t>LULEÅ</t>
        </is>
      </c>
      <c r="G315" t="n">
        <v>12</v>
      </c>
      <c r="H315" t="n">
        <v>0</v>
      </c>
      <c r="I315" t="n">
        <v>0</v>
      </c>
      <c r="J315" t="n">
        <v>0</v>
      </c>
      <c r="K315" t="n">
        <v>0</v>
      </c>
      <c r="L315" t="n">
        <v>0</v>
      </c>
      <c r="M315" t="n">
        <v>0</v>
      </c>
      <c r="N315" t="n">
        <v>0</v>
      </c>
      <c r="O315" t="n">
        <v>0</v>
      </c>
      <c r="P315" t="n">
        <v>0</v>
      </c>
      <c r="Q315" t="n">
        <v>0</v>
      </c>
      <c r="R315" s="2" t="inlineStr"/>
    </row>
    <row r="316" ht="15" customHeight="1">
      <c r="A316" t="inlineStr">
        <is>
          <t>A 46314-2025</t>
        </is>
      </c>
      <c r="B316" s="1" t="n">
        <v>45925</v>
      </c>
      <c r="C316" s="1" t="n">
        <v>46033</v>
      </c>
      <c r="D316" t="inlineStr">
        <is>
          <t>NORRBOTTENS LÄN</t>
        </is>
      </c>
      <c r="E316" t="inlineStr">
        <is>
          <t>LULEÅ</t>
        </is>
      </c>
      <c r="G316" t="n">
        <v>2.5</v>
      </c>
      <c r="H316" t="n">
        <v>0</v>
      </c>
      <c r="I316" t="n">
        <v>0</v>
      </c>
      <c r="J316" t="n">
        <v>0</v>
      </c>
      <c r="K316" t="n">
        <v>0</v>
      </c>
      <c r="L316" t="n">
        <v>0</v>
      </c>
      <c r="M316" t="n">
        <v>0</v>
      </c>
      <c r="N316" t="n">
        <v>0</v>
      </c>
      <c r="O316" t="n">
        <v>0</v>
      </c>
      <c r="P316" t="n">
        <v>0</v>
      </c>
      <c r="Q316" t="n">
        <v>0</v>
      </c>
      <c r="R316" s="2" t="inlineStr"/>
    </row>
    <row r="317" ht="15" customHeight="1">
      <c r="A317" t="inlineStr">
        <is>
          <t>A 46344-2025</t>
        </is>
      </c>
      <c r="B317" s="1" t="n">
        <v>45925</v>
      </c>
      <c r="C317" s="1" t="n">
        <v>46033</v>
      </c>
      <c r="D317" t="inlineStr">
        <is>
          <t>NORRBOTTENS LÄN</t>
        </is>
      </c>
      <c r="E317" t="inlineStr">
        <is>
          <t>LULEÅ</t>
        </is>
      </c>
      <c r="F317" t="inlineStr">
        <is>
          <t>SCA</t>
        </is>
      </c>
      <c r="G317" t="n">
        <v>13.9</v>
      </c>
      <c r="H317" t="n">
        <v>0</v>
      </c>
      <c r="I317" t="n">
        <v>0</v>
      </c>
      <c r="J317" t="n">
        <v>0</v>
      </c>
      <c r="K317" t="n">
        <v>0</v>
      </c>
      <c r="L317" t="n">
        <v>0</v>
      </c>
      <c r="M317" t="n">
        <v>0</v>
      </c>
      <c r="N317" t="n">
        <v>0</v>
      </c>
      <c r="O317" t="n">
        <v>0</v>
      </c>
      <c r="P317" t="n">
        <v>0</v>
      </c>
      <c r="Q317" t="n">
        <v>0</v>
      </c>
      <c r="R317" s="2" t="inlineStr"/>
    </row>
    <row r="318" ht="15" customHeight="1">
      <c r="A318" t="inlineStr">
        <is>
          <t>A 46430-2025</t>
        </is>
      </c>
      <c r="B318" s="1" t="n">
        <v>45925.61494212963</v>
      </c>
      <c r="C318" s="1" t="n">
        <v>46033</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30237-2025</t>
        </is>
      </c>
      <c r="B319" s="1" t="n">
        <v>45827.39997685186</v>
      </c>
      <c r="C319" s="1" t="n">
        <v>46033</v>
      </c>
      <c r="D319" t="inlineStr">
        <is>
          <t>NORRBOTTENS LÄN</t>
        </is>
      </c>
      <c r="E319" t="inlineStr">
        <is>
          <t>LULEÅ</t>
        </is>
      </c>
      <c r="G319" t="n">
        <v>17.6</v>
      </c>
      <c r="H319" t="n">
        <v>0</v>
      </c>
      <c r="I319" t="n">
        <v>0</v>
      </c>
      <c r="J319" t="n">
        <v>0</v>
      </c>
      <c r="K319" t="n">
        <v>0</v>
      </c>
      <c r="L319" t="n">
        <v>0</v>
      </c>
      <c r="M319" t="n">
        <v>0</v>
      </c>
      <c r="N319" t="n">
        <v>0</v>
      </c>
      <c r="O319" t="n">
        <v>0</v>
      </c>
      <c r="P319" t="n">
        <v>0</v>
      </c>
      <c r="Q319" t="n">
        <v>0</v>
      </c>
      <c r="R319" s="2" t="inlineStr"/>
    </row>
    <row r="320" ht="15" customHeight="1">
      <c r="A320" t="inlineStr">
        <is>
          <t>A 30238-2025</t>
        </is>
      </c>
      <c r="B320" s="1" t="n">
        <v>45827.40238425926</v>
      </c>
      <c r="C320" s="1" t="n">
        <v>46033</v>
      </c>
      <c r="D320" t="inlineStr">
        <is>
          <t>NORRBOTTENS LÄN</t>
        </is>
      </c>
      <c r="E320" t="inlineStr">
        <is>
          <t>LULEÅ</t>
        </is>
      </c>
      <c r="G320" t="n">
        <v>10.2</v>
      </c>
      <c r="H320" t="n">
        <v>0</v>
      </c>
      <c r="I320" t="n">
        <v>0</v>
      </c>
      <c r="J320" t="n">
        <v>0</v>
      </c>
      <c r="K320" t="n">
        <v>0</v>
      </c>
      <c r="L320" t="n">
        <v>0</v>
      </c>
      <c r="M320" t="n">
        <v>0</v>
      </c>
      <c r="N320" t="n">
        <v>0</v>
      </c>
      <c r="O320" t="n">
        <v>0</v>
      </c>
      <c r="P320" t="n">
        <v>0</v>
      </c>
      <c r="Q320" t="n">
        <v>0</v>
      </c>
      <c r="R320" s="2" t="inlineStr"/>
    </row>
    <row r="321" ht="15" customHeight="1">
      <c r="A321" t="inlineStr">
        <is>
          <t>A 30056-2025</t>
        </is>
      </c>
      <c r="B321" s="1" t="n">
        <v>45826.6047800926</v>
      </c>
      <c r="C321" s="1" t="n">
        <v>46033</v>
      </c>
      <c r="D321" t="inlineStr">
        <is>
          <t>NORRBOTTENS LÄN</t>
        </is>
      </c>
      <c r="E321" t="inlineStr">
        <is>
          <t>LULEÅ</t>
        </is>
      </c>
      <c r="G321" t="n">
        <v>3.6</v>
      </c>
      <c r="H321" t="n">
        <v>0</v>
      </c>
      <c r="I321" t="n">
        <v>0</v>
      </c>
      <c r="J321" t="n">
        <v>0</v>
      </c>
      <c r="K321" t="n">
        <v>0</v>
      </c>
      <c r="L321" t="n">
        <v>0</v>
      </c>
      <c r="M321" t="n">
        <v>0</v>
      </c>
      <c r="N321" t="n">
        <v>0</v>
      </c>
      <c r="O321" t="n">
        <v>0</v>
      </c>
      <c r="P321" t="n">
        <v>0</v>
      </c>
      <c r="Q321" t="n">
        <v>0</v>
      </c>
      <c r="R321" s="2" t="inlineStr"/>
    </row>
    <row r="322" ht="15" customHeight="1">
      <c r="A322" t="inlineStr">
        <is>
          <t>A 11901-2025</t>
        </is>
      </c>
      <c r="B322" s="1" t="n">
        <v>45727</v>
      </c>
      <c r="C322" s="1" t="n">
        <v>46033</v>
      </c>
      <c r="D322" t="inlineStr">
        <is>
          <t>NORRBOTTENS LÄN</t>
        </is>
      </c>
      <c r="E322" t="inlineStr">
        <is>
          <t>LULEÅ</t>
        </is>
      </c>
      <c r="G322" t="n">
        <v>1.6</v>
      </c>
      <c r="H322" t="n">
        <v>0</v>
      </c>
      <c r="I322" t="n">
        <v>0</v>
      </c>
      <c r="J322" t="n">
        <v>0</v>
      </c>
      <c r="K322" t="n">
        <v>0</v>
      </c>
      <c r="L322" t="n">
        <v>0</v>
      </c>
      <c r="M322" t="n">
        <v>0</v>
      </c>
      <c r="N322" t="n">
        <v>0</v>
      </c>
      <c r="O322" t="n">
        <v>0</v>
      </c>
      <c r="P322" t="n">
        <v>0</v>
      </c>
      <c r="Q322" t="n">
        <v>0</v>
      </c>
      <c r="R322" s="2" t="inlineStr"/>
    </row>
    <row r="323" ht="15" customHeight="1">
      <c r="A323" t="inlineStr">
        <is>
          <t>A 29975-2025</t>
        </is>
      </c>
      <c r="B323" s="1" t="n">
        <v>45826</v>
      </c>
      <c r="C323" s="1" t="n">
        <v>46033</v>
      </c>
      <c r="D323" t="inlineStr">
        <is>
          <t>NORRBOTTENS LÄN</t>
        </is>
      </c>
      <c r="E323" t="inlineStr">
        <is>
          <t>LULEÅ</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30569-2025</t>
        </is>
      </c>
      <c r="B324" s="1" t="n">
        <v>45831</v>
      </c>
      <c r="C324" s="1" t="n">
        <v>46033</v>
      </c>
      <c r="D324" t="inlineStr">
        <is>
          <t>NORRBOTTENS LÄN</t>
        </is>
      </c>
      <c r="E324" t="inlineStr">
        <is>
          <t>LULEÅ</t>
        </is>
      </c>
      <c r="G324" t="n">
        <v>4.1</v>
      </c>
      <c r="H324" t="n">
        <v>0</v>
      </c>
      <c r="I324" t="n">
        <v>0</v>
      </c>
      <c r="J324" t="n">
        <v>0</v>
      </c>
      <c r="K324" t="n">
        <v>0</v>
      </c>
      <c r="L324" t="n">
        <v>0</v>
      </c>
      <c r="M324" t="n">
        <v>0</v>
      </c>
      <c r="N324" t="n">
        <v>0</v>
      </c>
      <c r="O324" t="n">
        <v>0</v>
      </c>
      <c r="P324" t="n">
        <v>0</v>
      </c>
      <c r="Q324" t="n">
        <v>0</v>
      </c>
      <c r="R324" s="2" t="inlineStr"/>
    </row>
    <row r="325" ht="15" customHeight="1">
      <c r="A325" t="inlineStr">
        <is>
          <t>A 30570-2025</t>
        </is>
      </c>
      <c r="B325" s="1" t="n">
        <v>45831.40694444445</v>
      </c>
      <c r="C325" s="1" t="n">
        <v>46033</v>
      </c>
      <c r="D325" t="inlineStr">
        <is>
          <t>NORRBOTTENS LÄN</t>
        </is>
      </c>
      <c r="E325" t="inlineStr">
        <is>
          <t>LULEÅ</t>
        </is>
      </c>
      <c r="G325" t="n">
        <v>4.8</v>
      </c>
      <c r="H325" t="n">
        <v>0</v>
      </c>
      <c r="I325" t="n">
        <v>0</v>
      </c>
      <c r="J325" t="n">
        <v>0</v>
      </c>
      <c r="K325" t="n">
        <v>0</v>
      </c>
      <c r="L325" t="n">
        <v>0</v>
      </c>
      <c r="M325" t="n">
        <v>0</v>
      </c>
      <c r="N325" t="n">
        <v>0</v>
      </c>
      <c r="O325" t="n">
        <v>0</v>
      </c>
      <c r="P325" t="n">
        <v>0</v>
      </c>
      <c r="Q325" t="n">
        <v>0</v>
      </c>
      <c r="R325" s="2" t="inlineStr"/>
    </row>
    <row r="326" ht="15" customHeight="1">
      <c r="A326" t="inlineStr">
        <is>
          <t>A 46060-2025</t>
        </is>
      </c>
      <c r="B326" s="1" t="n">
        <v>45924</v>
      </c>
      <c r="C326" s="1" t="n">
        <v>46033</v>
      </c>
      <c r="D326" t="inlineStr">
        <is>
          <t>NORRBOTTENS LÄN</t>
        </is>
      </c>
      <c r="E326" t="inlineStr">
        <is>
          <t>LULEÅ</t>
        </is>
      </c>
      <c r="G326" t="n">
        <v>1.8</v>
      </c>
      <c r="H326" t="n">
        <v>0</v>
      </c>
      <c r="I326" t="n">
        <v>0</v>
      </c>
      <c r="J326" t="n">
        <v>0</v>
      </c>
      <c r="K326" t="n">
        <v>0</v>
      </c>
      <c r="L326" t="n">
        <v>0</v>
      </c>
      <c r="M326" t="n">
        <v>0</v>
      </c>
      <c r="N326" t="n">
        <v>0</v>
      </c>
      <c r="O326" t="n">
        <v>0</v>
      </c>
      <c r="P326" t="n">
        <v>0</v>
      </c>
      <c r="Q326" t="n">
        <v>0</v>
      </c>
      <c r="R326" s="2" t="inlineStr"/>
    </row>
    <row r="327" ht="15" customHeight="1">
      <c r="A327" t="inlineStr">
        <is>
          <t>A 31025-2025</t>
        </is>
      </c>
      <c r="B327" s="1" t="n">
        <v>45831</v>
      </c>
      <c r="C327" s="1" t="n">
        <v>46033</v>
      </c>
      <c r="D327" t="inlineStr">
        <is>
          <t>NORRBOTTENS LÄN</t>
        </is>
      </c>
      <c r="E327" t="inlineStr">
        <is>
          <t>LULEÅ</t>
        </is>
      </c>
      <c r="G327" t="n">
        <v>2.2</v>
      </c>
      <c r="H327" t="n">
        <v>0</v>
      </c>
      <c r="I327" t="n">
        <v>0</v>
      </c>
      <c r="J327" t="n">
        <v>0</v>
      </c>
      <c r="K327" t="n">
        <v>0</v>
      </c>
      <c r="L327" t="n">
        <v>0</v>
      </c>
      <c r="M327" t="n">
        <v>0</v>
      </c>
      <c r="N327" t="n">
        <v>0</v>
      </c>
      <c r="O327" t="n">
        <v>0</v>
      </c>
      <c r="P327" t="n">
        <v>0</v>
      </c>
      <c r="Q327" t="n">
        <v>0</v>
      </c>
      <c r="R327" s="2" t="inlineStr"/>
    </row>
    <row r="328" ht="15" customHeight="1">
      <c r="A328" t="inlineStr">
        <is>
          <t>A 52318-2025</t>
        </is>
      </c>
      <c r="B328" s="1" t="n">
        <v>45953.65693287037</v>
      </c>
      <c r="C328" s="1" t="n">
        <v>46033</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51902-2025</t>
        </is>
      </c>
      <c r="B329" s="1" t="n">
        <v>45952.44763888889</v>
      </c>
      <c r="C329" s="1" t="n">
        <v>46033</v>
      </c>
      <c r="D329" t="inlineStr">
        <is>
          <t>NORRBOTTENS LÄN</t>
        </is>
      </c>
      <c r="E329" t="inlineStr">
        <is>
          <t>LULEÅ</t>
        </is>
      </c>
      <c r="G329" t="n">
        <v>2.9</v>
      </c>
      <c r="H329" t="n">
        <v>0</v>
      </c>
      <c r="I329" t="n">
        <v>0</v>
      </c>
      <c r="J329" t="n">
        <v>0</v>
      </c>
      <c r="K329" t="n">
        <v>0</v>
      </c>
      <c r="L329" t="n">
        <v>0</v>
      </c>
      <c r="M329" t="n">
        <v>0</v>
      </c>
      <c r="N329" t="n">
        <v>0</v>
      </c>
      <c r="O329" t="n">
        <v>0</v>
      </c>
      <c r="P329" t="n">
        <v>0</v>
      </c>
      <c r="Q329" t="n">
        <v>0</v>
      </c>
      <c r="R329" s="2" t="inlineStr"/>
    </row>
    <row r="330" ht="15" customHeight="1">
      <c r="A330" t="inlineStr">
        <is>
          <t>A 7393-2023</t>
        </is>
      </c>
      <c r="B330" s="1" t="n">
        <v>44966</v>
      </c>
      <c r="C330" s="1" t="n">
        <v>46033</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30907-2025</t>
        </is>
      </c>
      <c r="B331" s="1" t="n">
        <v>45832.36484953704</v>
      </c>
      <c r="C331" s="1" t="n">
        <v>46033</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13068-2024</t>
        </is>
      </c>
      <c r="B332" s="1" t="n">
        <v>45385</v>
      </c>
      <c r="C332" s="1" t="n">
        <v>46033</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46572-2025</t>
        </is>
      </c>
      <c r="B333" s="1" t="n">
        <v>45926.3683912037</v>
      </c>
      <c r="C333" s="1" t="n">
        <v>46033</v>
      </c>
      <c r="D333" t="inlineStr">
        <is>
          <t>NORRBOTTENS LÄN</t>
        </is>
      </c>
      <c r="E333" t="inlineStr">
        <is>
          <t>LULEÅ</t>
        </is>
      </c>
      <c r="G333" t="n">
        <v>15.1</v>
      </c>
      <c r="H333" t="n">
        <v>0</v>
      </c>
      <c r="I333" t="n">
        <v>0</v>
      </c>
      <c r="J333" t="n">
        <v>0</v>
      </c>
      <c r="K333" t="n">
        <v>0</v>
      </c>
      <c r="L333" t="n">
        <v>0</v>
      </c>
      <c r="M333" t="n">
        <v>0</v>
      </c>
      <c r="N333" t="n">
        <v>0</v>
      </c>
      <c r="O333" t="n">
        <v>0</v>
      </c>
      <c r="P333" t="n">
        <v>0</v>
      </c>
      <c r="Q333" t="n">
        <v>0</v>
      </c>
      <c r="R333" s="2" t="inlineStr"/>
    </row>
    <row r="334" ht="15" customHeight="1">
      <c r="A334" t="inlineStr">
        <is>
          <t>A 22017-2024</t>
        </is>
      </c>
      <c r="B334" s="1" t="n">
        <v>45443</v>
      </c>
      <c r="C334" s="1" t="n">
        <v>46033</v>
      </c>
      <c r="D334" t="inlineStr">
        <is>
          <t>NORRBOTTENS LÄN</t>
        </is>
      </c>
      <c r="E334" t="inlineStr">
        <is>
          <t>LULEÅ</t>
        </is>
      </c>
      <c r="G334" t="n">
        <v>0.2</v>
      </c>
      <c r="H334" t="n">
        <v>0</v>
      </c>
      <c r="I334" t="n">
        <v>0</v>
      </c>
      <c r="J334" t="n">
        <v>0</v>
      </c>
      <c r="K334" t="n">
        <v>0</v>
      </c>
      <c r="L334" t="n">
        <v>0</v>
      </c>
      <c r="M334" t="n">
        <v>0</v>
      </c>
      <c r="N334" t="n">
        <v>0</v>
      </c>
      <c r="O334" t="n">
        <v>0</v>
      </c>
      <c r="P334" t="n">
        <v>0</v>
      </c>
      <c r="Q334" t="n">
        <v>0</v>
      </c>
      <c r="R334" s="2" t="inlineStr"/>
    </row>
    <row r="335" ht="15" customHeight="1">
      <c r="A335" t="inlineStr">
        <is>
          <t>A 60369-2025</t>
        </is>
      </c>
      <c r="B335" s="1" t="n">
        <v>45995.34258101852</v>
      </c>
      <c r="C335" s="1" t="n">
        <v>46033</v>
      </c>
      <c r="D335" t="inlineStr">
        <is>
          <t>NORRBOTTENS LÄN</t>
        </is>
      </c>
      <c r="E335" t="inlineStr">
        <is>
          <t>LULEÅ</t>
        </is>
      </c>
      <c r="G335" t="n">
        <v>4.6</v>
      </c>
      <c r="H335" t="n">
        <v>0</v>
      </c>
      <c r="I335" t="n">
        <v>0</v>
      </c>
      <c r="J335" t="n">
        <v>0</v>
      </c>
      <c r="K335" t="n">
        <v>0</v>
      </c>
      <c r="L335" t="n">
        <v>0</v>
      </c>
      <c r="M335" t="n">
        <v>0</v>
      </c>
      <c r="N335" t="n">
        <v>0</v>
      </c>
      <c r="O335" t="n">
        <v>0</v>
      </c>
      <c r="P335" t="n">
        <v>0</v>
      </c>
      <c r="Q335" t="n">
        <v>0</v>
      </c>
      <c r="R335" s="2" t="inlineStr"/>
    </row>
    <row r="336" ht="15" customHeight="1">
      <c r="A336" t="inlineStr">
        <is>
          <t>A 47918-2024</t>
        </is>
      </c>
      <c r="B336" s="1" t="n">
        <v>45589.34434027778</v>
      </c>
      <c r="C336" s="1" t="n">
        <v>46033</v>
      </c>
      <c r="D336" t="inlineStr">
        <is>
          <t>NORRBOTTENS LÄN</t>
        </is>
      </c>
      <c r="E336" t="inlineStr">
        <is>
          <t>LULEÅ</t>
        </is>
      </c>
      <c r="F336" t="inlineStr">
        <is>
          <t>Naturvårdsverket</t>
        </is>
      </c>
      <c r="G336" t="n">
        <v>6.2</v>
      </c>
      <c r="H336" t="n">
        <v>0</v>
      </c>
      <c r="I336" t="n">
        <v>0</v>
      </c>
      <c r="J336" t="n">
        <v>0</v>
      </c>
      <c r="K336" t="n">
        <v>0</v>
      </c>
      <c r="L336" t="n">
        <v>0</v>
      </c>
      <c r="M336" t="n">
        <v>0</v>
      </c>
      <c r="N336" t="n">
        <v>0</v>
      </c>
      <c r="O336" t="n">
        <v>0</v>
      </c>
      <c r="P336" t="n">
        <v>0</v>
      </c>
      <c r="Q336" t="n">
        <v>0</v>
      </c>
      <c r="R336" s="2" t="inlineStr"/>
    </row>
    <row r="337" ht="15" customHeight="1">
      <c r="A337" t="inlineStr">
        <is>
          <t>A 25676-2024</t>
        </is>
      </c>
      <c r="B337" s="1" t="n">
        <v>45463</v>
      </c>
      <c r="C337" s="1" t="n">
        <v>46033</v>
      </c>
      <c r="D337" t="inlineStr">
        <is>
          <t>NORRBOTTENS LÄN</t>
        </is>
      </c>
      <c r="E337" t="inlineStr">
        <is>
          <t>LULEÅ</t>
        </is>
      </c>
      <c r="G337" t="n">
        <v>0.5</v>
      </c>
      <c r="H337" t="n">
        <v>0</v>
      </c>
      <c r="I337" t="n">
        <v>0</v>
      </c>
      <c r="J337" t="n">
        <v>0</v>
      </c>
      <c r="K337" t="n">
        <v>0</v>
      </c>
      <c r="L337" t="n">
        <v>0</v>
      </c>
      <c r="M337" t="n">
        <v>0</v>
      </c>
      <c r="N337" t="n">
        <v>0</v>
      </c>
      <c r="O337" t="n">
        <v>0</v>
      </c>
      <c r="P337" t="n">
        <v>0</v>
      </c>
      <c r="Q337" t="n">
        <v>0</v>
      </c>
      <c r="R337" s="2" t="inlineStr"/>
    </row>
    <row r="338" ht="15" customHeight="1">
      <c r="A338" t="inlineStr">
        <is>
          <t>A 26594-2024</t>
        </is>
      </c>
      <c r="B338" s="1" t="n">
        <v>45469.68552083334</v>
      </c>
      <c r="C338" s="1" t="n">
        <v>46033</v>
      </c>
      <c r="D338" t="inlineStr">
        <is>
          <t>NORRBOTTENS LÄN</t>
        </is>
      </c>
      <c r="E338" t="inlineStr">
        <is>
          <t>LULEÅ</t>
        </is>
      </c>
      <c r="G338" t="n">
        <v>2.3</v>
      </c>
      <c r="H338" t="n">
        <v>0</v>
      </c>
      <c r="I338" t="n">
        <v>0</v>
      </c>
      <c r="J338" t="n">
        <v>0</v>
      </c>
      <c r="K338" t="n">
        <v>0</v>
      </c>
      <c r="L338" t="n">
        <v>0</v>
      </c>
      <c r="M338" t="n">
        <v>0</v>
      </c>
      <c r="N338" t="n">
        <v>0</v>
      </c>
      <c r="O338" t="n">
        <v>0</v>
      </c>
      <c r="P338" t="n">
        <v>0</v>
      </c>
      <c r="Q338" t="n">
        <v>0</v>
      </c>
      <c r="R338" s="2" t="inlineStr"/>
    </row>
    <row r="339" ht="15" customHeight="1">
      <c r="A339" t="inlineStr">
        <is>
          <t>A 58547-2024</t>
        </is>
      </c>
      <c r="B339" s="1" t="n">
        <v>45635.45822916667</v>
      </c>
      <c r="C339" s="1" t="n">
        <v>46033</v>
      </c>
      <c r="D339" t="inlineStr">
        <is>
          <t>NORRBOTTENS LÄN</t>
        </is>
      </c>
      <c r="E339" t="inlineStr">
        <is>
          <t>LULEÅ</t>
        </is>
      </c>
      <c r="G339" t="n">
        <v>8</v>
      </c>
      <c r="H339" t="n">
        <v>0</v>
      </c>
      <c r="I339" t="n">
        <v>0</v>
      </c>
      <c r="J339" t="n">
        <v>0</v>
      </c>
      <c r="K339" t="n">
        <v>0</v>
      </c>
      <c r="L339" t="n">
        <v>0</v>
      </c>
      <c r="M339" t="n">
        <v>0</v>
      </c>
      <c r="N339" t="n">
        <v>0</v>
      </c>
      <c r="O339" t="n">
        <v>0</v>
      </c>
      <c r="P339" t="n">
        <v>0</v>
      </c>
      <c r="Q339" t="n">
        <v>0</v>
      </c>
      <c r="R339" s="2" t="inlineStr"/>
    </row>
    <row r="340" ht="15" customHeight="1">
      <c r="A340" t="inlineStr">
        <is>
          <t>A 5822-2025</t>
        </is>
      </c>
      <c r="B340" s="1" t="n">
        <v>45694</v>
      </c>
      <c r="C340" s="1" t="n">
        <v>46033</v>
      </c>
      <c r="D340" t="inlineStr">
        <is>
          <t>NORRBOTTENS LÄN</t>
        </is>
      </c>
      <c r="E340" t="inlineStr">
        <is>
          <t>LULEÅ</t>
        </is>
      </c>
      <c r="G340" t="n">
        <v>2.5</v>
      </c>
      <c r="H340" t="n">
        <v>0</v>
      </c>
      <c r="I340" t="n">
        <v>0</v>
      </c>
      <c r="J340" t="n">
        <v>0</v>
      </c>
      <c r="K340" t="n">
        <v>0</v>
      </c>
      <c r="L340" t="n">
        <v>0</v>
      </c>
      <c r="M340" t="n">
        <v>0</v>
      </c>
      <c r="N340" t="n">
        <v>0</v>
      </c>
      <c r="O340" t="n">
        <v>0</v>
      </c>
      <c r="P340" t="n">
        <v>0</v>
      </c>
      <c r="Q340" t="n">
        <v>0</v>
      </c>
      <c r="R340" s="2" t="inlineStr"/>
    </row>
    <row r="341" ht="15" customHeight="1">
      <c r="A341" t="inlineStr">
        <is>
          <t>A 32223-2025</t>
        </is>
      </c>
      <c r="B341" s="1" t="n">
        <v>45835.59313657408</v>
      </c>
      <c r="C341" s="1" t="n">
        <v>46033</v>
      </c>
      <c r="D341" t="inlineStr">
        <is>
          <t>NORRBOTTENS LÄN</t>
        </is>
      </c>
      <c r="E341" t="inlineStr">
        <is>
          <t>LULEÅ</t>
        </is>
      </c>
      <c r="G341" t="n">
        <v>6.3</v>
      </c>
      <c r="H341" t="n">
        <v>0</v>
      </c>
      <c r="I341" t="n">
        <v>0</v>
      </c>
      <c r="J341" t="n">
        <v>0</v>
      </c>
      <c r="K341" t="n">
        <v>0</v>
      </c>
      <c r="L341" t="n">
        <v>0</v>
      </c>
      <c r="M341" t="n">
        <v>0</v>
      </c>
      <c r="N341" t="n">
        <v>0</v>
      </c>
      <c r="O341" t="n">
        <v>0</v>
      </c>
      <c r="P341" t="n">
        <v>0</v>
      </c>
      <c r="Q341" t="n">
        <v>0</v>
      </c>
      <c r="R341" s="2" t="inlineStr"/>
    </row>
    <row r="342" ht="15" customHeight="1">
      <c r="A342" t="inlineStr">
        <is>
          <t>A 32255-2025</t>
        </is>
      </c>
      <c r="B342" s="1" t="n">
        <v>45835.63332175926</v>
      </c>
      <c r="C342" s="1" t="n">
        <v>46033</v>
      </c>
      <c r="D342" t="inlineStr">
        <is>
          <t>NORRBOTTENS LÄN</t>
        </is>
      </c>
      <c r="E342" t="inlineStr">
        <is>
          <t>LULEÅ</t>
        </is>
      </c>
      <c r="G342" t="n">
        <v>1.6</v>
      </c>
      <c r="H342" t="n">
        <v>0</v>
      </c>
      <c r="I342" t="n">
        <v>0</v>
      </c>
      <c r="J342" t="n">
        <v>0</v>
      </c>
      <c r="K342" t="n">
        <v>0</v>
      </c>
      <c r="L342" t="n">
        <v>0</v>
      </c>
      <c r="M342" t="n">
        <v>0</v>
      </c>
      <c r="N342" t="n">
        <v>0</v>
      </c>
      <c r="O342" t="n">
        <v>0</v>
      </c>
      <c r="P342" t="n">
        <v>0</v>
      </c>
      <c r="Q342" t="n">
        <v>0</v>
      </c>
      <c r="R342" s="2" t="inlineStr"/>
    </row>
    <row r="343" ht="15" customHeight="1">
      <c r="A343" t="inlineStr">
        <is>
          <t>A 42024-2024</t>
        </is>
      </c>
      <c r="B343" s="1" t="n">
        <v>45561.72005787037</v>
      </c>
      <c r="C343" s="1" t="n">
        <v>46033</v>
      </c>
      <c r="D343" t="inlineStr">
        <is>
          <t>NORRBOTTENS LÄN</t>
        </is>
      </c>
      <c r="E343" t="inlineStr">
        <is>
          <t>LULEÅ</t>
        </is>
      </c>
      <c r="G343" t="n">
        <v>1.4</v>
      </c>
      <c r="H343" t="n">
        <v>0</v>
      </c>
      <c r="I343" t="n">
        <v>0</v>
      </c>
      <c r="J343" t="n">
        <v>0</v>
      </c>
      <c r="K343" t="n">
        <v>0</v>
      </c>
      <c r="L343" t="n">
        <v>0</v>
      </c>
      <c r="M343" t="n">
        <v>0</v>
      </c>
      <c r="N343" t="n">
        <v>0</v>
      </c>
      <c r="O343" t="n">
        <v>0</v>
      </c>
      <c r="P343" t="n">
        <v>0</v>
      </c>
      <c r="Q343" t="n">
        <v>0</v>
      </c>
      <c r="R343" s="2" t="inlineStr"/>
    </row>
    <row r="344" ht="15" customHeight="1">
      <c r="A344" t="inlineStr">
        <is>
          <t>A 32127-2025</t>
        </is>
      </c>
      <c r="B344" s="1" t="n">
        <v>45835.49930555555</v>
      </c>
      <c r="C344" s="1" t="n">
        <v>46033</v>
      </c>
      <c r="D344" t="inlineStr">
        <is>
          <t>NORRBOTTENS LÄN</t>
        </is>
      </c>
      <c r="E344" t="inlineStr">
        <is>
          <t>LULEÅ</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18166-2023</t>
        </is>
      </c>
      <c r="B345" s="1" t="n">
        <v>45040.94335648148</v>
      </c>
      <c r="C345" s="1" t="n">
        <v>46033</v>
      </c>
      <c r="D345" t="inlineStr">
        <is>
          <t>NORRBOTTENS LÄN</t>
        </is>
      </c>
      <c r="E345" t="inlineStr">
        <is>
          <t>LULEÅ</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47512-2025</t>
        </is>
      </c>
      <c r="B346" s="1" t="n">
        <v>45930</v>
      </c>
      <c r="C346" s="1" t="n">
        <v>46033</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31620-2025</t>
        </is>
      </c>
      <c r="B347" s="1" t="n">
        <v>45833.87428240741</v>
      </c>
      <c r="C347" s="1" t="n">
        <v>46033</v>
      </c>
      <c r="D347" t="inlineStr">
        <is>
          <t>NORRBOTTENS LÄN</t>
        </is>
      </c>
      <c r="E347" t="inlineStr">
        <is>
          <t>LULEÅ</t>
        </is>
      </c>
      <c r="G347" t="n">
        <v>7.7</v>
      </c>
      <c r="H347" t="n">
        <v>0</v>
      </c>
      <c r="I347" t="n">
        <v>0</v>
      </c>
      <c r="J347" t="n">
        <v>0</v>
      </c>
      <c r="K347" t="n">
        <v>0</v>
      </c>
      <c r="L347" t="n">
        <v>0</v>
      </c>
      <c r="M347" t="n">
        <v>0</v>
      </c>
      <c r="N347" t="n">
        <v>0</v>
      </c>
      <c r="O347" t="n">
        <v>0</v>
      </c>
      <c r="P347" t="n">
        <v>0</v>
      </c>
      <c r="Q347" t="n">
        <v>0</v>
      </c>
      <c r="R347" s="2" t="inlineStr"/>
    </row>
    <row r="348" ht="15" customHeight="1">
      <c r="A348" t="inlineStr">
        <is>
          <t>A 32154-2025</t>
        </is>
      </c>
      <c r="B348" s="1" t="n">
        <v>45835.53480324074</v>
      </c>
      <c r="C348" s="1" t="n">
        <v>46033</v>
      </c>
      <c r="D348" t="inlineStr">
        <is>
          <t>NORRBOTTENS LÄN</t>
        </is>
      </c>
      <c r="E348" t="inlineStr">
        <is>
          <t>LULEÅ</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17897-2025</t>
        </is>
      </c>
      <c r="B349" s="1" t="n">
        <v>45758.69814814815</v>
      </c>
      <c r="C349" s="1" t="n">
        <v>46033</v>
      </c>
      <c r="D349" t="inlineStr">
        <is>
          <t>NORRBOTTENS LÄN</t>
        </is>
      </c>
      <c r="E349" t="inlineStr">
        <is>
          <t>LULEÅ</t>
        </is>
      </c>
      <c r="G349" t="n">
        <v>9.9</v>
      </c>
      <c r="H349" t="n">
        <v>0</v>
      </c>
      <c r="I349" t="n">
        <v>0</v>
      </c>
      <c r="J349" t="n">
        <v>0</v>
      </c>
      <c r="K349" t="n">
        <v>0</v>
      </c>
      <c r="L349" t="n">
        <v>0</v>
      </c>
      <c r="M349" t="n">
        <v>0</v>
      </c>
      <c r="N349" t="n">
        <v>0</v>
      </c>
      <c r="O349" t="n">
        <v>0</v>
      </c>
      <c r="P349" t="n">
        <v>0</v>
      </c>
      <c r="Q349" t="n">
        <v>0</v>
      </c>
      <c r="R349" s="2" t="inlineStr"/>
    </row>
    <row r="350" ht="15" customHeight="1">
      <c r="A350" t="inlineStr">
        <is>
          <t>A 47888-2025</t>
        </is>
      </c>
      <c r="B350" s="1" t="n">
        <v>45932.46949074074</v>
      </c>
      <c r="C350" s="1" t="n">
        <v>46033</v>
      </c>
      <c r="D350" t="inlineStr">
        <is>
          <t>NORRBOTTENS LÄN</t>
        </is>
      </c>
      <c r="E350" t="inlineStr">
        <is>
          <t>LULEÅ</t>
        </is>
      </c>
      <c r="G350" t="n">
        <v>3.5</v>
      </c>
      <c r="H350" t="n">
        <v>0</v>
      </c>
      <c r="I350" t="n">
        <v>0</v>
      </c>
      <c r="J350" t="n">
        <v>0</v>
      </c>
      <c r="K350" t="n">
        <v>0</v>
      </c>
      <c r="L350" t="n">
        <v>0</v>
      </c>
      <c r="M350" t="n">
        <v>0</v>
      </c>
      <c r="N350" t="n">
        <v>0</v>
      </c>
      <c r="O350" t="n">
        <v>0</v>
      </c>
      <c r="P350" t="n">
        <v>0</v>
      </c>
      <c r="Q350" t="n">
        <v>0</v>
      </c>
      <c r="R350" s="2" t="inlineStr"/>
    </row>
    <row r="351" ht="15" customHeight="1">
      <c r="A351" t="inlineStr">
        <is>
          <t>A 32264-2025</t>
        </is>
      </c>
      <c r="B351" s="1" t="n">
        <v>45835.64934027778</v>
      </c>
      <c r="C351" s="1" t="n">
        <v>46033</v>
      </c>
      <c r="D351" t="inlineStr">
        <is>
          <t>NORRBOTTENS LÄN</t>
        </is>
      </c>
      <c r="E351" t="inlineStr">
        <is>
          <t>LULEÅ</t>
        </is>
      </c>
      <c r="G351" t="n">
        <v>1</v>
      </c>
      <c r="H351" t="n">
        <v>0</v>
      </c>
      <c r="I351" t="n">
        <v>0</v>
      </c>
      <c r="J351" t="n">
        <v>0</v>
      </c>
      <c r="K351" t="n">
        <v>0</v>
      </c>
      <c r="L351" t="n">
        <v>0</v>
      </c>
      <c r="M351" t="n">
        <v>0</v>
      </c>
      <c r="N351" t="n">
        <v>0</v>
      </c>
      <c r="O351" t="n">
        <v>0</v>
      </c>
      <c r="P351" t="n">
        <v>0</v>
      </c>
      <c r="Q351" t="n">
        <v>0</v>
      </c>
      <c r="R351" s="2" t="inlineStr"/>
    </row>
    <row r="352" ht="15" customHeight="1">
      <c r="A352" t="inlineStr">
        <is>
          <t>A 32253-2025</t>
        </is>
      </c>
      <c r="B352" s="1" t="n">
        <v>45835.63008101852</v>
      </c>
      <c r="C352" s="1" t="n">
        <v>46033</v>
      </c>
      <c r="D352" t="inlineStr">
        <is>
          <t>NORRBOTTENS LÄN</t>
        </is>
      </c>
      <c r="E352" t="inlineStr">
        <is>
          <t>LULEÅ</t>
        </is>
      </c>
      <c r="G352" t="n">
        <v>7.4</v>
      </c>
      <c r="H352" t="n">
        <v>0</v>
      </c>
      <c r="I352" t="n">
        <v>0</v>
      </c>
      <c r="J352" t="n">
        <v>0</v>
      </c>
      <c r="K352" t="n">
        <v>0</v>
      </c>
      <c r="L352" t="n">
        <v>0</v>
      </c>
      <c r="M352" t="n">
        <v>0</v>
      </c>
      <c r="N352" t="n">
        <v>0</v>
      </c>
      <c r="O352" t="n">
        <v>0</v>
      </c>
      <c r="P352" t="n">
        <v>0</v>
      </c>
      <c r="Q352" t="n">
        <v>0</v>
      </c>
      <c r="R352" s="2" t="inlineStr"/>
    </row>
    <row r="353" ht="15" customHeight="1">
      <c r="A353" t="inlineStr">
        <is>
          <t>A 656-2025</t>
        </is>
      </c>
      <c r="B353" s="1" t="n">
        <v>45661</v>
      </c>
      <c r="C353" s="1" t="n">
        <v>46033</v>
      </c>
      <c r="D353" t="inlineStr">
        <is>
          <t>NORRBOTTENS LÄN</t>
        </is>
      </c>
      <c r="E353" t="inlineStr">
        <is>
          <t>LULEÅ</t>
        </is>
      </c>
      <c r="G353" t="n">
        <v>0.8</v>
      </c>
      <c r="H353" t="n">
        <v>0</v>
      </c>
      <c r="I353" t="n">
        <v>0</v>
      </c>
      <c r="J353" t="n">
        <v>0</v>
      </c>
      <c r="K353" t="n">
        <v>0</v>
      </c>
      <c r="L353" t="n">
        <v>0</v>
      </c>
      <c r="M353" t="n">
        <v>0</v>
      </c>
      <c r="N353" t="n">
        <v>0</v>
      </c>
      <c r="O353" t="n">
        <v>0</v>
      </c>
      <c r="P353" t="n">
        <v>0</v>
      </c>
      <c r="Q353" t="n">
        <v>0</v>
      </c>
      <c r="R353" s="2" t="inlineStr"/>
    </row>
    <row r="354" ht="15" customHeight="1">
      <c r="A354" t="inlineStr">
        <is>
          <t>A 1058-2025</t>
        </is>
      </c>
      <c r="B354" s="1" t="n">
        <v>45665</v>
      </c>
      <c r="C354" s="1" t="n">
        <v>46033</v>
      </c>
      <c r="D354" t="inlineStr">
        <is>
          <t>NORRBOTTENS LÄN</t>
        </is>
      </c>
      <c r="E354" t="inlineStr">
        <is>
          <t>LULEÅ</t>
        </is>
      </c>
      <c r="G354" t="n">
        <v>2.1</v>
      </c>
      <c r="H354" t="n">
        <v>0</v>
      </c>
      <c r="I354" t="n">
        <v>0</v>
      </c>
      <c r="J354" t="n">
        <v>0</v>
      </c>
      <c r="K354" t="n">
        <v>0</v>
      </c>
      <c r="L354" t="n">
        <v>0</v>
      </c>
      <c r="M354" t="n">
        <v>0</v>
      </c>
      <c r="N354" t="n">
        <v>0</v>
      </c>
      <c r="O354" t="n">
        <v>0</v>
      </c>
      <c r="P354" t="n">
        <v>0</v>
      </c>
      <c r="Q354" t="n">
        <v>0</v>
      </c>
      <c r="R354" s="2" t="inlineStr"/>
    </row>
    <row r="355" ht="15" customHeight="1">
      <c r="A355" t="inlineStr">
        <is>
          <t>A 25578-2024</t>
        </is>
      </c>
      <c r="B355" s="1" t="n">
        <v>45463</v>
      </c>
      <c r="C355" s="1" t="n">
        <v>46033</v>
      </c>
      <c r="D355" t="inlineStr">
        <is>
          <t>NORRBOTTENS LÄN</t>
        </is>
      </c>
      <c r="E355" t="inlineStr">
        <is>
          <t>LULEÅ</t>
        </is>
      </c>
      <c r="G355" t="n">
        <v>7.9</v>
      </c>
      <c r="H355" t="n">
        <v>0</v>
      </c>
      <c r="I355" t="n">
        <v>0</v>
      </c>
      <c r="J355" t="n">
        <v>0</v>
      </c>
      <c r="K355" t="n">
        <v>0</v>
      </c>
      <c r="L355" t="n">
        <v>0</v>
      </c>
      <c r="M355" t="n">
        <v>0</v>
      </c>
      <c r="N355" t="n">
        <v>0</v>
      </c>
      <c r="O355" t="n">
        <v>0</v>
      </c>
      <c r="P355" t="n">
        <v>0</v>
      </c>
      <c r="Q355" t="n">
        <v>0</v>
      </c>
      <c r="R355" s="2" t="inlineStr"/>
    </row>
    <row r="356" ht="15" customHeight="1">
      <c r="A356" t="inlineStr">
        <is>
          <t>A 60001-2025</t>
        </is>
      </c>
      <c r="B356" s="1" t="n">
        <v>45992</v>
      </c>
      <c r="C356" s="1" t="n">
        <v>46033</v>
      </c>
      <c r="D356" t="inlineStr">
        <is>
          <t>NORRBOTTENS LÄN</t>
        </is>
      </c>
      <c r="E356" t="inlineStr">
        <is>
          <t>LULEÅ</t>
        </is>
      </c>
      <c r="G356" t="n">
        <v>1.6</v>
      </c>
      <c r="H356" t="n">
        <v>0</v>
      </c>
      <c r="I356" t="n">
        <v>0</v>
      </c>
      <c r="J356" t="n">
        <v>0</v>
      </c>
      <c r="K356" t="n">
        <v>0</v>
      </c>
      <c r="L356" t="n">
        <v>0</v>
      </c>
      <c r="M356" t="n">
        <v>0</v>
      </c>
      <c r="N356" t="n">
        <v>0</v>
      </c>
      <c r="O356" t="n">
        <v>0</v>
      </c>
      <c r="P356" t="n">
        <v>0</v>
      </c>
      <c r="Q356" t="n">
        <v>0</v>
      </c>
      <c r="R356" s="2" t="inlineStr"/>
    </row>
    <row r="357" ht="15" customHeight="1">
      <c r="A357" t="inlineStr">
        <is>
          <t>A 52688-2025</t>
        </is>
      </c>
      <c r="B357" s="1" t="n">
        <v>45956.38578703703</v>
      </c>
      <c r="C357" s="1" t="n">
        <v>46033</v>
      </c>
      <c r="D357" t="inlineStr">
        <is>
          <t>NORRBOTTENS LÄN</t>
        </is>
      </c>
      <c r="E357" t="inlineStr">
        <is>
          <t>LULEÅ</t>
        </is>
      </c>
      <c r="F357" t="inlineStr">
        <is>
          <t>SCA</t>
        </is>
      </c>
      <c r="G357" t="n">
        <v>4.6</v>
      </c>
      <c r="H357" t="n">
        <v>0</v>
      </c>
      <c r="I357" t="n">
        <v>0</v>
      </c>
      <c r="J357" t="n">
        <v>0</v>
      </c>
      <c r="K357" t="n">
        <v>0</v>
      </c>
      <c r="L357" t="n">
        <v>0</v>
      </c>
      <c r="M357" t="n">
        <v>0</v>
      </c>
      <c r="N357" t="n">
        <v>0</v>
      </c>
      <c r="O357" t="n">
        <v>0</v>
      </c>
      <c r="P357" t="n">
        <v>0</v>
      </c>
      <c r="Q357" t="n">
        <v>0</v>
      </c>
      <c r="R357" s="2" t="inlineStr"/>
    </row>
    <row r="358" ht="15" customHeight="1">
      <c r="A358" t="inlineStr">
        <is>
          <t>A 32260-2025</t>
        </is>
      </c>
      <c r="B358" s="1" t="n">
        <v>45835.64260416666</v>
      </c>
      <c r="C358" s="1" t="n">
        <v>46033</v>
      </c>
      <c r="D358" t="inlineStr">
        <is>
          <t>NORRBOTTENS LÄN</t>
        </is>
      </c>
      <c r="E358" t="inlineStr">
        <is>
          <t>LULEÅ</t>
        </is>
      </c>
      <c r="G358" t="n">
        <v>0.7</v>
      </c>
      <c r="H358" t="n">
        <v>0</v>
      </c>
      <c r="I358" t="n">
        <v>0</v>
      </c>
      <c r="J358" t="n">
        <v>0</v>
      </c>
      <c r="K358" t="n">
        <v>0</v>
      </c>
      <c r="L358" t="n">
        <v>0</v>
      </c>
      <c r="M358" t="n">
        <v>0</v>
      </c>
      <c r="N358" t="n">
        <v>0</v>
      </c>
      <c r="O358" t="n">
        <v>0</v>
      </c>
      <c r="P358" t="n">
        <v>0</v>
      </c>
      <c r="Q358" t="n">
        <v>0</v>
      </c>
      <c r="R358" s="2" t="inlineStr"/>
    </row>
    <row r="359" ht="15" customHeight="1">
      <c r="A359" t="inlineStr">
        <is>
          <t>A 42133-2021</t>
        </is>
      </c>
      <c r="B359" s="1" t="n">
        <v>44426</v>
      </c>
      <c r="C359" s="1" t="n">
        <v>46033</v>
      </c>
      <c r="D359" t="inlineStr">
        <is>
          <t>NORRBOTTENS LÄN</t>
        </is>
      </c>
      <c r="E359" t="inlineStr">
        <is>
          <t>LULEÅ</t>
        </is>
      </c>
      <c r="G359" t="n">
        <v>1.3</v>
      </c>
      <c r="H359" t="n">
        <v>0</v>
      </c>
      <c r="I359" t="n">
        <v>0</v>
      </c>
      <c r="J359" t="n">
        <v>0</v>
      </c>
      <c r="K359" t="n">
        <v>0</v>
      </c>
      <c r="L359" t="n">
        <v>0</v>
      </c>
      <c r="M359" t="n">
        <v>0</v>
      </c>
      <c r="N359" t="n">
        <v>0</v>
      </c>
      <c r="O359" t="n">
        <v>0</v>
      </c>
      <c r="P359" t="n">
        <v>0</v>
      </c>
      <c r="Q359" t="n">
        <v>0</v>
      </c>
      <c r="R359" s="2" t="inlineStr"/>
    </row>
    <row r="360" ht="15" customHeight="1">
      <c r="A360" t="inlineStr">
        <is>
          <t>A 47849-2025</t>
        </is>
      </c>
      <c r="B360" s="1" t="n">
        <v>45932.38608796296</v>
      </c>
      <c r="C360" s="1" t="n">
        <v>46033</v>
      </c>
      <c r="D360" t="inlineStr">
        <is>
          <t>NORRBOTTENS LÄN</t>
        </is>
      </c>
      <c r="E360" t="inlineStr">
        <is>
          <t>LULEÅ</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47928-2025</t>
        </is>
      </c>
      <c r="B361" s="1" t="n">
        <v>45932.54988425926</v>
      </c>
      <c r="C361" s="1" t="n">
        <v>46033</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47937-2025</t>
        </is>
      </c>
      <c r="B362" s="1" t="n">
        <v>45932.56042824074</v>
      </c>
      <c r="C362" s="1" t="n">
        <v>46033</v>
      </c>
      <c r="D362" t="inlineStr">
        <is>
          <t>NORRBOTTENS LÄN</t>
        </is>
      </c>
      <c r="E362" t="inlineStr">
        <is>
          <t>LULEÅ</t>
        </is>
      </c>
      <c r="G362" t="n">
        <v>7</v>
      </c>
      <c r="H362" t="n">
        <v>0</v>
      </c>
      <c r="I362" t="n">
        <v>0</v>
      </c>
      <c r="J362" t="n">
        <v>0</v>
      </c>
      <c r="K362" t="n">
        <v>0</v>
      </c>
      <c r="L362" t="n">
        <v>0</v>
      </c>
      <c r="M362" t="n">
        <v>0</v>
      </c>
      <c r="N362" t="n">
        <v>0</v>
      </c>
      <c r="O362" t="n">
        <v>0</v>
      </c>
      <c r="P362" t="n">
        <v>0</v>
      </c>
      <c r="Q362" t="n">
        <v>0</v>
      </c>
      <c r="R362" s="2" t="inlineStr"/>
    </row>
    <row r="363" ht="15" customHeight="1">
      <c r="A363" t="inlineStr">
        <is>
          <t>A 48726-2025</t>
        </is>
      </c>
      <c r="B363" s="1" t="n">
        <v>45936.65599537037</v>
      </c>
      <c r="C363" s="1" t="n">
        <v>46033</v>
      </c>
      <c r="D363" t="inlineStr">
        <is>
          <t>NORRBOTTENS LÄN</t>
        </is>
      </c>
      <c r="E363" t="inlineStr">
        <is>
          <t>LULEÅ</t>
        </is>
      </c>
      <c r="G363" t="n">
        <v>4.9</v>
      </c>
      <c r="H363" t="n">
        <v>0</v>
      </c>
      <c r="I363" t="n">
        <v>0</v>
      </c>
      <c r="J363" t="n">
        <v>0</v>
      </c>
      <c r="K363" t="n">
        <v>0</v>
      </c>
      <c r="L363" t="n">
        <v>0</v>
      </c>
      <c r="M363" t="n">
        <v>0</v>
      </c>
      <c r="N363" t="n">
        <v>0</v>
      </c>
      <c r="O363" t="n">
        <v>0</v>
      </c>
      <c r="P363" t="n">
        <v>0</v>
      </c>
      <c r="Q363" t="n">
        <v>0</v>
      </c>
      <c r="R363" s="2" t="inlineStr"/>
    </row>
    <row r="364" ht="15" customHeight="1">
      <c r="A364" t="inlineStr">
        <is>
          <t>A 32460-2025</t>
        </is>
      </c>
      <c r="B364" s="1" t="n">
        <v>45838.41540509259</v>
      </c>
      <c r="C364" s="1" t="n">
        <v>46033</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48714-2025</t>
        </is>
      </c>
      <c r="B365" s="1" t="n">
        <v>45936.63619212963</v>
      </c>
      <c r="C365" s="1" t="n">
        <v>46033</v>
      </c>
      <c r="D365" t="inlineStr">
        <is>
          <t>NORRBOTTENS LÄN</t>
        </is>
      </c>
      <c r="E365" t="inlineStr">
        <is>
          <t>LULEÅ</t>
        </is>
      </c>
      <c r="G365" t="n">
        <v>3.3</v>
      </c>
      <c r="H365" t="n">
        <v>0</v>
      </c>
      <c r="I365" t="n">
        <v>0</v>
      </c>
      <c r="J365" t="n">
        <v>0</v>
      </c>
      <c r="K365" t="n">
        <v>0</v>
      </c>
      <c r="L365" t="n">
        <v>0</v>
      </c>
      <c r="M365" t="n">
        <v>0</v>
      </c>
      <c r="N365" t="n">
        <v>0</v>
      </c>
      <c r="O365" t="n">
        <v>0</v>
      </c>
      <c r="P365" t="n">
        <v>0</v>
      </c>
      <c r="Q365" t="n">
        <v>0</v>
      </c>
      <c r="R365" s="2" t="inlineStr"/>
    </row>
    <row r="366" ht="15" customHeight="1">
      <c r="A366" t="inlineStr">
        <is>
          <t>A 42753-2022</t>
        </is>
      </c>
      <c r="B366" s="1" t="n">
        <v>44832</v>
      </c>
      <c r="C366" s="1" t="n">
        <v>46033</v>
      </c>
      <c r="D366" t="inlineStr">
        <is>
          <t>NORRBOTTENS LÄN</t>
        </is>
      </c>
      <c r="E366" t="inlineStr">
        <is>
          <t>LULEÅ</t>
        </is>
      </c>
      <c r="G366" t="n">
        <v>10.8</v>
      </c>
      <c r="H366" t="n">
        <v>0</v>
      </c>
      <c r="I366" t="n">
        <v>0</v>
      </c>
      <c r="J366" t="n">
        <v>0</v>
      </c>
      <c r="K366" t="n">
        <v>0</v>
      </c>
      <c r="L366" t="n">
        <v>0</v>
      </c>
      <c r="M366" t="n">
        <v>0</v>
      </c>
      <c r="N366" t="n">
        <v>0</v>
      </c>
      <c r="O366" t="n">
        <v>0</v>
      </c>
      <c r="P366" t="n">
        <v>0</v>
      </c>
      <c r="Q366" t="n">
        <v>0</v>
      </c>
      <c r="R366" s="2" t="inlineStr"/>
    </row>
    <row r="367" ht="15" customHeight="1">
      <c r="A367" t="inlineStr">
        <is>
          <t>A 51108-2024</t>
        </is>
      </c>
      <c r="B367" s="1" t="n">
        <v>45603.49142361111</v>
      </c>
      <c r="C367" s="1" t="n">
        <v>46033</v>
      </c>
      <c r="D367" t="inlineStr">
        <is>
          <t>NORRBOTTENS LÄN</t>
        </is>
      </c>
      <c r="E367" t="inlineStr">
        <is>
          <t>LULEÅ</t>
        </is>
      </c>
      <c r="G367" t="n">
        <v>3.8</v>
      </c>
      <c r="H367" t="n">
        <v>0</v>
      </c>
      <c r="I367" t="n">
        <v>0</v>
      </c>
      <c r="J367" t="n">
        <v>0</v>
      </c>
      <c r="K367" t="n">
        <v>0</v>
      </c>
      <c r="L367" t="n">
        <v>0</v>
      </c>
      <c r="M367" t="n">
        <v>0</v>
      </c>
      <c r="N367" t="n">
        <v>0</v>
      </c>
      <c r="O367" t="n">
        <v>0</v>
      </c>
      <c r="P367" t="n">
        <v>0</v>
      </c>
      <c r="Q367" t="n">
        <v>0</v>
      </c>
      <c r="R367" s="2" t="inlineStr"/>
    </row>
    <row r="368" ht="15" customHeight="1">
      <c r="A368" t="inlineStr">
        <is>
          <t>A 32462-2025</t>
        </is>
      </c>
      <c r="B368" s="1" t="n">
        <v>45838.41660879629</v>
      </c>
      <c r="C368" s="1" t="n">
        <v>46033</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30120-2025</t>
        </is>
      </c>
      <c r="B369" s="1" t="n">
        <v>45826</v>
      </c>
      <c r="C369" s="1" t="n">
        <v>46033</v>
      </c>
      <c r="D369" t="inlineStr">
        <is>
          <t>NORRBOTTENS LÄN</t>
        </is>
      </c>
      <c r="E369" t="inlineStr">
        <is>
          <t>LULEÅ</t>
        </is>
      </c>
      <c r="G369" t="n">
        <v>1.1</v>
      </c>
      <c r="H369" t="n">
        <v>0</v>
      </c>
      <c r="I369" t="n">
        <v>0</v>
      </c>
      <c r="J369" t="n">
        <v>0</v>
      </c>
      <c r="K369" t="n">
        <v>0</v>
      </c>
      <c r="L369" t="n">
        <v>0</v>
      </c>
      <c r="M369" t="n">
        <v>0</v>
      </c>
      <c r="N369" t="n">
        <v>0</v>
      </c>
      <c r="O369" t="n">
        <v>0</v>
      </c>
      <c r="P369" t="n">
        <v>0</v>
      </c>
      <c r="Q369" t="n">
        <v>0</v>
      </c>
      <c r="R369" s="2" t="inlineStr"/>
      <c r="U369">
        <f>HYPERLINK("https://klasma.github.io/Logging_2580/knärot/A 30120-2025 karta knärot.png", "A 30120-2025")</f>
        <v/>
      </c>
      <c r="V369">
        <f>HYPERLINK("https://klasma.github.io/Logging_2580/klagomål/A 30120-2025 FSC-klagomål.docx", "A 30120-2025")</f>
        <v/>
      </c>
      <c r="W369">
        <f>HYPERLINK("https://klasma.github.io/Logging_2580/klagomålsmail/A 30120-2025 FSC-klagomål mail.docx", "A 30120-2025")</f>
        <v/>
      </c>
      <c r="X369">
        <f>HYPERLINK("https://klasma.github.io/Logging_2580/tillsyn/A 30120-2025 tillsynsbegäran.docx", "A 30120-2025")</f>
        <v/>
      </c>
      <c r="Y369">
        <f>HYPERLINK("https://klasma.github.io/Logging_2580/tillsynsmail/A 30120-2025 tillsynsbegäran mail.docx", "A 30120-2025")</f>
        <v/>
      </c>
    </row>
    <row r="370" ht="15" customHeight="1">
      <c r="A370" t="inlineStr">
        <is>
          <t>A 48547-2025</t>
        </is>
      </c>
      <c r="B370" s="1" t="n">
        <v>45936.42197916667</v>
      </c>
      <c r="C370" s="1" t="n">
        <v>46033</v>
      </c>
      <c r="D370" t="inlineStr">
        <is>
          <t>NORRBOTTENS LÄN</t>
        </is>
      </c>
      <c r="E370" t="inlineStr">
        <is>
          <t>LULEÅ</t>
        </is>
      </c>
      <c r="G370" t="n">
        <v>2.5</v>
      </c>
      <c r="H370" t="n">
        <v>0</v>
      </c>
      <c r="I370" t="n">
        <v>0</v>
      </c>
      <c r="J370" t="n">
        <v>0</v>
      </c>
      <c r="K370" t="n">
        <v>0</v>
      </c>
      <c r="L370" t="n">
        <v>0</v>
      </c>
      <c r="M370" t="n">
        <v>0</v>
      </c>
      <c r="N370" t="n">
        <v>0</v>
      </c>
      <c r="O370" t="n">
        <v>0</v>
      </c>
      <c r="P370" t="n">
        <v>0</v>
      </c>
      <c r="Q370" t="n">
        <v>0</v>
      </c>
      <c r="R370" s="2" t="inlineStr"/>
    </row>
    <row r="371" ht="15" customHeight="1">
      <c r="A371" t="inlineStr">
        <is>
          <t>A 52677-2025</t>
        </is>
      </c>
      <c r="B371" s="1" t="n">
        <v>45956.34443287037</v>
      </c>
      <c r="C371" s="1" t="n">
        <v>46033</v>
      </c>
      <c r="D371" t="inlineStr">
        <is>
          <t>NORRBOTTENS LÄN</t>
        </is>
      </c>
      <c r="E371" t="inlineStr">
        <is>
          <t>LULEÅ</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52681-2025</t>
        </is>
      </c>
      <c r="B372" s="1" t="n">
        <v>45956.34490740741</v>
      </c>
      <c r="C372" s="1" t="n">
        <v>46033</v>
      </c>
      <c r="D372" t="inlineStr">
        <is>
          <t>NORRBOTTENS LÄN</t>
        </is>
      </c>
      <c r="E372" t="inlineStr">
        <is>
          <t>LULEÅ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29550-2024</t>
        </is>
      </c>
      <c r="B373" s="1" t="n">
        <v>45484</v>
      </c>
      <c r="C373" s="1" t="n">
        <v>46033</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48692-2025</t>
        </is>
      </c>
      <c r="B374" s="1" t="n">
        <v>45936.61344907407</v>
      </c>
      <c r="C374" s="1" t="n">
        <v>46033</v>
      </c>
      <c r="D374" t="inlineStr">
        <is>
          <t>NORRBOTTENS LÄN</t>
        </is>
      </c>
      <c r="E374" t="inlineStr">
        <is>
          <t>LULEÅ</t>
        </is>
      </c>
      <c r="G374" t="n">
        <v>2</v>
      </c>
      <c r="H374" t="n">
        <v>0</v>
      </c>
      <c r="I374" t="n">
        <v>0</v>
      </c>
      <c r="J374" t="n">
        <v>0</v>
      </c>
      <c r="K374" t="n">
        <v>0</v>
      </c>
      <c r="L374" t="n">
        <v>0</v>
      </c>
      <c r="M374" t="n">
        <v>0</v>
      </c>
      <c r="N374" t="n">
        <v>0</v>
      </c>
      <c r="O374" t="n">
        <v>0</v>
      </c>
      <c r="P374" t="n">
        <v>0</v>
      </c>
      <c r="Q374" t="n">
        <v>0</v>
      </c>
      <c r="R374" s="2" t="inlineStr"/>
    </row>
    <row r="375" ht="15" customHeight="1">
      <c r="A375" t="inlineStr">
        <is>
          <t>A 62732-2021</t>
        </is>
      </c>
      <c r="B375" s="1" t="n">
        <v>44503</v>
      </c>
      <c r="C375" s="1" t="n">
        <v>46033</v>
      </c>
      <c r="D375" t="inlineStr">
        <is>
          <t>NORRBOTTENS LÄN</t>
        </is>
      </c>
      <c r="E375" t="inlineStr">
        <is>
          <t>LULEÅ</t>
        </is>
      </c>
      <c r="G375" t="n">
        <v>2.5</v>
      </c>
      <c r="H375" t="n">
        <v>0</v>
      </c>
      <c r="I375" t="n">
        <v>0</v>
      </c>
      <c r="J375" t="n">
        <v>0</v>
      </c>
      <c r="K375" t="n">
        <v>0</v>
      </c>
      <c r="L375" t="n">
        <v>0</v>
      </c>
      <c r="M375" t="n">
        <v>0</v>
      </c>
      <c r="N375" t="n">
        <v>0</v>
      </c>
      <c r="O375" t="n">
        <v>0</v>
      </c>
      <c r="P375" t="n">
        <v>0</v>
      </c>
      <c r="Q375" t="n">
        <v>0</v>
      </c>
      <c r="R375" s="2" t="inlineStr"/>
    </row>
    <row r="376" ht="15" customHeight="1">
      <c r="A376" t="inlineStr">
        <is>
          <t>A 32458-2025</t>
        </is>
      </c>
      <c r="B376" s="1" t="n">
        <v>45838.41445601852</v>
      </c>
      <c r="C376" s="1" t="n">
        <v>46033</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52953-2025</t>
        </is>
      </c>
      <c r="B377" s="1" t="n">
        <v>45957.65459490741</v>
      </c>
      <c r="C377" s="1" t="n">
        <v>46033</v>
      </c>
      <c r="D377" t="inlineStr">
        <is>
          <t>NORRBOTTENS LÄN</t>
        </is>
      </c>
      <c r="E377" t="inlineStr">
        <is>
          <t>LULEÅ</t>
        </is>
      </c>
      <c r="G377" t="n">
        <v>11.8</v>
      </c>
      <c r="H377" t="n">
        <v>0</v>
      </c>
      <c r="I377" t="n">
        <v>0</v>
      </c>
      <c r="J377" t="n">
        <v>0</v>
      </c>
      <c r="K377" t="n">
        <v>0</v>
      </c>
      <c r="L377" t="n">
        <v>0</v>
      </c>
      <c r="M377" t="n">
        <v>0</v>
      </c>
      <c r="N377" t="n">
        <v>0</v>
      </c>
      <c r="O377" t="n">
        <v>0</v>
      </c>
      <c r="P377" t="n">
        <v>0</v>
      </c>
      <c r="Q377" t="n">
        <v>0</v>
      </c>
      <c r="R377" s="2" t="inlineStr"/>
    </row>
    <row r="378" ht="15" customHeight="1">
      <c r="A378" t="inlineStr">
        <is>
          <t>A 33692-2025</t>
        </is>
      </c>
      <c r="B378" s="1" t="n">
        <v>45841.69819444444</v>
      </c>
      <c r="C378" s="1" t="n">
        <v>46033</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49448-2025</t>
        </is>
      </c>
      <c r="B379" s="1" t="n">
        <v>45938.95688657407</v>
      </c>
      <c r="C379" s="1" t="n">
        <v>46033</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49208-2024</t>
        </is>
      </c>
      <c r="B380" s="1" t="n">
        <v>45595.37256944444</v>
      </c>
      <c r="C380" s="1" t="n">
        <v>46033</v>
      </c>
      <c r="D380" t="inlineStr">
        <is>
          <t>NORRBOTTENS LÄN</t>
        </is>
      </c>
      <c r="E380" t="inlineStr">
        <is>
          <t>LULEÅ</t>
        </is>
      </c>
      <c r="G380" t="n">
        <v>5.2</v>
      </c>
      <c r="H380" t="n">
        <v>0</v>
      </c>
      <c r="I380" t="n">
        <v>0</v>
      </c>
      <c r="J380" t="n">
        <v>0</v>
      </c>
      <c r="K380" t="n">
        <v>0</v>
      </c>
      <c r="L380" t="n">
        <v>0</v>
      </c>
      <c r="M380" t="n">
        <v>0</v>
      </c>
      <c r="N380" t="n">
        <v>0</v>
      </c>
      <c r="O380" t="n">
        <v>0</v>
      </c>
      <c r="P380" t="n">
        <v>0</v>
      </c>
      <c r="Q380" t="n">
        <v>0</v>
      </c>
      <c r="R380" s="2" t="inlineStr"/>
    </row>
    <row r="381" ht="15" customHeight="1">
      <c r="A381" t="inlineStr">
        <is>
          <t>A 14337-2024</t>
        </is>
      </c>
      <c r="B381" s="1" t="n">
        <v>45393</v>
      </c>
      <c r="C381" s="1" t="n">
        <v>46033</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17125-2024</t>
        </is>
      </c>
      <c r="B382" s="1" t="n">
        <v>45412</v>
      </c>
      <c r="C382" s="1" t="n">
        <v>46033</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30784-2024</t>
        </is>
      </c>
      <c r="B383" s="1" t="n">
        <v>45496</v>
      </c>
      <c r="C383" s="1" t="n">
        <v>46033</v>
      </c>
      <c r="D383" t="inlineStr">
        <is>
          <t>NORRBOTTENS LÄN</t>
        </is>
      </c>
      <c r="E383" t="inlineStr">
        <is>
          <t>LULEÅ</t>
        </is>
      </c>
      <c r="F383" t="inlineStr">
        <is>
          <t>Naturvårdsverket</t>
        </is>
      </c>
      <c r="G383" t="n">
        <v>13.2</v>
      </c>
      <c r="H383" t="n">
        <v>0</v>
      </c>
      <c r="I383" t="n">
        <v>0</v>
      </c>
      <c r="J383" t="n">
        <v>0</v>
      </c>
      <c r="K383" t="n">
        <v>0</v>
      </c>
      <c r="L383" t="n">
        <v>0</v>
      </c>
      <c r="M383" t="n">
        <v>0</v>
      </c>
      <c r="N383" t="n">
        <v>0</v>
      </c>
      <c r="O383" t="n">
        <v>0</v>
      </c>
      <c r="P383" t="n">
        <v>0</v>
      </c>
      <c r="Q383" t="n">
        <v>0</v>
      </c>
      <c r="R383" s="2" t="inlineStr"/>
    </row>
    <row r="384" ht="15" customHeight="1">
      <c r="A384" t="inlineStr">
        <is>
          <t>A 30788-2024</t>
        </is>
      </c>
      <c r="B384" s="1" t="n">
        <v>45496</v>
      </c>
      <c r="C384" s="1" t="n">
        <v>46033</v>
      </c>
      <c r="D384" t="inlineStr">
        <is>
          <t>NORRBOTTENS LÄN</t>
        </is>
      </c>
      <c r="E384" t="inlineStr">
        <is>
          <t>LULEÅ</t>
        </is>
      </c>
      <c r="F384" t="inlineStr">
        <is>
          <t>Naturvårdsverket</t>
        </is>
      </c>
      <c r="G384" t="n">
        <v>6.7</v>
      </c>
      <c r="H384" t="n">
        <v>0</v>
      </c>
      <c r="I384" t="n">
        <v>0</v>
      </c>
      <c r="J384" t="n">
        <v>0</v>
      </c>
      <c r="K384" t="n">
        <v>0</v>
      </c>
      <c r="L384" t="n">
        <v>0</v>
      </c>
      <c r="M384" t="n">
        <v>0</v>
      </c>
      <c r="N384" t="n">
        <v>0</v>
      </c>
      <c r="O384" t="n">
        <v>0</v>
      </c>
      <c r="P384" t="n">
        <v>0</v>
      </c>
      <c r="Q384" t="n">
        <v>0</v>
      </c>
      <c r="R384" s="2" t="inlineStr"/>
    </row>
    <row r="385" ht="15" customHeight="1">
      <c r="A385" t="inlineStr">
        <is>
          <t>A 33608-2025</t>
        </is>
      </c>
      <c r="B385" s="1" t="n">
        <v>45841.61747685185</v>
      </c>
      <c r="C385" s="1" t="n">
        <v>46033</v>
      </c>
      <c r="D385" t="inlineStr">
        <is>
          <t>NORRBOTTENS LÄN</t>
        </is>
      </c>
      <c r="E385" t="inlineStr">
        <is>
          <t>LULEÅ</t>
        </is>
      </c>
      <c r="G385" t="n">
        <v>3.8</v>
      </c>
      <c r="H385" t="n">
        <v>0</v>
      </c>
      <c r="I385" t="n">
        <v>0</v>
      </c>
      <c r="J385" t="n">
        <v>0</v>
      </c>
      <c r="K385" t="n">
        <v>0</v>
      </c>
      <c r="L385" t="n">
        <v>0</v>
      </c>
      <c r="M385" t="n">
        <v>0</v>
      </c>
      <c r="N385" t="n">
        <v>0</v>
      </c>
      <c r="O385" t="n">
        <v>0</v>
      </c>
      <c r="P385" t="n">
        <v>0</v>
      </c>
      <c r="Q385" t="n">
        <v>0</v>
      </c>
      <c r="R385" s="2" t="inlineStr"/>
    </row>
    <row r="386" ht="15" customHeight="1">
      <c r="A386" t="inlineStr">
        <is>
          <t>A 2700-2025</t>
        </is>
      </c>
      <c r="B386" s="1" t="n">
        <v>45677.40685185185</v>
      </c>
      <c r="C386" s="1" t="n">
        <v>46033</v>
      </c>
      <c r="D386" t="inlineStr">
        <is>
          <t>NORRBOTTENS LÄN</t>
        </is>
      </c>
      <c r="E386" t="inlineStr">
        <is>
          <t>LULEÅ</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49194-2025</t>
        </is>
      </c>
      <c r="B387" s="1" t="n">
        <v>45938.40929398148</v>
      </c>
      <c r="C387" s="1" t="n">
        <v>46033</v>
      </c>
      <c r="D387" t="inlineStr">
        <is>
          <t>NORRBOTTENS LÄN</t>
        </is>
      </c>
      <c r="E387" t="inlineStr">
        <is>
          <t>LULEÅ</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53002-2025</t>
        </is>
      </c>
      <c r="B388" s="1" t="n">
        <v>45957</v>
      </c>
      <c r="C388" s="1" t="n">
        <v>46033</v>
      </c>
      <c r="D388" t="inlineStr">
        <is>
          <t>NORRBOTTENS LÄN</t>
        </is>
      </c>
      <c r="E388" t="inlineStr">
        <is>
          <t>LULEÅ</t>
        </is>
      </c>
      <c r="G388" t="n">
        <v>19.7</v>
      </c>
      <c r="H388" t="n">
        <v>0</v>
      </c>
      <c r="I388" t="n">
        <v>0</v>
      </c>
      <c r="J388" t="n">
        <v>0</v>
      </c>
      <c r="K388" t="n">
        <v>0</v>
      </c>
      <c r="L388" t="n">
        <v>0</v>
      </c>
      <c r="M388" t="n">
        <v>0</v>
      </c>
      <c r="N388" t="n">
        <v>0</v>
      </c>
      <c r="O388" t="n">
        <v>0</v>
      </c>
      <c r="P388" t="n">
        <v>0</v>
      </c>
      <c r="Q388" t="n">
        <v>0</v>
      </c>
      <c r="R388" s="2" t="inlineStr"/>
    </row>
    <row r="389" ht="15" customHeight="1">
      <c r="A389" t="inlineStr">
        <is>
          <t>A 31465-2024</t>
        </is>
      </c>
      <c r="B389" s="1" t="n">
        <v>45505</v>
      </c>
      <c r="C389" s="1" t="n">
        <v>46033</v>
      </c>
      <c r="D389" t="inlineStr">
        <is>
          <t>NORRBOTTENS LÄN</t>
        </is>
      </c>
      <c r="E389" t="inlineStr">
        <is>
          <t>LULEÅ</t>
        </is>
      </c>
      <c r="F389" t="inlineStr">
        <is>
          <t>Naturvårdsverket</t>
        </is>
      </c>
      <c r="G389" t="n">
        <v>7.1</v>
      </c>
      <c r="H389" t="n">
        <v>0</v>
      </c>
      <c r="I389" t="n">
        <v>0</v>
      </c>
      <c r="J389" t="n">
        <v>0</v>
      </c>
      <c r="K389" t="n">
        <v>0</v>
      </c>
      <c r="L389" t="n">
        <v>0</v>
      </c>
      <c r="M389" t="n">
        <v>0</v>
      </c>
      <c r="N389" t="n">
        <v>0</v>
      </c>
      <c r="O389" t="n">
        <v>0</v>
      </c>
      <c r="P389" t="n">
        <v>0</v>
      </c>
      <c r="Q389" t="n">
        <v>0</v>
      </c>
      <c r="R389" s="2" t="inlineStr"/>
    </row>
    <row r="390" ht="15" customHeight="1">
      <c r="A390" t="inlineStr">
        <is>
          <t>A 49490-2025</t>
        </is>
      </c>
      <c r="B390" s="1" t="n">
        <v>45939.36579861111</v>
      </c>
      <c r="C390" s="1" t="n">
        <v>46033</v>
      </c>
      <c r="D390" t="inlineStr">
        <is>
          <t>NORRBOTTENS LÄN</t>
        </is>
      </c>
      <c r="E390" t="inlineStr">
        <is>
          <t>LULEÅ</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33651-2025</t>
        </is>
      </c>
      <c r="B391" s="1" t="n">
        <v>45841.65722222222</v>
      </c>
      <c r="C391" s="1" t="n">
        <v>46033</v>
      </c>
      <c r="D391" t="inlineStr">
        <is>
          <t>NORRBOTTENS LÄN</t>
        </is>
      </c>
      <c r="E391" t="inlineStr">
        <is>
          <t>LULEÅ</t>
        </is>
      </c>
      <c r="G391" t="n">
        <v>15.5</v>
      </c>
      <c r="H391" t="n">
        <v>0</v>
      </c>
      <c r="I391" t="n">
        <v>0</v>
      </c>
      <c r="J391" t="n">
        <v>0</v>
      </c>
      <c r="K391" t="n">
        <v>0</v>
      </c>
      <c r="L391" t="n">
        <v>0</v>
      </c>
      <c r="M391" t="n">
        <v>0</v>
      </c>
      <c r="N391" t="n">
        <v>0</v>
      </c>
      <c r="O391" t="n">
        <v>0</v>
      </c>
      <c r="P391" t="n">
        <v>0</v>
      </c>
      <c r="Q391" t="n">
        <v>0</v>
      </c>
      <c r="R391" s="2" t="inlineStr"/>
    </row>
    <row r="392" ht="15" customHeight="1">
      <c r="A392" t="inlineStr">
        <is>
          <t>A 30289-2023</t>
        </is>
      </c>
      <c r="B392" s="1" t="n">
        <v>45110</v>
      </c>
      <c r="C392" s="1" t="n">
        <v>46033</v>
      </c>
      <c r="D392" t="inlineStr">
        <is>
          <t>NORRBOTTENS LÄN</t>
        </is>
      </c>
      <c r="E392" t="inlineStr">
        <is>
          <t>LULEÅ</t>
        </is>
      </c>
      <c r="G392" t="n">
        <v>4.1</v>
      </c>
      <c r="H392" t="n">
        <v>0</v>
      </c>
      <c r="I392" t="n">
        <v>0</v>
      </c>
      <c r="J392" t="n">
        <v>0</v>
      </c>
      <c r="K392" t="n">
        <v>0</v>
      </c>
      <c r="L392" t="n">
        <v>0</v>
      </c>
      <c r="M392" t="n">
        <v>0</v>
      </c>
      <c r="N392" t="n">
        <v>0</v>
      </c>
      <c r="O392" t="n">
        <v>0</v>
      </c>
      <c r="P392" t="n">
        <v>0</v>
      </c>
      <c r="Q392" t="n">
        <v>0</v>
      </c>
      <c r="R392" s="2" t="inlineStr"/>
    </row>
    <row r="393" ht="15" customHeight="1">
      <c r="A393" t="inlineStr">
        <is>
          <t>A 60732-2025</t>
        </is>
      </c>
      <c r="B393" s="1" t="n">
        <v>45995</v>
      </c>
      <c r="C393" s="1" t="n">
        <v>46033</v>
      </c>
      <c r="D393" t="inlineStr">
        <is>
          <t>NORRBOTTENS LÄN</t>
        </is>
      </c>
      <c r="E393" t="inlineStr">
        <is>
          <t>LULEÅ</t>
        </is>
      </c>
      <c r="G393" t="n">
        <v>5.4</v>
      </c>
      <c r="H393" t="n">
        <v>0</v>
      </c>
      <c r="I393" t="n">
        <v>0</v>
      </c>
      <c r="J393" t="n">
        <v>0</v>
      </c>
      <c r="K393" t="n">
        <v>0</v>
      </c>
      <c r="L393" t="n">
        <v>0</v>
      </c>
      <c r="M393" t="n">
        <v>0</v>
      </c>
      <c r="N393" t="n">
        <v>0</v>
      </c>
      <c r="O393" t="n">
        <v>0</v>
      </c>
      <c r="P393" t="n">
        <v>0</v>
      </c>
      <c r="Q393" t="n">
        <v>0</v>
      </c>
      <c r="R393" s="2" t="inlineStr"/>
    </row>
    <row r="394" ht="15" customHeight="1">
      <c r="A394" t="inlineStr">
        <is>
          <t>A 52549-2025</t>
        </is>
      </c>
      <c r="B394" s="1" t="n">
        <v>45954.55297453704</v>
      </c>
      <c r="C394" s="1" t="n">
        <v>46033</v>
      </c>
      <c r="D394" t="inlineStr">
        <is>
          <t>NORRBOTTENS LÄN</t>
        </is>
      </c>
      <c r="E394" t="inlineStr">
        <is>
          <t>LULEÅ</t>
        </is>
      </c>
      <c r="G394" t="n">
        <v>2</v>
      </c>
      <c r="H394" t="n">
        <v>0</v>
      </c>
      <c r="I394" t="n">
        <v>0</v>
      </c>
      <c r="J394" t="n">
        <v>0</v>
      </c>
      <c r="K394" t="n">
        <v>0</v>
      </c>
      <c r="L394" t="n">
        <v>0</v>
      </c>
      <c r="M394" t="n">
        <v>0</v>
      </c>
      <c r="N394" t="n">
        <v>0</v>
      </c>
      <c r="O394" t="n">
        <v>0</v>
      </c>
      <c r="P394" t="n">
        <v>0</v>
      </c>
      <c r="Q394" t="n">
        <v>0</v>
      </c>
      <c r="R394" s="2" t="inlineStr"/>
    </row>
    <row r="395" ht="15" customHeight="1">
      <c r="A395" t="inlineStr">
        <is>
          <t>A 54738-2024</t>
        </is>
      </c>
      <c r="B395" s="1" t="n">
        <v>45618.44334490741</v>
      </c>
      <c r="C395" s="1" t="n">
        <v>46033</v>
      </c>
      <c r="D395" t="inlineStr">
        <is>
          <t>NORRBOTTENS LÄN</t>
        </is>
      </c>
      <c r="E395" t="inlineStr">
        <is>
          <t>LULEÅ</t>
        </is>
      </c>
      <c r="G395" t="n">
        <v>4.7</v>
      </c>
      <c r="H395" t="n">
        <v>0</v>
      </c>
      <c r="I395" t="n">
        <v>0</v>
      </c>
      <c r="J395" t="n">
        <v>0</v>
      </c>
      <c r="K395" t="n">
        <v>0</v>
      </c>
      <c r="L395" t="n">
        <v>0</v>
      </c>
      <c r="M395" t="n">
        <v>0</v>
      </c>
      <c r="N395" t="n">
        <v>0</v>
      </c>
      <c r="O395" t="n">
        <v>0</v>
      </c>
      <c r="P395" t="n">
        <v>0</v>
      </c>
      <c r="Q395" t="n">
        <v>0</v>
      </c>
      <c r="R395" s="2" t="inlineStr"/>
    </row>
    <row r="396" ht="15" customHeight="1">
      <c r="A396" t="inlineStr">
        <is>
          <t>A 52680-2025</t>
        </is>
      </c>
      <c r="B396" s="1" t="n">
        <v>45956.34488425926</v>
      </c>
      <c r="C396" s="1" t="n">
        <v>46033</v>
      </c>
      <c r="D396" t="inlineStr">
        <is>
          <t>NORRBOTTENS LÄN</t>
        </is>
      </c>
      <c r="E396" t="inlineStr">
        <is>
          <t>LULEÅ</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52684-2025</t>
        </is>
      </c>
      <c r="B397" s="1" t="n">
        <v>45956.34519675926</v>
      </c>
      <c r="C397" s="1" t="n">
        <v>46033</v>
      </c>
      <c r="D397" t="inlineStr">
        <is>
          <t>NORRBOTTENS LÄN</t>
        </is>
      </c>
      <c r="E397" t="inlineStr">
        <is>
          <t>LULEÅ</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52687-2025</t>
        </is>
      </c>
      <c r="B398" s="1" t="n">
        <v>45956.36496527777</v>
      </c>
      <c r="C398" s="1" t="n">
        <v>46033</v>
      </c>
      <c r="D398" t="inlineStr">
        <is>
          <t>NORRBOTTENS LÄN</t>
        </is>
      </c>
      <c r="E398" t="inlineStr">
        <is>
          <t>LULEÅ</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50099-2025</t>
        </is>
      </c>
      <c r="B399" s="1" t="n">
        <v>45943</v>
      </c>
      <c r="C399" s="1" t="n">
        <v>46033</v>
      </c>
      <c r="D399" t="inlineStr">
        <is>
          <t>NORRBOTTENS LÄN</t>
        </is>
      </c>
      <c r="E399" t="inlineStr">
        <is>
          <t>LULEÅ</t>
        </is>
      </c>
      <c r="G399" t="n">
        <v>11.6</v>
      </c>
      <c r="H399" t="n">
        <v>0</v>
      </c>
      <c r="I399" t="n">
        <v>0</v>
      </c>
      <c r="J399" t="n">
        <v>0</v>
      </c>
      <c r="K399" t="n">
        <v>0</v>
      </c>
      <c r="L399" t="n">
        <v>0</v>
      </c>
      <c r="M399" t="n">
        <v>0</v>
      </c>
      <c r="N399" t="n">
        <v>0</v>
      </c>
      <c r="O399" t="n">
        <v>0</v>
      </c>
      <c r="P399" t="n">
        <v>0</v>
      </c>
      <c r="Q399" t="n">
        <v>0</v>
      </c>
      <c r="R399" s="2" t="inlineStr"/>
    </row>
    <row r="400" ht="15" customHeight="1">
      <c r="A400" t="inlineStr">
        <is>
          <t>A 50221-2025</t>
        </is>
      </c>
      <c r="B400" s="1" t="n">
        <v>45943.68516203704</v>
      </c>
      <c r="C400" s="1" t="n">
        <v>46033</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50223-2025</t>
        </is>
      </c>
      <c r="B401" s="1" t="n">
        <v>45943.68868055556</v>
      </c>
      <c r="C401" s="1" t="n">
        <v>46033</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145-2025</t>
        </is>
      </c>
      <c r="B402" s="1" t="n">
        <v>45659.59091435185</v>
      </c>
      <c r="C402" s="1" t="n">
        <v>46033</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50640-2024</t>
        </is>
      </c>
      <c r="B403" s="1" t="n">
        <v>45601.67827546296</v>
      </c>
      <c r="C403" s="1" t="n">
        <v>46033</v>
      </c>
      <c r="D403" t="inlineStr">
        <is>
          <t>NORRBOTTENS LÄN</t>
        </is>
      </c>
      <c r="E403" t="inlineStr">
        <is>
          <t>LULEÅ</t>
        </is>
      </c>
      <c r="G403" t="n">
        <v>3</v>
      </c>
      <c r="H403" t="n">
        <v>0</v>
      </c>
      <c r="I403" t="n">
        <v>0</v>
      </c>
      <c r="J403" t="n">
        <v>0</v>
      </c>
      <c r="K403" t="n">
        <v>0</v>
      </c>
      <c r="L403" t="n">
        <v>0</v>
      </c>
      <c r="M403" t="n">
        <v>0</v>
      </c>
      <c r="N403" t="n">
        <v>0</v>
      </c>
      <c r="O403" t="n">
        <v>0</v>
      </c>
      <c r="P403" t="n">
        <v>0</v>
      </c>
      <c r="Q403" t="n">
        <v>0</v>
      </c>
      <c r="R403" s="2" t="inlineStr"/>
    </row>
    <row r="404" ht="15" customHeight="1">
      <c r="A404" t="inlineStr">
        <is>
          <t>A 50527-2025</t>
        </is>
      </c>
      <c r="B404" s="1" t="n">
        <v>45945.47056712963</v>
      </c>
      <c r="C404" s="1" t="n">
        <v>46033</v>
      </c>
      <c r="D404" t="inlineStr">
        <is>
          <t>NORRBOTTENS LÄN</t>
        </is>
      </c>
      <c r="E404" t="inlineStr">
        <is>
          <t>LULEÅ</t>
        </is>
      </c>
      <c r="G404" t="n">
        <v>2.4</v>
      </c>
      <c r="H404" t="n">
        <v>0</v>
      </c>
      <c r="I404" t="n">
        <v>0</v>
      </c>
      <c r="J404" t="n">
        <v>0</v>
      </c>
      <c r="K404" t="n">
        <v>0</v>
      </c>
      <c r="L404" t="n">
        <v>0</v>
      </c>
      <c r="M404" t="n">
        <v>0</v>
      </c>
      <c r="N404" t="n">
        <v>0</v>
      </c>
      <c r="O404" t="n">
        <v>0</v>
      </c>
      <c r="P404" t="n">
        <v>0</v>
      </c>
      <c r="Q404" t="n">
        <v>0</v>
      </c>
      <c r="R404" s="2" t="inlineStr"/>
    </row>
    <row r="405" ht="15" customHeight="1">
      <c r="A405" t="inlineStr">
        <is>
          <t>A 7168-2025</t>
        </is>
      </c>
      <c r="B405" s="1" t="n">
        <v>45702.40306712963</v>
      </c>
      <c r="C405" s="1" t="n">
        <v>46033</v>
      </c>
      <c r="D405" t="inlineStr">
        <is>
          <t>NORRBOTTENS LÄN</t>
        </is>
      </c>
      <c r="E405" t="inlineStr">
        <is>
          <t>LULEÅ</t>
        </is>
      </c>
      <c r="G405" t="n">
        <v>1.8</v>
      </c>
      <c r="H405" t="n">
        <v>0</v>
      </c>
      <c r="I405" t="n">
        <v>0</v>
      </c>
      <c r="J405" t="n">
        <v>0</v>
      </c>
      <c r="K405" t="n">
        <v>0</v>
      </c>
      <c r="L405" t="n">
        <v>0</v>
      </c>
      <c r="M405" t="n">
        <v>0</v>
      </c>
      <c r="N405" t="n">
        <v>0</v>
      </c>
      <c r="O405" t="n">
        <v>0</v>
      </c>
      <c r="P405" t="n">
        <v>0</v>
      </c>
      <c r="Q405" t="n">
        <v>0</v>
      </c>
      <c r="R405" s="2" t="inlineStr"/>
    </row>
    <row r="406" ht="15" customHeight="1">
      <c r="A406" t="inlineStr">
        <is>
          <t>A 50572-2025</t>
        </is>
      </c>
      <c r="B406" s="1" t="n">
        <v>45945.57474537037</v>
      </c>
      <c r="C406" s="1" t="n">
        <v>46033</v>
      </c>
      <c r="D406" t="inlineStr">
        <is>
          <t>NORRBOTTENS LÄN</t>
        </is>
      </c>
      <c r="E406" t="inlineStr">
        <is>
          <t>LULEÅ</t>
        </is>
      </c>
      <c r="G406" t="n">
        <v>4</v>
      </c>
      <c r="H406" t="n">
        <v>0</v>
      </c>
      <c r="I406" t="n">
        <v>0</v>
      </c>
      <c r="J406" t="n">
        <v>0</v>
      </c>
      <c r="K406" t="n">
        <v>0</v>
      </c>
      <c r="L406" t="n">
        <v>0</v>
      </c>
      <c r="M406" t="n">
        <v>0</v>
      </c>
      <c r="N406" t="n">
        <v>0</v>
      </c>
      <c r="O406" t="n">
        <v>0</v>
      </c>
      <c r="P406" t="n">
        <v>0</v>
      </c>
      <c r="Q406" t="n">
        <v>0</v>
      </c>
      <c r="R406" s="2" t="inlineStr"/>
    </row>
    <row r="407" ht="15" customHeight="1">
      <c r="A407" t="inlineStr">
        <is>
          <t>A 53003-2025</t>
        </is>
      </c>
      <c r="B407" s="1" t="n">
        <v>45957</v>
      </c>
      <c r="C407" s="1" t="n">
        <v>46033</v>
      </c>
      <c r="D407" t="inlineStr">
        <is>
          <t>NORRBOTTENS LÄN</t>
        </is>
      </c>
      <c r="E407" t="inlineStr">
        <is>
          <t>LULEÅ</t>
        </is>
      </c>
      <c r="G407" t="n">
        <v>5.4</v>
      </c>
      <c r="H407" t="n">
        <v>0</v>
      </c>
      <c r="I407" t="n">
        <v>0</v>
      </c>
      <c r="J407" t="n">
        <v>0</v>
      </c>
      <c r="K407" t="n">
        <v>0</v>
      </c>
      <c r="L407" t="n">
        <v>0</v>
      </c>
      <c r="M407" t="n">
        <v>0</v>
      </c>
      <c r="N407" t="n">
        <v>0</v>
      </c>
      <c r="O407" t="n">
        <v>0</v>
      </c>
      <c r="P407" t="n">
        <v>0</v>
      </c>
      <c r="Q407" t="n">
        <v>0</v>
      </c>
      <c r="R407" s="2" t="inlineStr"/>
    </row>
    <row r="408" ht="15" customHeight="1">
      <c r="A408" t="inlineStr">
        <is>
          <t>A 50518-2025</t>
        </is>
      </c>
      <c r="B408" s="1" t="n">
        <v>45945.4567824074</v>
      </c>
      <c r="C408" s="1" t="n">
        <v>46033</v>
      </c>
      <c r="D408" t="inlineStr">
        <is>
          <t>NORRBOTTENS LÄN</t>
        </is>
      </c>
      <c r="E408" t="inlineStr">
        <is>
          <t>LULEÅ</t>
        </is>
      </c>
      <c r="G408" t="n">
        <v>4.1</v>
      </c>
      <c r="H408" t="n">
        <v>0</v>
      </c>
      <c r="I408" t="n">
        <v>0</v>
      </c>
      <c r="J408" t="n">
        <v>0</v>
      </c>
      <c r="K408" t="n">
        <v>0</v>
      </c>
      <c r="L408" t="n">
        <v>0</v>
      </c>
      <c r="M408" t="n">
        <v>0</v>
      </c>
      <c r="N408" t="n">
        <v>0</v>
      </c>
      <c r="O408" t="n">
        <v>0</v>
      </c>
      <c r="P408" t="n">
        <v>0</v>
      </c>
      <c r="Q408" t="n">
        <v>0</v>
      </c>
      <c r="R408" s="2" t="inlineStr"/>
    </row>
    <row r="409" ht="15" customHeight="1">
      <c r="A409" t="inlineStr">
        <is>
          <t>A 34655-2025</t>
        </is>
      </c>
      <c r="B409" s="1" t="n">
        <v>45847</v>
      </c>
      <c r="C409" s="1" t="n">
        <v>46033</v>
      </c>
      <c r="D409" t="inlineStr">
        <is>
          <t>NORRBOTTENS LÄN</t>
        </is>
      </c>
      <c r="E409" t="inlineStr">
        <is>
          <t>LULEÅ</t>
        </is>
      </c>
      <c r="G409" t="n">
        <v>2.7</v>
      </c>
      <c r="H409" t="n">
        <v>0</v>
      </c>
      <c r="I409" t="n">
        <v>0</v>
      </c>
      <c r="J409" t="n">
        <v>0</v>
      </c>
      <c r="K409" t="n">
        <v>0</v>
      </c>
      <c r="L409" t="n">
        <v>0</v>
      </c>
      <c r="M409" t="n">
        <v>0</v>
      </c>
      <c r="N409" t="n">
        <v>0</v>
      </c>
      <c r="O409" t="n">
        <v>0</v>
      </c>
      <c r="P409" t="n">
        <v>0</v>
      </c>
      <c r="Q409" t="n">
        <v>0</v>
      </c>
      <c r="R409" s="2" t="inlineStr"/>
    </row>
    <row r="410" ht="15" customHeight="1">
      <c r="A410" t="inlineStr">
        <is>
          <t>A 50524-2025</t>
        </is>
      </c>
      <c r="B410" s="1" t="n">
        <v>45945.46797453704</v>
      </c>
      <c r="C410" s="1" t="n">
        <v>46033</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60706-2025</t>
        </is>
      </c>
      <c r="B411" s="1" t="n">
        <v>45996.60962962963</v>
      </c>
      <c r="C411" s="1" t="n">
        <v>46033</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34565-2025</t>
        </is>
      </c>
      <c r="B412" s="1" t="n">
        <v>45847</v>
      </c>
      <c r="C412" s="1" t="n">
        <v>46033</v>
      </c>
      <c r="D412" t="inlineStr">
        <is>
          <t>NORRBOTTENS LÄN</t>
        </is>
      </c>
      <c r="E412" t="inlineStr">
        <is>
          <t>LULEÅ</t>
        </is>
      </c>
      <c r="G412" t="n">
        <v>10.2</v>
      </c>
      <c r="H412" t="n">
        <v>0</v>
      </c>
      <c r="I412" t="n">
        <v>0</v>
      </c>
      <c r="J412" t="n">
        <v>0</v>
      </c>
      <c r="K412" t="n">
        <v>0</v>
      </c>
      <c r="L412" t="n">
        <v>0</v>
      </c>
      <c r="M412" t="n">
        <v>0</v>
      </c>
      <c r="N412" t="n">
        <v>0</v>
      </c>
      <c r="O412" t="n">
        <v>0</v>
      </c>
      <c r="P412" t="n">
        <v>0</v>
      </c>
      <c r="Q412" t="n">
        <v>0</v>
      </c>
      <c r="R412" s="2" t="inlineStr"/>
    </row>
    <row r="413" ht="15" customHeight="1">
      <c r="A413" t="inlineStr">
        <is>
          <t>A 60695-2025</t>
        </is>
      </c>
      <c r="B413" s="1" t="n">
        <v>45996.59778935185</v>
      </c>
      <c r="C413" s="1" t="n">
        <v>46033</v>
      </c>
      <c r="D413" t="inlineStr">
        <is>
          <t>NORRBOTTENS LÄN</t>
        </is>
      </c>
      <c r="E413" t="inlineStr">
        <is>
          <t>LULEÅ</t>
        </is>
      </c>
      <c r="G413" t="n">
        <v>1.8</v>
      </c>
      <c r="H413" t="n">
        <v>0</v>
      </c>
      <c r="I413" t="n">
        <v>0</v>
      </c>
      <c r="J413" t="n">
        <v>0</v>
      </c>
      <c r="K413" t="n">
        <v>0</v>
      </c>
      <c r="L413" t="n">
        <v>0</v>
      </c>
      <c r="M413" t="n">
        <v>0</v>
      </c>
      <c r="N413" t="n">
        <v>0</v>
      </c>
      <c r="O413" t="n">
        <v>0</v>
      </c>
      <c r="P413" t="n">
        <v>0</v>
      </c>
      <c r="Q413" t="n">
        <v>0</v>
      </c>
      <c r="R413" s="2" t="inlineStr"/>
    </row>
    <row r="414" ht="15" customHeight="1">
      <c r="A414" t="inlineStr">
        <is>
          <t>A 60702-2025</t>
        </is>
      </c>
      <c r="B414" s="1" t="n">
        <v>45996.60475694444</v>
      </c>
      <c r="C414" s="1" t="n">
        <v>46033</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52678-2025</t>
        </is>
      </c>
      <c r="B415" s="1" t="n">
        <v>45956.34459490741</v>
      </c>
      <c r="C415" s="1" t="n">
        <v>46033</v>
      </c>
      <c r="D415" t="inlineStr">
        <is>
          <t>NORRBOTTENS LÄN</t>
        </is>
      </c>
      <c r="E415" t="inlineStr">
        <is>
          <t>LULEÅ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53264-2025</t>
        </is>
      </c>
      <c r="B416" s="1" t="n">
        <v>45958.67831018518</v>
      </c>
      <c r="C416" s="1" t="n">
        <v>46033</v>
      </c>
      <c r="D416" t="inlineStr">
        <is>
          <t>NORRBOTTENS LÄN</t>
        </is>
      </c>
      <c r="E416" t="inlineStr">
        <is>
          <t>LULEÅ</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2006-2023</t>
        </is>
      </c>
      <c r="B417" s="1" t="n">
        <v>44937</v>
      </c>
      <c r="C417" s="1" t="n">
        <v>46033</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37820-2022</t>
        </is>
      </c>
      <c r="B418" s="1" t="n">
        <v>44810</v>
      </c>
      <c r="C418" s="1" t="n">
        <v>46033</v>
      </c>
      <c r="D418" t="inlineStr">
        <is>
          <t>NORRBOTTENS LÄN</t>
        </is>
      </c>
      <c r="E418" t="inlineStr">
        <is>
          <t>LULEÅ</t>
        </is>
      </c>
      <c r="G418" t="n">
        <v>3.1</v>
      </c>
      <c r="H418" t="n">
        <v>0</v>
      </c>
      <c r="I418" t="n">
        <v>0</v>
      </c>
      <c r="J418" t="n">
        <v>0</v>
      </c>
      <c r="K418" t="n">
        <v>0</v>
      </c>
      <c r="L418" t="n">
        <v>0</v>
      </c>
      <c r="M418" t="n">
        <v>0</v>
      </c>
      <c r="N418" t="n">
        <v>0</v>
      </c>
      <c r="O418" t="n">
        <v>0</v>
      </c>
      <c r="P418" t="n">
        <v>0</v>
      </c>
      <c r="Q418" t="n">
        <v>0</v>
      </c>
      <c r="R418" s="2" t="inlineStr"/>
    </row>
    <row r="419" ht="15" customHeight="1">
      <c r="A419" t="inlineStr">
        <is>
          <t>A 4347-2025</t>
        </is>
      </c>
      <c r="B419" s="1" t="n">
        <v>45685.92931712963</v>
      </c>
      <c r="C419" s="1" t="n">
        <v>46033</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61272-2025</t>
        </is>
      </c>
      <c r="B420" s="1" t="n">
        <v>46000.6856712963</v>
      </c>
      <c r="C420" s="1" t="n">
        <v>46033</v>
      </c>
      <c r="D420" t="inlineStr">
        <is>
          <t>NORRBOTTENS LÄN</t>
        </is>
      </c>
      <c r="E420" t="inlineStr">
        <is>
          <t>LULEÅ</t>
        </is>
      </c>
      <c r="G420" t="n">
        <v>3.3</v>
      </c>
      <c r="H420" t="n">
        <v>0</v>
      </c>
      <c r="I420" t="n">
        <v>0</v>
      </c>
      <c r="J420" t="n">
        <v>0</v>
      </c>
      <c r="K420" t="n">
        <v>0</v>
      </c>
      <c r="L420" t="n">
        <v>0</v>
      </c>
      <c r="M420" t="n">
        <v>0</v>
      </c>
      <c r="N420" t="n">
        <v>0</v>
      </c>
      <c r="O420" t="n">
        <v>0</v>
      </c>
      <c r="P420" t="n">
        <v>0</v>
      </c>
      <c r="Q420" t="n">
        <v>0</v>
      </c>
      <c r="R420" s="2" t="inlineStr"/>
    </row>
    <row r="421" ht="15" customHeight="1">
      <c r="A421" t="inlineStr">
        <is>
          <t>A 53624-2023</t>
        </is>
      </c>
      <c r="B421" s="1" t="n">
        <v>45224</v>
      </c>
      <c r="C421" s="1" t="n">
        <v>46033</v>
      </c>
      <c r="D421" t="inlineStr">
        <is>
          <t>NORRBOTTENS LÄN</t>
        </is>
      </c>
      <c r="E421" t="inlineStr">
        <is>
          <t>LULEÅ</t>
        </is>
      </c>
      <c r="G421" t="n">
        <v>3</v>
      </c>
      <c r="H421" t="n">
        <v>0</v>
      </c>
      <c r="I421" t="n">
        <v>0</v>
      </c>
      <c r="J421" t="n">
        <v>0</v>
      </c>
      <c r="K421" t="n">
        <v>0</v>
      </c>
      <c r="L421" t="n">
        <v>0</v>
      </c>
      <c r="M421" t="n">
        <v>0</v>
      </c>
      <c r="N421" t="n">
        <v>0</v>
      </c>
      <c r="O421" t="n">
        <v>0</v>
      </c>
      <c r="P421" t="n">
        <v>0</v>
      </c>
      <c r="Q421" t="n">
        <v>0</v>
      </c>
      <c r="R421" s="2" t="inlineStr"/>
    </row>
    <row r="422" ht="15" customHeight="1">
      <c r="A422" t="inlineStr">
        <is>
          <t>A 64240-2023</t>
        </is>
      </c>
      <c r="B422" s="1" t="n">
        <v>45279</v>
      </c>
      <c r="C422" s="1" t="n">
        <v>46033</v>
      </c>
      <c r="D422" t="inlineStr">
        <is>
          <t>NORRBOTTENS LÄN</t>
        </is>
      </c>
      <c r="E422" t="inlineStr">
        <is>
          <t>LULEÅ</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35682-2025</t>
        </is>
      </c>
      <c r="B423" s="1" t="n">
        <v>45859</v>
      </c>
      <c r="C423" s="1" t="n">
        <v>46033</v>
      </c>
      <c r="D423" t="inlineStr">
        <is>
          <t>NORRBOTTENS LÄN</t>
        </is>
      </c>
      <c r="E423" t="inlineStr">
        <is>
          <t>LULEÅ</t>
        </is>
      </c>
      <c r="G423" t="n">
        <v>5.2</v>
      </c>
      <c r="H423" t="n">
        <v>0</v>
      </c>
      <c r="I423" t="n">
        <v>0</v>
      </c>
      <c r="J423" t="n">
        <v>0</v>
      </c>
      <c r="K423" t="n">
        <v>0</v>
      </c>
      <c r="L423" t="n">
        <v>0</v>
      </c>
      <c r="M423" t="n">
        <v>0</v>
      </c>
      <c r="N423" t="n">
        <v>0</v>
      </c>
      <c r="O423" t="n">
        <v>0</v>
      </c>
      <c r="P423" t="n">
        <v>0</v>
      </c>
      <c r="Q423" t="n">
        <v>0</v>
      </c>
      <c r="R423" s="2" t="inlineStr"/>
    </row>
    <row r="424" ht="15" customHeight="1">
      <c r="A424" t="inlineStr">
        <is>
          <t>A 11982-2023</t>
        </is>
      </c>
      <c r="B424" s="1" t="n">
        <v>44994</v>
      </c>
      <c r="C424" s="1" t="n">
        <v>46033</v>
      </c>
      <c r="D424" t="inlineStr">
        <is>
          <t>NORRBOTTENS LÄN</t>
        </is>
      </c>
      <c r="E424" t="inlineStr">
        <is>
          <t>LULEÅ</t>
        </is>
      </c>
      <c r="G424" t="n">
        <v>0.7</v>
      </c>
      <c r="H424" t="n">
        <v>0</v>
      </c>
      <c r="I424" t="n">
        <v>0</v>
      </c>
      <c r="J424" t="n">
        <v>0</v>
      </c>
      <c r="K424" t="n">
        <v>0</v>
      </c>
      <c r="L424" t="n">
        <v>0</v>
      </c>
      <c r="M424" t="n">
        <v>0</v>
      </c>
      <c r="N424" t="n">
        <v>0</v>
      </c>
      <c r="O424" t="n">
        <v>0</v>
      </c>
      <c r="P424" t="n">
        <v>0</v>
      </c>
      <c r="Q424" t="n">
        <v>0</v>
      </c>
      <c r="R424" s="2" t="inlineStr"/>
    </row>
    <row r="425" ht="15" customHeight="1">
      <c r="A425" t="inlineStr">
        <is>
          <t>A 61146-2025</t>
        </is>
      </c>
      <c r="B425" s="1" t="n">
        <v>45999</v>
      </c>
      <c r="C425" s="1" t="n">
        <v>46033</v>
      </c>
      <c r="D425" t="inlineStr">
        <is>
          <t>NORRBOTTENS LÄN</t>
        </is>
      </c>
      <c r="E425" t="inlineStr">
        <is>
          <t>LULEÅ</t>
        </is>
      </c>
      <c r="G425" t="n">
        <v>2</v>
      </c>
      <c r="H425" t="n">
        <v>0</v>
      </c>
      <c r="I425" t="n">
        <v>0</v>
      </c>
      <c r="J425" t="n">
        <v>0</v>
      </c>
      <c r="K425" t="n">
        <v>0</v>
      </c>
      <c r="L425" t="n">
        <v>0</v>
      </c>
      <c r="M425" t="n">
        <v>0</v>
      </c>
      <c r="N425" t="n">
        <v>0</v>
      </c>
      <c r="O425" t="n">
        <v>0</v>
      </c>
      <c r="P425" t="n">
        <v>0</v>
      </c>
      <c r="Q425" t="n">
        <v>0</v>
      </c>
      <c r="R425" s="2" t="inlineStr"/>
    </row>
    <row r="426" ht="15" customHeight="1">
      <c r="A426" t="inlineStr">
        <is>
          <t>A 55195-2022</t>
        </is>
      </c>
      <c r="B426" s="1" t="n">
        <v>44886</v>
      </c>
      <c r="C426" s="1" t="n">
        <v>46033</v>
      </c>
      <c r="D426" t="inlineStr">
        <is>
          <t>NORRBOTTENS LÄN</t>
        </is>
      </c>
      <c r="E426" t="inlineStr">
        <is>
          <t>LULEÅ</t>
        </is>
      </c>
      <c r="G426" t="n">
        <v>0.4</v>
      </c>
      <c r="H426" t="n">
        <v>0</v>
      </c>
      <c r="I426" t="n">
        <v>0</v>
      </c>
      <c r="J426" t="n">
        <v>0</v>
      </c>
      <c r="K426" t="n">
        <v>0</v>
      </c>
      <c r="L426" t="n">
        <v>0</v>
      </c>
      <c r="M426" t="n">
        <v>0</v>
      </c>
      <c r="N426" t="n">
        <v>0</v>
      </c>
      <c r="O426" t="n">
        <v>0</v>
      </c>
      <c r="P426" t="n">
        <v>0</v>
      </c>
      <c r="Q426" t="n">
        <v>0</v>
      </c>
      <c r="R426" s="2" t="inlineStr"/>
    </row>
    <row r="427" ht="15" customHeight="1">
      <c r="A427" t="inlineStr">
        <is>
          <t>A 48412-2023</t>
        </is>
      </c>
      <c r="B427" s="1" t="n">
        <v>45205</v>
      </c>
      <c r="C427" s="1" t="n">
        <v>46033</v>
      </c>
      <c r="D427" t="inlineStr">
        <is>
          <t>NORRBOTTENS LÄN</t>
        </is>
      </c>
      <c r="E427" t="inlineStr">
        <is>
          <t>LULEÅ</t>
        </is>
      </c>
      <c r="G427" t="n">
        <v>45.8</v>
      </c>
      <c r="H427" t="n">
        <v>0</v>
      </c>
      <c r="I427" t="n">
        <v>0</v>
      </c>
      <c r="J427" t="n">
        <v>0</v>
      </c>
      <c r="K427" t="n">
        <v>0</v>
      </c>
      <c r="L427" t="n">
        <v>0</v>
      </c>
      <c r="M427" t="n">
        <v>0</v>
      </c>
      <c r="N427" t="n">
        <v>0</v>
      </c>
      <c r="O427" t="n">
        <v>0</v>
      </c>
      <c r="P427" t="n">
        <v>0</v>
      </c>
      <c r="Q427" t="n">
        <v>0</v>
      </c>
      <c r="R427" s="2" t="inlineStr"/>
    </row>
    <row r="428" ht="15" customHeight="1">
      <c r="A428" t="inlineStr">
        <is>
          <t>A 8228-2024</t>
        </is>
      </c>
      <c r="B428" s="1" t="n">
        <v>45351</v>
      </c>
      <c r="C428" s="1" t="n">
        <v>46033</v>
      </c>
      <c r="D428" t="inlineStr">
        <is>
          <t>NORRBOTTENS LÄN</t>
        </is>
      </c>
      <c r="E428" t="inlineStr">
        <is>
          <t>LULEÅ</t>
        </is>
      </c>
      <c r="G428" t="n">
        <v>10.1</v>
      </c>
      <c r="H428" t="n">
        <v>0</v>
      </c>
      <c r="I428" t="n">
        <v>0</v>
      </c>
      <c r="J428" t="n">
        <v>0</v>
      </c>
      <c r="K428" t="n">
        <v>0</v>
      </c>
      <c r="L428" t="n">
        <v>0</v>
      </c>
      <c r="M428" t="n">
        <v>0</v>
      </c>
      <c r="N428" t="n">
        <v>0</v>
      </c>
      <c r="O428" t="n">
        <v>0</v>
      </c>
      <c r="P428" t="n">
        <v>0</v>
      </c>
      <c r="Q428" t="n">
        <v>0</v>
      </c>
      <c r="R428" s="2" t="inlineStr"/>
    </row>
    <row r="429" ht="15" customHeight="1">
      <c r="A429" t="inlineStr">
        <is>
          <t>A 58469-2024</t>
        </is>
      </c>
      <c r="B429" s="1" t="n">
        <v>45632</v>
      </c>
      <c r="C429" s="1" t="n">
        <v>46033</v>
      </c>
      <c r="D429" t="inlineStr">
        <is>
          <t>NORRBOTTENS LÄN</t>
        </is>
      </c>
      <c r="E429" t="inlineStr">
        <is>
          <t>LULEÅ</t>
        </is>
      </c>
      <c r="G429" t="n">
        <v>9</v>
      </c>
      <c r="H429" t="n">
        <v>0</v>
      </c>
      <c r="I429" t="n">
        <v>0</v>
      </c>
      <c r="J429" t="n">
        <v>0</v>
      </c>
      <c r="K429" t="n">
        <v>0</v>
      </c>
      <c r="L429" t="n">
        <v>0</v>
      </c>
      <c r="M429" t="n">
        <v>0</v>
      </c>
      <c r="N429" t="n">
        <v>0</v>
      </c>
      <c r="O429" t="n">
        <v>0</v>
      </c>
      <c r="P429" t="n">
        <v>0</v>
      </c>
      <c r="Q429" t="n">
        <v>0</v>
      </c>
      <c r="R429" s="2" t="inlineStr"/>
    </row>
    <row r="430" ht="15" customHeight="1">
      <c r="A430" t="inlineStr">
        <is>
          <t>A 58827-2024</t>
        </is>
      </c>
      <c r="B430" s="1" t="n">
        <v>45635</v>
      </c>
      <c r="C430" s="1" t="n">
        <v>46033</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30358-2023</t>
        </is>
      </c>
      <c r="B431" s="1" t="n">
        <v>45111</v>
      </c>
      <c r="C431" s="1" t="n">
        <v>46033</v>
      </c>
      <c r="D431" t="inlineStr">
        <is>
          <t>NORRBOTTENS LÄN</t>
        </is>
      </c>
      <c r="E431" t="inlineStr">
        <is>
          <t>LULEÅ</t>
        </is>
      </c>
      <c r="G431" t="n">
        <v>3.9</v>
      </c>
      <c r="H431" t="n">
        <v>0</v>
      </c>
      <c r="I431" t="n">
        <v>0</v>
      </c>
      <c r="J431" t="n">
        <v>0</v>
      </c>
      <c r="K431" t="n">
        <v>0</v>
      </c>
      <c r="L431" t="n">
        <v>0</v>
      </c>
      <c r="M431" t="n">
        <v>0</v>
      </c>
      <c r="N431" t="n">
        <v>0</v>
      </c>
      <c r="O431" t="n">
        <v>0</v>
      </c>
      <c r="P431" t="n">
        <v>0</v>
      </c>
      <c r="Q431" t="n">
        <v>0</v>
      </c>
      <c r="R431" s="2" t="inlineStr"/>
    </row>
    <row r="432" ht="15" customHeight="1">
      <c r="A432" t="inlineStr">
        <is>
          <t>A 38551-2023</t>
        </is>
      </c>
      <c r="B432" s="1" t="n">
        <v>45160</v>
      </c>
      <c r="C432" s="1" t="n">
        <v>46033</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48642-2023</t>
        </is>
      </c>
      <c r="B433" s="1" t="n">
        <v>45208</v>
      </c>
      <c r="C433" s="1" t="n">
        <v>46033</v>
      </c>
      <c r="D433" t="inlineStr">
        <is>
          <t>NORRBOTTENS LÄN</t>
        </is>
      </c>
      <c r="E433" t="inlineStr">
        <is>
          <t>LULEÅ</t>
        </is>
      </c>
      <c r="G433" t="n">
        <v>4.5</v>
      </c>
      <c r="H433" t="n">
        <v>0</v>
      </c>
      <c r="I433" t="n">
        <v>0</v>
      </c>
      <c r="J433" t="n">
        <v>0</v>
      </c>
      <c r="K433" t="n">
        <v>0</v>
      </c>
      <c r="L433" t="n">
        <v>0</v>
      </c>
      <c r="M433" t="n">
        <v>0</v>
      </c>
      <c r="N433" t="n">
        <v>0</v>
      </c>
      <c r="O433" t="n">
        <v>0</v>
      </c>
      <c r="P433" t="n">
        <v>0</v>
      </c>
      <c r="Q433" t="n">
        <v>0</v>
      </c>
      <c r="R433" s="2" t="inlineStr"/>
    </row>
    <row r="434" ht="15" customHeight="1">
      <c r="A434" t="inlineStr">
        <is>
          <t>A 61520-2025</t>
        </is>
      </c>
      <c r="B434" s="1" t="n">
        <v>46001.68658564815</v>
      </c>
      <c r="C434" s="1" t="n">
        <v>46033</v>
      </c>
      <c r="D434" t="inlineStr">
        <is>
          <t>NORRBOTTENS LÄN</t>
        </is>
      </c>
      <c r="E434" t="inlineStr">
        <is>
          <t>LULEÅ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26234-2023</t>
        </is>
      </c>
      <c r="B435" s="1" t="n">
        <v>45086</v>
      </c>
      <c r="C435" s="1" t="n">
        <v>46033</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1002-2025</t>
        </is>
      </c>
      <c r="B436" s="1" t="n">
        <v>45665</v>
      </c>
      <c r="C436" s="1" t="n">
        <v>46033</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61104-2025</t>
        </is>
      </c>
      <c r="B437" s="1" t="n">
        <v>46000.44612268519</v>
      </c>
      <c r="C437" s="1" t="n">
        <v>46033</v>
      </c>
      <c r="D437" t="inlineStr">
        <is>
          <t>NORRBOTTENS LÄN</t>
        </is>
      </c>
      <c r="E437" t="inlineStr">
        <is>
          <t>LULEÅ</t>
        </is>
      </c>
      <c r="G437" t="n">
        <v>4.6</v>
      </c>
      <c r="H437" t="n">
        <v>0</v>
      </c>
      <c r="I437" t="n">
        <v>0</v>
      </c>
      <c r="J437" t="n">
        <v>0</v>
      </c>
      <c r="K437" t="n">
        <v>0</v>
      </c>
      <c r="L437" t="n">
        <v>0</v>
      </c>
      <c r="M437" t="n">
        <v>0</v>
      </c>
      <c r="N437" t="n">
        <v>0</v>
      </c>
      <c r="O437" t="n">
        <v>0</v>
      </c>
      <c r="P437" t="n">
        <v>0</v>
      </c>
      <c r="Q437" t="n">
        <v>0</v>
      </c>
      <c r="R437" s="2" t="inlineStr"/>
    </row>
    <row r="438" ht="15" customHeight="1">
      <c r="A438" t="inlineStr">
        <is>
          <t>A 35686-2025</t>
        </is>
      </c>
      <c r="B438" s="1" t="n">
        <v>45859.92579861111</v>
      </c>
      <c r="C438" s="1" t="n">
        <v>46033</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7417-2021</t>
        </is>
      </c>
      <c r="B439" s="1" t="n">
        <v>44239</v>
      </c>
      <c r="C439" s="1" t="n">
        <v>46033</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6386-2023</t>
        </is>
      </c>
      <c r="B440" s="1" t="n">
        <v>44960</v>
      </c>
      <c r="C440" s="1" t="n">
        <v>46033</v>
      </c>
      <c r="D440" t="inlineStr">
        <is>
          <t>NORRBOTTENS LÄN</t>
        </is>
      </c>
      <c r="E440" t="inlineStr">
        <is>
          <t>LULEÅ</t>
        </is>
      </c>
      <c r="G440" t="n">
        <v>3.9</v>
      </c>
      <c r="H440" t="n">
        <v>0</v>
      </c>
      <c r="I440" t="n">
        <v>0</v>
      </c>
      <c r="J440" t="n">
        <v>0</v>
      </c>
      <c r="K440" t="n">
        <v>0</v>
      </c>
      <c r="L440" t="n">
        <v>0</v>
      </c>
      <c r="M440" t="n">
        <v>0</v>
      </c>
      <c r="N440" t="n">
        <v>0</v>
      </c>
      <c r="O440" t="n">
        <v>0</v>
      </c>
      <c r="P440" t="n">
        <v>0</v>
      </c>
      <c r="Q440" t="n">
        <v>0</v>
      </c>
      <c r="R440" s="2" t="inlineStr"/>
    </row>
    <row r="441" ht="15" customHeight="1">
      <c r="A441" t="inlineStr">
        <is>
          <t>A 14990-2024</t>
        </is>
      </c>
      <c r="B441" s="1" t="n">
        <v>45399.36019675926</v>
      </c>
      <c r="C441" s="1" t="n">
        <v>46033</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3185-2025</t>
        </is>
      </c>
      <c r="B442" s="1" t="n">
        <v>45679.40358796297</v>
      </c>
      <c r="C442" s="1" t="n">
        <v>46033</v>
      </c>
      <c r="D442" t="inlineStr">
        <is>
          <t>NORRBOTTENS LÄN</t>
        </is>
      </c>
      <c r="E442" t="inlineStr">
        <is>
          <t>LULEÅ</t>
        </is>
      </c>
      <c r="G442" t="n">
        <v>3.2</v>
      </c>
      <c r="H442" t="n">
        <v>0</v>
      </c>
      <c r="I442" t="n">
        <v>0</v>
      </c>
      <c r="J442" t="n">
        <v>0</v>
      </c>
      <c r="K442" t="n">
        <v>0</v>
      </c>
      <c r="L442" t="n">
        <v>0</v>
      </c>
      <c r="M442" t="n">
        <v>0</v>
      </c>
      <c r="N442" t="n">
        <v>0</v>
      </c>
      <c r="O442" t="n">
        <v>0</v>
      </c>
      <c r="P442" t="n">
        <v>0</v>
      </c>
      <c r="Q442" t="n">
        <v>0</v>
      </c>
      <c r="R442" s="2" t="inlineStr"/>
    </row>
    <row r="443" ht="15" customHeight="1">
      <c r="A443" t="inlineStr">
        <is>
          <t>A 4286-2025</t>
        </is>
      </c>
      <c r="B443" s="1" t="n">
        <v>45685</v>
      </c>
      <c r="C443" s="1" t="n">
        <v>46033</v>
      </c>
      <c r="D443" t="inlineStr">
        <is>
          <t>NORRBOTTENS LÄN</t>
        </is>
      </c>
      <c r="E443" t="inlineStr">
        <is>
          <t>LULEÅ</t>
        </is>
      </c>
      <c r="G443" t="n">
        <v>1.9</v>
      </c>
      <c r="H443" t="n">
        <v>0</v>
      </c>
      <c r="I443" t="n">
        <v>0</v>
      </c>
      <c r="J443" t="n">
        <v>0</v>
      </c>
      <c r="K443" t="n">
        <v>0</v>
      </c>
      <c r="L443" t="n">
        <v>0</v>
      </c>
      <c r="M443" t="n">
        <v>0</v>
      </c>
      <c r="N443" t="n">
        <v>0</v>
      </c>
      <c r="O443" t="n">
        <v>0</v>
      </c>
      <c r="P443" t="n">
        <v>0</v>
      </c>
      <c r="Q443" t="n">
        <v>0</v>
      </c>
      <c r="R443" s="2" t="inlineStr"/>
    </row>
    <row r="444" ht="15" customHeight="1">
      <c r="A444" t="inlineStr">
        <is>
          <t>A 53603-2024</t>
        </is>
      </c>
      <c r="B444" s="1" t="n">
        <v>45614.69736111111</v>
      </c>
      <c r="C444" s="1" t="n">
        <v>46033</v>
      </c>
      <c r="D444" t="inlineStr">
        <is>
          <t>NORRBOTTENS LÄN</t>
        </is>
      </c>
      <c r="E444" t="inlineStr">
        <is>
          <t>LULEÅ</t>
        </is>
      </c>
      <c r="G444" t="n">
        <v>3.2</v>
      </c>
      <c r="H444" t="n">
        <v>0</v>
      </c>
      <c r="I444" t="n">
        <v>0</v>
      </c>
      <c r="J444" t="n">
        <v>0</v>
      </c>
      <c r="K444" t="n">
        <v>0</v>
      </c>
      <c r="L444" t="n">
        <v>0</v>
      </c>
      <c r="M444" t="n">
        <v>0</v>
      </c>
      <c r="N444" t="n">
        <v>0</v>
      </c>
      <c r="O444" t="n">
        <v>0</v>
      </c>
      <c r="P444" t="n">
        <v>0</v>
      </c>
      <c r="Q444" t="n">
        <v>0</v>
      </c>
      <c r="R444" s="2" t="inlineStr"/>
    </row>
    <row r="445" ht="15" customHeight="1">
      <c r="A445" t="inlineStr">
        <is>
          <t>A 8862-2024</t>
        </is>
      </c>
      <c r="B445" s="1" t="n">
        <v>45356.96326388889</v>
      </c>
      <c r="C445" s="1" t="n">
        <v>46033</v>
      </c>
      <c r="D445" t="inlineStr">
        <is>
          <t>NORRBOTTENS LÄN</t>
        </is>
      </c>
      <c r="E445" t="inlineStr">
        <is>
          <t>LULEÅ</t>
        </is>
      </c>
      <c r="G445" t="n">
        <v>10.6</v>
      </c>
      <c r="H445" t="n">
        <v>0</v>
      </c>
      <c r="I445" t="n">
        <v>0</v>
      </c>
      <c r="J445" t="n">
        <v>0</v>
      </c>
      <c r="K445" t="n">
        <v>0</v>
      </c>
      <c r="L445" t="n">
        <v>0</v>
      </c>
      <c r="M445" t="n">
        <v>0</v>
      </c>
      <c r="N445" t="n">
        <v>0</v>
      </c>
      <c r="O445" t="n">
        <v>0</v>
      </c>
      <c r="P445" t="n">
        <v>0</v>
      </c>
      <c r="Q445" t="n">
        <v>0</v>
      </c>
      <c r="R445" s="2" t="inlineStr"/>
    </row>
    <row r="446" ht="15" customHeight="1">
      <c r="A446" t="inlineStr">
        <is>
          <t>A 55076-2024</t>
        </is>
      </c>
      <c r="B446" s="1" t="n">
        <v>45621.42574074074</v>
      </c>
      <c r="C446" s="1" t="n">
        <v>46033</v>
      </c>
      <c r="D446" t="inlineStr">
        <is>
          <t>NORRBOTTENS LÄN</t>
        </is>
      </c>
      <c r="E446" t="inlineStr">
        <is>
          <t>LULEÅ</t>
        </is>
      </c>
      <c r="G446" t="n">
        <v>6.2</v>
      </c>
      <c r="H446" t="n">
        <v>0</v>
      </c>
      <c r="I446" t="n">
        <v>0</v>
      </c>
      <c r="J446" t="n">
        <v>0</v>
      </c>
      <c r="K446" t="n">
        <v>0</v>
      </c>
      <c r="L446" t="n">
        <v>0</v>
      </c>
      <c r="M446" t="n">
        <v>0</v>
      </c>
      <c r="N446" t="n">
        <v>0</v>
      </c>
      <c r="O446" t="n">
        <v>0</v>
      </c>
      <c r="P446" t="n">
        <v>0</v>
      </c>
      <c r="Q446" t="n">
        <v>0</v>
      </c>
      <c r="R446" s="2" t="inlineStr"/>
    </row>
    <row r="447" ht="15" customHeight="1">
      <c r="A447" t="inlineStr">
        <is>
          <t>A 695-2025</t>
        </is>
      </c>
      <c r="B447" s="1" t="n">
        <v>45663</v>
      </c>
      <c r="C447" s="1" t="n">
        <v>46033</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58823-2024</t>
        </is>
      </c>
      <c r="B448" s="1" t="n">
        <v>45635</v>
      </c>
      <c r="C448" s="1" t="n">
        <v>46033</v>
      </c>
      <c r="D448" t="inlineStr">
        <is>
          <t>NORRBOTTENS LÄN</t>
        </is>
      </c>
      <c r="E448" t="inlineStr">
        <is>
          <t>LULEÅ</t>
        </is>
      </c>
      <c r="G448" t="n">
        <v>2.6</v>
      </c>
      <c r="H448" t="n">
        <v>0</v>
      </c>
      <c r="I448" t="n">
        <v>0</v>
      </c>
      <c r="J448" t="n">
        <v>0</v>
      </c>
      <c r="K448" t="n">
        <v>0</v>
      </c>
      <c r="L448" t="n">
        <v>0</v>
      </c>
      <c r="M448" t="n">
        <v>0</v>
      </c>
      <c r="N448" t="n">
        <v>0</v>
      </c>
      <c r="O448" t="n">
        <v>0</v>
      </c>
      <c r="P448" t="n">
        <v>0</v>
      </c>
      <c r="Q448" t="n">
        <v>0</v>
      </c>
      <c r="R448" s="2" t="inlineStr"/>
    </row>
    <row r="449" ht="15" customHeight="1">
      <c r="A449" t="inlineStr">
        <is>
          <t>A 26587-2024</t>
        </is>
      </c>
      <c r="B449" s="1" t="n">
        <v>45469.67459490741</v>
      </c>
      <c r="C449" s="1" t="n">
        <v>46033</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28275-2022</t>
        </is>
      </c>
      <c r="B450" s="1" t="n">
        <v>44746</v>
      </c>
      <c r="C450" s="1" t="n">
        <v>46033</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52240-2023</t>
        </is>
      </c>
      <c r="B451" s="1" t="n">
        <v>45224</v>
      </c>
      <c r="C451" s="1" t="n">
        <v>46033</v>
      </c>
      <c r="D451" t="inlineStr">
        <is>
          <t>NORRBOTTENS LÄN</t>
        </is>
      </c>
      <c r="E451" t="inlineStr">
        <is>
          <t>LULEÅ</t>
        </is>
      </c>
      <c r="G451" t="n">
        <v>4.5</v>
      </c>
      <c r="H451" t="n">
        <v>0</v>
      </c>
      <c r="I451" t="n">
        <v>0</v>
      </c>
      <c r="J451" t="n">
        <v>0</v>
      </c>
      <c r="K451" t="n">
        <v>0</v>
      </c>
      <c r="L451" t="n">
        <v>0</v>
      </c>
      <c r="M451" t="n">
        <v>0</v>
      </c>
      <c r="N451" t="n">
        <v>0</v>
      </c>
      <c r="O451" t="n">
        <v>0</v>
      </c>
      <c r="P451" t="n">
        <v>0</v>
      </c>
      <c r="Q451" t="n">
        <v>0</v>
      </c>
      <c r="R451" s="2" t="inlineStr"/>
    </row>
    <row r="452" ht="15" customHeight="1">
      <c r="A452" t="inlineStr">
        <is>
          <t>A 46869-2024</t>
        </is>
      </c>
      <c r="B452" s="1" t="n">
        <v>45583</v>
      </c>
      <c r="C452" s="1" t="n">
        <v>46033</v>
      </c>
      <c r="D452" t="inlineStr">
        <is>
          <t>NORRBOTTENS LÄN</t>
        </is>
      </c>
      <c r="E452" t="inlineStr">
        <is>
          <t>LULEÅ</t>
        </is>
      </c>
      <c r="G452" t="n">
        <v>4.4</v>
      </c>
      <c r="H452" t="n">
        <v>0</v>
      </c>
      <c r="I452" t="n">
        <v>0</v>
      </c>
      <c r="J452" t="n">
        <v>0</v>
      </c>
      <c r="K452" t="n">
        <v>0</v>
      </c>
      <c r="L452" t="n">
        <v>0</v>
      </c>
      <c r="M452" t="n">
        <v>0</v>
      </c>
      <c r="N452" t="n">
        <v>0</v>
      </c>
      <c r="O452" t="n">
        <v>0</v>
      </c>
      <c r="P452" t="n">
        <v>0</v>
      </c>
      <c r="Q452" t="n">
        <v>0</v>
      </c>
      <c r="R452" s="2" t="inlineStr"/>
    </row>
    <row r="453" ht="15" customHeight="1">
      <c r="A453" t="inlineStr">
        <is>
          <t>A 6552-2024</t>
        </is>
      </c>
      <c r="B453" s="1" t="n">
        <v>45341</v>
      </c>
      <c r="C453" s="1" t="n">
        <v>46033</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18053-2024</t>
        </is>
      </c>
      <c r="B454" s="1" t="n">
        <v>45420</v>
      </c>
      <c r="C454" s="1" t="n">
        <v>46033</v>
      </c>
      <c r="D454" t="inlineStr">
        <is>
          <t>NORRBOTTENS LÄN</t>
        </is>
      </c>
      <c r="E454" t="inlineStr">
        <is>
          <t>LULEÅ</t>
        </is>
      </c>
      <c r="G454" t="n">
        <v>3.7</v>
      </c>
      <c r="H454" t="n">
        <v>0</v>
      </c>
      <c r="I454" t="n">
        <v>0</v>
      </c>
      <c r="J454" t="n">
        <v>0</v>
      </c>
      <c r="K454" t="n">
        <v>0</v>
      </c>
      <c r="L454" t="n">
        <v>0</v>
      </c>
      <c r="M454" t="n">
        <v>0</v>
      </c>
      <c r="N454" t="n">
        <v>0</v>
      </c>
      <c r="O454" t="n">
        <v>0</v>
      </c>
      <c r="P454" t="n">
        <v>0</v>
      </c>
      <c r="Q454" t="n">
        <v>0</v>
      </c>
      <c r="R454" s="2" t="inlineStr"/>
    </row>
    <row r="455" ht="15" customHeight="1">
      <c r="A455" t="inlineStr">
        <is>
          <t>A 53780-2025</t>
        </is>
      </c>
      <c r="B455" s="1" t="n">
        <v>45960.6988425926</v>
      </c>
      <c r="C455" s="1" t="n">
        <v>46033</v>
      </c>
      <c r="D455" t="inlineStr">
        <is>
          <t>NORRBOTTENS LÄN</t>
        </is>
      </c>
      <c r="E455" t="inlineStr">
        <is>
          <t>LULEÅ</t>
        </is>
      </c>
      <c r="G455" t="n">
        <v>5.2</v>
      </c>
      <c r="H455" t="n">
        <v>0</v>
      </c>
      <c r="I455" t="n">
        <v>0</v>
      </c>
      <c r="J455" t="n">
        <v>0</v>
      </c>
      <c r="K455" t="n">
        <v>0</v>
      </c>
      <c r="L455" t="n">
        <v>0</v>
      </c>
      <c r="M455" t="n">
        <v>0</v>
      </c>
      <c r="N455" t="n">
        <v>0</v>
      </c>
      <c r="O455" t="n">
        <v>0</v>
      </c>
      <c r="P455" t="n">
        <v>0</v>
      </c>
      <c r="Q455" t="n">
        <v>0</v>
      </c>
      <c r="R455" s="2" t="inlineStr"/>
    </row>
    <row r="456" ht="15" customHeight="1">
      <c r="A456" t="inlineStr">
        <is>
          <t>A 49641-2024</t>
        </is>
      </c>
      <c r="B456" s="1" t="n">
        <v>45596</v>
      </c>
      <c r="C456" s="1" t="n">
        <v>46033</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37304-2024</t>
        </is>
      </c>
      <c r="B457" s="1" t="n">
        <v>45540</v>
      </c>
      <c r="C457" s="1" t="n">
        <v>46033</v>
      </c>
      <c r="D457" t="inlineStr">
        <is>
          <t>NORRBOTTENS LÄN</t>
        </is>
      </c>
      <c r="E457" t="inlineStr">
        <is>
          <t>LULEÅ</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37948-2025</t>
        </is>
      </c>
      <c r="B458" s="1" t="n">
        <v>45881.61543981481</v>
      </c>
      <c r="C458" s="1" t="n">
        <v>46033</v>
      </c>
      <c r="D458" t="inlineStr">
        <is>
          <t>NORRBOTTENS LÄN</t>
        </is>
      </c>
      <c r="E458" t="inlineStr">
        <is>
          <t>LULEÅ</t>
        </is>
      </c>
      <c r="G458" t="n">
        <v>2.7</v>
      </c>
      <c r="H458" t="n">
        <v>0</v>
      </c>
      <c r="I458" t="n">
        <v>0</v>
      </c>
      <c r="J458" t="n">
        <v>0</v>
      </c>
      <c r="K458" t="n">
        <v>0</v>
      </c>
      <c r="L458" t="n">
        <v>0</v>
      </c>
      <c r="M458" t="n">
        <v>0</v>
      </c>
      <c r="N458" t="n">
        <v>0</v>
      </c>
      <c r="O458" t="n">
        <v>0</v>
      </c>
      <c r="P458" t="n">
        <v>0</v>
      </c>
      <c r="Q458" t="n">
        <v>0</v>
      </c>
      <c r="R458" s="2" t="inlineStr"/>
    </row>
    <row r="459" ht="15" customHeight="1">
      <c r="A459" t="inlineStr">
        <is>
          <t>A 37784-2025</t>
        </is>
      </c>
      <c r="B459" s="1" t="n">
        <v>45880.95241898148</v>
      </c>
      <c r="C459" s="1" t="n">
        <v>46033</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37783-2025</t>
        </is>
      </c>
      <c r="B460" s="1" t="n">
        <v>45880.94430555555</v>
      </c>
      <c r="C460" s="1" t="n">
        <v>46033</v>
      </c>
      <c r="D460" t="inlineStr">
        <is>
          <t>NORRBOTTENS LÄN</t>
        </is>
      </c>
      <c r="E460" t="inlineStr">
        <is>
          <t>LULEÅ</t>
        </is>
      </c>
      <c r="G460" t="n">
        <v>7.2</v>
      </c>
      <c r="H460" t="n">
        <v>0</v>
      </c>
      <c r="I460" t="n">
        <v>0</v>
      </c>
      <c r="J460" t="n">
        <v>0</v>
      </c>
      <c r="K460" t="n">
        <v>0</v>
      </c>
      <c r="L460" t="n">
        <v>0</v>
      </c>
      <c r="M460" t="n">
        <v>0</v>
      </c>
      <c r="N460" t="n">
        <v>0</v>
      </c>
      <c r="O460" t="n">
        <v>0</v>
      </c>
      <c r="P460" t="n">
        <v>0</v>
      </c>
      <c r="Q460" t="n">
        <v>0</v>
      </c>
      <c r="R460" s="2" t="inlineStr"/>
    </row>
    <row r="461" ht="15" customHeight="1">
      <c r="A461" t="inlineStr">
        <is>
          <t>A 53704-2025</t>
        </is>
      </c>
      <c r="B461" s="1" t="n">
        <v>45960.60210648148</v>
      </c>
      <c r="C461" s="1" t="n">
        <v>46033</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56043-2021</t>
        </is>
      </c>
      <c r="B462" s="1" t="n">
        <v>44477</v>
      </c>
      <c r="C462" s="1" t="n">
        <v>46033</v>
      </c>
      <c r="D462" t="inlineStr">
        <is>
          <t>NORRBOTTENS LÄN</t>
        </is>
      </c>
      <c r="E462" t="inlineStr">
        <is>
          <t>LULEÅ</t>
        </is>
      </c>
      <c r="G462" t="n">
        <v>3.8</v>
      </c>
      <c r="H462" t="n">
        <v>0</v>
      </c>
      <c r="I462" t="n">
        <v>0</v>
      </c>
      <c r="J462" t="n">
        <v>0</v>
      </c>
      <c r="K462" t="n">
        <v>0</v>
      </c>
      <c r="L462" t="n">
        <v>0</v>
      </c>
      <c r="M462" t="n">
        <v>0</v>
      </c>
      <c r="N462" t="n">
        <v>0</v>
      </c>
      <c r="O462" t="n">
        <v>0</v>
      </c>
      <c r="P462" t="n">
        <v>0</v>
      </c>
      <c r="Q462" t="n">
        <v>0</v>
      </c>
      <c r="R462" s="2" t="inlineStr"/>
    </row>
    <row r="463" ht="15" customHeight="1">
      <c r="A463" t="inlineStr">
        <is>
          <t>A 56057-2021</t>
        </is>
      </c>
      <c r="B463" s="1" t="n">
        <v>44477</v>
      </c>
      <c r="C463" s="1" t="n">
        <v>46033</v>
      </c>
      <c r="D463" t="inlineStr">
        <is>
          <t>NORRBOTTENS LÄN</t>
        </is>
      </c>
      <c r="E463" t="inlineStr">
        <is>
          <t>LULEÅ</t>
        </is>
      </c>
      <c r="G463" t="n">
        <v>3.7</v>
      </c>
      <c r="H463" t="n">
        <v>0</v>
      </c>
      <c r="I463" t="n">
        <v>0</v>
      </c>
      <c r="J463" t="n">
        <v>0</v>
      </c>
      <c r="K463" t="n">
        <v>0</v>
      </c>
      <c r="L463" t="n">
        <v>0</v>
      </c>
      <c r="M463" t="n">
        <v>0</v>
      </c>
      <c r="N463" t="n">
        <v>0</v>
      </c>
      <c r="O463" t="n">
        <v>0</v>
      </c>
      <c r="P463" t="n">
        <v>0</v>
      </c>
      <c r="Q463" t="n">
        <v>0</v>
      </c>
      <c r="R463" s="2" t="inlineStr"/>
    </row>
    <row r="464" ht="15" customHeight="1">
      <c r="A464" t="inlineStr">
        <is>
          <t>A 27305-2022</t>
        </is>
      </c>
      <c r="B464" s="1" t="n">
        <v>44741</v>
      </c>
      <c r="C464" s="1" t="n">
        <v>46033</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19872-2024</t>
        </is>
      </c>
      <c r="B465" s="1" t="n">
        <v>45433.45890046296</v>
      </c>
      <c r="C465" s="1" t="n">
        <v>46033</v>
      </c>
      <c r="D465" t="inlineStr">
        <is>
          <t>NORRBOTTENS LÄN</t>
        </is>
      </c>
      <c r="E465" t="inlineStr">
        <is>
          <t>LULEÅ</t>
        </is>
      </c>
      <c r="G465" t="n">
        <v>3.3</v>
      </c>
      <c r="H465" t="n">
        <v>0</v>
      </c>
      <c r="I465" t="n">
        <v>0</v>
      </c>
      <c r="J465" t="n">
        <v>0</v>
      </c>
      <c r="K465" t="n">
        <v>0</v>
      </c>
      <c r="L465" t="n">
        <v>0</v>
      </c>
      <c r="M465" t="n">
        <v>0</v>
      </c>
      <c r="N465" t="n">
        <v>0</v>
      </c>
      <c r="O465" t="n">
        <v>0</v>
      </c>
      <c r="P465" t="n">
        <v>0</v>
      </c>
      <c r="Q465" t="n">
        <v>0</v>
      </c>
      <c r="R465" s="2" t="inlineStr"/>
    </row>
    <row r="466" ht="15" customHeight="1">
      <c r="A466" t="inlineStr">
        <is>
          <t>A 61634-2025</t>
        </is>
      </c>
      <c r="B466" s="1" t="n">
        <v>46002.41836805556</v>
      </c>
      <c r="C466" s="1" t="n">
        <v>46033</v>
      </c>
      <c r="D466" t="inlineStr">
        <is>
          <t>NORRBOTTENS LÄN</t>
        </is>
      </c>
      <c r="E466" t="inlineStr">
        <is>
          <t>LULEÅ</t>
        </is>
      </c>
      <c r="G466" t="n">
        <v>4.1</v>
      </c>
      <c r="H466" t="n">
        <v>0</v>
      </c>
      <c r="I466" t="n">
        <v>0</v>
      </c>
      <c r="J466" t="n">
        <v>0</v>
      </c>
      <c r="K466" t="n">
        <v>0</v>
      </c>
      <c r="L466" t="n">
        <v>0</v>
      </c>
      <c r="M466" t="n">
        <v>0</v>
      </c>
      <c r="N466" t="n">
        <v>0</v>
      </c>
      <c r="O466" t="n">
        <v>0</v>
      </c>
      <c r="P466" t="n">
        <v>0</v>
      </c>
      <c r="Q466" t="n">
        <v>0</v>
      </c>
      <c r="R466" s="2" t="inlineStr"/>
    </row>
    <row r="467" ht="15" customHeight="1">
      <c r="A467" t="inlineStr">
        <is>
          <t>A 38434-2025</t>
        </is>
      </c>
      <c r="B467" s="1" t="n">
        <v>45883.64178240741</v>
      </c>
      <c r="C467" s="1" t="n">
        <v>46033</v>
      </c>
      <c r="D467" t="inlineStr">
        <is>
          <t>NORRBOTTENS LÄN</t>
        </is>
      </c>
      <c r="E467" t="inlineStr">
        <is>
          <t>LULEÅ</t>
        </is>
      </c>
      <c r="G467" t="n">
        <v>11.4</v>
      </c>
      <c r="H467" t="n">
        <v>0</v>
      </c>
      <c r="I467" t="n">
        <v>0</v>
      </c>
      <c r="J467" t="n">
        <v>0</v>
      </c>
      <c r="K467" t="n">
        <v>0</v>
      </c>
      <c r="L467" t="n">
        <v>0</v>
      </c>
      <c r="M467" t="n">
        <v>0</v>
      </c>
      <c r="N467" t="n">
        <v>0</v>
      </c>
      <c r="O467" t="n">
        <v>0</v>
      </c>
      <c r="P467" t="n">
        <v>0</v>
      </c>
      <c r="Q467" t="n">
        <v>0</v>
      </c>
      <c r="R467" s="2" t="inlineStr"/>
    </row>
    <row r="468" ht="15" customHeight="1">
      <c r="A468" t="inlineStr">
        <is>
          <t>A 54531-2025</t>
        </is>
      </c>
      <c r="B468" s="1" t="n">
        <v>45965</v>
      </c>
      <c r="C468" s="1" t="n">
        <v>46033</v>
      </c>
      <c r="D468" t="inlineStr">
        <is>
          <t>NORRBOTTENS LÄN</t>
        </is>
      </c>
      <c r="E468" t="inlineStr">
        <is>
          <t>LULEÅ</t>
        </is>
      </c>
      <c r="G468" t="n">
        <v>2.3</v>
      </c>
      <c r="H468" t="n">
        <v>0</v>
      </c>
      <c r="I468" t="n">
        <v>0</v>
      </c>
      <c r="J468" t="n">
        <v>0</v>
      </c>
      <c r="K468" t="n">
        <v>0</v>
      </c>
      <c r="L468" t="n">
        <v>0</v>
      </c>
      <c r="M468" t="n">
        <v>0</v>
      </c>
      <c r="N468" t="n">
        <v>0</v>
      </c>
      <c r="O468" t="n">
        <v>0</v>
      </c>
      <c r="P468" t="n">
        <v>0</v>
      </c>
      <c r="Q468" t="n">
        <v>0</v>
      </c>
      <c r="R468" s="2" t="inlineStr"/>
    </row>
    <row r="469" ht="15" customHeight="1">
      <c r="A469" t="inlineStr">
        <is>
          <t>A 54280-2025</t>
        </is>
      </c>
      <c r="B469" s="1" t="n">
        <v>45964.70950231481</v>
      </c>
      <c r="C469" s="1" t="n">
        <v>46033</v>
      </c>
      <c r="D469" t="inlineStr">
        <is>
          <t>NORRBOTTENS LÄN</t>
        </is>
      </c>
      <c r="E469" t="inlineStr">
        <is>
          <t>LULEÅ</t>
        </is>
      </c>
      <c r="G469" t="n">
        <v>1.5</v>
      </c>
      <c r="H469" t="n">
        <v>0</v>
      </c>
      <c r="I469" t="n">
        <v>0</v>
      </c>
      <c r="J469" t="n">
        <v>0</v>
      </c>
      <c r="K469" t="n">
        <v>0</v>
      </c>
      <c r="L469" t="n">
        <v>0</v>
      </c>
      <c r="M469" t="n">
        <v>0</v>
      </c>
      <c r="N469" t="n">
        <v>0</v>
      </c>
      <c r="O469" t="n">
        <v>0</v>
      </c>
      <c r="P469" t="n">
        <v>0</v>
      </c>
      <c r="Q469" t="n">
        <v>0</v>
      </c>
      <c r="R469" s="2" t="inlineStr"/>
    </row>
    <row r="470" ht="15" customHeight="1">
      <c r="A470" t="inlineStr">
        <is>
          <t>A 53960-2023</t>
        </is>
      </c>
      <c r="B470" s="1" t="n">
        <v>45225</v>
      </c>
      <c r="C470" s="1" t="n">
        <v>46033</v>
      </c>
      <c r="D470" t="inlineStr">
        <is>
          <t>NORRBOTTENS LÄN</t>
        </is>
      </c>
      <c r="E470" t="inlineStr">
        <is>
          <t>LULEÅ</t>
        </is>
      </c>
      <c r="G470" t="n">
        <v>0.8</v>
      </c>
      <c r="H470" t="n">
        <v>0</v>
      </c>
      <c r="I470" t="n">
        <v>0</v>
      </c>
      <c r="J470" t="n">
        <v>0</v>
      </c>
      <c r="K470" t="n">
        <v>0</v>
      </c>
      <c r="L470" t="n">
        <v>0</v>
      </c>
      <c r="M470" t="n">
        <v>0</v>
      </c>
      <c r="N470" t="n">
        <v>0</v>
      </c>
      <c r="O470" t="n">
        <v>0</v>
      </c>
      <c r="P470" t="n">
        <v>0</v>
      </c>
      <c r="Q470" t="n">
        <v>0</v>
      </c>
      <c r="R470" s="2" t="inlineStr"/>
    </row>
    <row r="471" ht="15" customHeight="1">
      <c r="A471" t="inlineStr">
        <is>
          <t>A 54442-2025</t>
        </is>
      </c>
      <c r="B471" s="1" t="n">
        <v>45965.50621527778</v>
      </c>
      <c r="C471" s="1" t="n">
        <v>46033</v>
      </c>
      <c r="D471" t="inlineStr">
        <is>
          <t>NORRBOTTENS LÄN</t>
        </is>
      </c>
      <c r="E471" t="inlineStr">
        <is>
          <t>LULEÅ</t>
        </is>
      </c>
      <c r="G471" t="n">
        <v>6.6</v>
      </c>
      <c r="H471" t="n">
        <v>0</v>
      </c>
      <c r="I471" t="n">
        <v>0</v>
      </c>
      <c r="J471" t="n">
        <v>0</v>
      </c>
      <c r="K471" t="n">
        <v>0</v>
      </c>
      <c r="L471" t="n">
        <v>0</v>
      </c>
      <c r="M471" t="n">
        <v>0</v>
      </c>
      <c r="N471" t="n">
        <v>0</v>
      </c>
      <c r="O471" t="n">
        <v>0</v>
      </c>
      <c r="P471" t="n">
        <v>0</v>
      </c>
      <c r="Q471" t="n">
        <v>0</v>
      </c>
      <c r="R471" s="2" t="inlineStr"/>
    </row>
    <row r="472" ht="15" customHeight="1">
      <c r="A472" t="inlineStr">
        <is>
          <t>A 54279-2025</t>
        </is>
      </c>
      <c r="B472" s="1" t="n">
        <v>45964.70471064815</v>
      </c>
      <c r="C472" s="1" t="n">
        <v>46033</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54398-2025</t>
        </is>
      </c>
      <c r="B473" s="1" t="n">
        <v>45965.44887731481</v>
      </c>
      <c r="C473" s="1" t="n">
        <v>46033</v>
      </c>
      <c r="D473" t="inlineStr">
        <is>
          <t>NORRBOTTENS LÄN</t>
        </is>
      </c>
      <c r="E473" t="inlineStr">
        <is>
          <t>LULEÅ</t>
        </is>
      </c>
      <c r="G473" t="n">
        <v>8.6</v>
      </c>
      <c r="H473" t="n">
        <v>0</v>
      </c>
      <c r="I473" t="n">
        <v>0</v>
      </c>
      <c r="J473" t="n">
        <v>0</v>
      </c>
      <c r="K473" t="n">
        <v>0</v>
      </c>
      <c r="L473" t="n">
        <v>0</v>
      </c>
      <c r="M473" t="n">
        <v>0</v>
      </c>
      <c r="N473" t="n">
        <v>0</v>
      </c>
      <c r="O473" t="n">
        <v>0</v>
      </c>
      <c r="P473" t="n">
        <v>0</v>
      </c>
      <c r="Q473" t="n">
        <v>0</v>
      </c>
      <c r="R473" s="2" t="inlineStr"/>
    </row>
    <row r="474" ht="15" customHeight="1">
      <c r="A474" t="inlineStr">
        <is>
          <t>A 31067-2023</t>
        </is>
      </c>
      <c r="B474" s="1" t="n">
        <v>45113</v>
      </c>
      <c r="C474" s="1" t="n">
        <v>46033</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54558-2025</t>
        </is>
      </c>
      <c r="B475" s="1" t="n">
        <v>45965.66197916667</v>
      </c>
      <c r="C475" s="1" t="n">
        <v>46033</v>
      </c>
      <c r="D475" t="inlineStr">
        <is>
          <t>NORRBOTTENS LÄN</t>
        </is>
      </c>
      <c r="E475" t="inlineStr">
        <is>
          <t>LULEÅ</t>
        </is>
      </c>
      <c r="G475" t="n">
        <v>0.9</v>
      </c>
      <c r="H475" t="n">
        <v>0</v>
      </c>
      <c r="I475" t="n">
        <v>0</v>
      </c>
      <c r="J475" t="n">
        <v>0</v>
      </c>
      <c r="K475" t="n">
        <v>0</v>
      </c>
      <c r="L475" t="n">
        <v>0</v>
      </c>
      <c r="M475" t="n">
        <v>0</v>
      </c>
      <c r="N475" t="n">
        <v>0</v>
      </c>
      <c r="O475" t="n">
        <v>0</v>
      </c>
      <c r="P475" t="n">
        <v>0</v>
      </c>
      <c r="Q475" t="n">
        <v>0</v>
      </c>
      <c r="R475" s="2" t="inlineStr"/>
    </row>
    <row r="476" ht="15" customHeight="1">
      <c r="A476" t="inlineStr">
        <is>
          <t>A 54559-2025</t>
        </is>
      </c>
      <c r="B476" s="1" t="n">
        <v>45965.66282407408</v>
      </c>
      <c r="C476" s="1" t="n">
        <v>46033</v>
      </c>
      <c r="D476" t="inlineStr">
        <is>
          <t>NORRBOTTENS LÄN</t>
        </is>
      </c>
      <c r="E476" t="inlineStr">
        <is>
          <t>LULEÅ</t>
        </is>
      </c>
      <c r="G476" t="n">
        <v>1.8</v>
      </c>
      <c r="H476" t="n">
        <v>0</v>
      </c>
      <c r="I476" t="n">
        <v>0</v>
      </c>
      <c r="J476" t="n">
        <v>0</v>
      </c>
      <c r="K476" t="n">
        <v>0</v>
      </c>
      <c r="L476" t="n">
        <v>0</v>
      </c>
      <c r="M476" t="n">
        <v>0</v>
      </c>
      <c r="N476" t="n">
        <v>0</v>
      </c>
      <c r="O476" t="n">
        <v>0</v>
      </c>
      <c r="P476" t="n">
        <v>0</v>
      </c>
      <c r="Q476" t="n">
        <v>0</v>
      </c>
      <c r="R476" s="2" t="inlineStr"/>
    </row>
    <row r="477" ht="15" customHeight="1">
      <c r="A477" t="inlineStr">
        <is>
          <t>A 26267-2022</t>
        </is>
      </c>
      <c r="B477" s="1" t="n">
        <v>44735.5158912037</v>
      </c>
      <c r="C477" s="1" t="n">
        <v>46033</v>
      </c>
      <c r="D477" t="inlineStr">
        <is>
          <t>NORRBOTTENS LÄN</t>
        </is>
      </c>
      <c r="E477" t="inlineStr">
        <is>
          <t>LULEÅ</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54274-2025</t>
        </is>
      </c>
      <c r="B478" s="1" t="n">
        <v>45964.6821875</v>
      </c>
      <c r="C478" s="1" t="n">
        <v>46033</v>
      </c>
      <c r="D478" t="inlineStr">
        <is>
          <t>NORRBOTTENS LÄN</t>
        </is>
      </c>
      <c r="E478" t="inlineStr">
        <is>
          <t>LULEÅ</t>
        </is>
      </c>
      <c r="G478" t="n">
        <v>2.3</v>
      </c>
      <c r="H478" t="n">
        <v>0</v>
      </c>
      <c r="I478" t="n">
        <v>0</v>
      </c>
      <c r="J478" t="n">
        <v>0</v>
      </c>
      <c r="K478" t="n">
        <v>0</v>
      </c>
      <c r="L478" t="n">
        <v>0</v>
      </c>
      <c r="M478" t="n">
        <v>0</v>
      </c>
      <c r="N478" t="n">
        <v>0</v>
      </c>
      <c r="O478" t="n">
        <v>0</v>
      </c>
      <c r="P478" t="n">
        <v>0</v>
      </c>
      <c r="Q478" t="n">
        <v>0</v>
      </c>
      <c r="R478" s="2" t="inlineStr"/>
    </row>
    <row r="479" ht="15" customHeight="1">
      <c r="A479" t="inlineStr">
        <is>
          <t>A 62039-2025</t>
        </is>
      </c>
      <c r="B479" s="1" t="n">
        <v>46005.47141203703</v>
      </c>
      <c r="C479" s="1" t="n">
        <v>46033</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62190-2025</t>
        </is>
      </c>
      <c r="B480" s="1" t="n">
        <v>46006.54785879629</v>
      </c>
      <c r="C480" s="1" t="n">
        <v>46033</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17899-2025</t>
        </is>
      </c>
      <c r="B481" s="1" t="n">
        <v>45758.69832175926</v>
      </c>
      <c r="C481" s="1" t="n">
        <v>46033</v>
      </c>
      <c r="D481" t="inlineStr">
        <is>
          <t>NORRBOTTENS LÄN</t>
        </is>
      </c>
      <c r="E481" t="inlineStr">
        <is>
          <t>LULEÅ</t>
        </is>
      </c>
      <c r="G481" t="n">
        <v>3.1</v>
      </c>
      <c r="H481" t="n">
        <v>0</v>
      </c>
      <c r="I481" t="n">
        <v>0</v>
      </c>
      <c r="J481" t="n">
        <v>0</v>
      </c>
      <c r="K481" t="n">
        <v>0</v>
      </c>
      <c r="L481" t="n">
        <v>0</v>
      </c>
      <c r="M481" t="n">
        <v>0</v>
      </c>
      <c r="N481" t="n">
        <v>0</v>
      </c>
      <c r="O481" t="n">
        <v>0</v>
      </c>
      <c r="P481" t="n">
        <v>0</v>
      </c>
      <c r="Q481" t="n">
        <v>0</v>
      </c>
      <c r="R481" s="2" t="inlineStr"/>
    </row>
    <row r="482" ht="15" customHeight="1">
      <c r="A482" t="inlineStr">
        <is>
          <t>A 54479-2025</t>
        </is>
      </c>
      <c r="B482" s="1" t="n">
        <v>45965.58432870371</v>
      </c>
      <c r="C482" s="1" t="n">
        <v>46033</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62191-2025</t>
        </is>
      </c>
      <c r="B483" s="1" t="n">
        <v>46006.54866898148</v>
      </c>
      <c r="C483" s="1" t="n">
        <v>46033</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1683-2025</t>
        </is>
      </c>
      <c r="B484" s="1" t="n">
        <v>45670.69847222222</v>
      </c>
      <c r="C484" s="1" t="n">
        <v>46033</v>
      </c>
      <c r="D484" t="inlineStr">
        <is>
          <t>NORRBOTTENS LÄN</t>
        </is>
      </c>
      <c r="E484" t="inlineStr">
        <is>
          <t>LULEÅ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8750-2025</t>
        </is>
      </c>
      <c r="B485" s="1" t="n">
        <v>45712.56173611111</v>
      </c>
      <c r="C485" s="1" t="n">
        <v>46033</v>
      </c>
      <c r="D485" t="inlineStr">
        <is>
          <t>NORRBOTTENS LÄN</t>
        </is>
      </c>
      <c r="E485" t="inlineStr">
        <is>
          <t>LULEÅ</t>
        </is>
      </c>
      <c r="G485" t="n">
        <v>10.8</v>
      </c>
      <c r="H485" t="n">
        <v>0</v>
      </c>
      <c r="I485" t="n">
        <v>0</v>
      </c>
      <c r="J485" t="n">
        <v>0</v>
      </c>
      <c r="K485" t="n">
        <v>0</v>
      </c>
      <c r="L485" t="n">
        <v>0</v>
      </c>
      <c r="M485" t="n">
        <v>0</v>
      </c>
      <c r="N485" t="n">
        <v>0</v>
      </c>
      <c r="O485" t="n">
        <v>0</v>
      </c>
      <c r="P485" t="n">
        <v>0</v>
      </c>
      <c r="Q485" t="n">
        <v>0</v>
      </c>
      <c r="R485" s="2" t="inlineStr"/>
    </row>
    <row r="486" ht="15" customHeight="1">
      <c r="A486" t="inlineStr">
        <is>
          <t>A 60387-2024</t>
        </is>
      </c>
      <c r="B486" s="1" t="n">
        <v>45643.48357638889</v>
      </c>
      <c r="C486" s="1" t="n">
        <v>46033</v>
      </c>
      <c r="D486" t="inlineStr">
        <is>
          <t>NORRBOTTENS LÄN</t>
        </is>
      </c>
      <c r="E486" t="inlineStr">
        <is>
          <t>LULEÅ</t>
        </is>
      </c>
      <c r="G486" t="n">
        <v>3.4</v>
      </c>
      <c r="H486" t="n">
        <v>0</v>
      </c>
      <c r="I486" t="n">
        <v>0</v>
      </c>
      <c r="J486" t="n">
        <v>0</v>
      </c>
      <c r="K486" t="n">
        <v>0</v>
      </c>
      <c r="L486" t="n">
        <v>0</v>
      </c>
      <c r="M486" t="n">
        <v>0</v>
      </c>
      <c r="N486" t="n">
        <v>0</v>
      </c>
      <c r="O486" t="n">
        <v>0</v>
      </c>
      <c r="P486" t="n">
        <v>0</v>
      </c>
      <c r="Q486" t="n">
        <v>0</v>
      </c>
      <c r="R486" s="2" t="inlineStr"/>
    </row>
    <row r="487" ht="15" customHeight="1">
      <c r="A487" t="inlineStr">
        <is>
          <t>A 54428-2025</t>
        </is>
      </c>
      <c r="B487" s="1" t="n">
        <v>45965.49263888889</v>
      </c>
      <c r="C487" s="1" t="n">
        <v>46033</v>
      </c>
      <c r="D487" t="inlineStr">
        <is>
          <t>NORRBOTTENS LÄN</t>
        </is>
      </c>
      <c r="E487" t="inlineStr">
        <is>
          <t>LULEÅ</t>
        </is>
      </c>
      <c r="G487" t="n">
        <v>0.5</v>
      </c>
      <c r="H487" t="n">
        <v>0</v>
      </c>
      <c r="I487" t="n">
        <v>0</v>
      </c>
      <c r="J487" t="n">
        <v>0</v>
      </c>
      <c r="K487" t="n">
        <v>0</v>
      </c>
      <c r="L487" t="n">
        <v>0</v>
      </c>
      <c r="M487" t="n">
        <v>0</v>
      </c>
      <c r="N487" t="n">
        <v>0</v>
      </c>
      <c r="O487" t="n">
        <v>0</v>
      </c>
      <c r="P487" t="n">
        <v>0</v>
      </c>
      <c r="Q487" t="n">
        <v>0</v>
      </c>
      <c r="R487" s="2" t="inlineStr"/>
    </row>
    <row r="488" ht="15" customHeight="1">
      <c r="A488" t="inlineStr">
        <is>
          <t>A 54436-2025</t>
        </is>
      </c>
      <c r="B488" s="1" t="n">
        <v>45965.50042824074</v>
      </c>
      <c r="C488" s="1" t="n">
        <v>46033</v>
      </c>
      <c r="D488" t="inlineStr">
        <is>
          <t>NORRBOTTENS LÄN</t>
        </is>
      </c>
      <c r="E488" t="inlineStr">
        <is>
          <t>LULEÅ</t>
        </is>
      </c>
      <c r="G488" t="n">
        <v>4.8</v>
      </c>
      <c r="H488" t="n">
        <v>0</v>
      </c>
      <c r="I488" t="n">
        <v>0</v>
      </c>
      <c r="J488" t="n">
        <v>0</v>
      </c>
      <c r="K488" t="n">
        <v>0</v>
      </c>
      <c r="L488" t="n">
        <v>0</v>
      </c>
      <c r="M488" t="n">
        <v>0</v>
      </c>
      <c r="N488" t="n">
        <v>0</v>
      </c>
      <c r="O488" t="n">
        <v>0</v>
      </c>
      <c r="P488" t="n">
        <v>0</v>
      </c>
      <c r="Q488" t="n">
        <v>0</v>
      </c>
      <c r="R488" s="2" t="inlineStr"/>
    </row>
    <row r="489" ht="15" customHeight="1">
      <c r="A489" t="inlineStr">
        <is>
          <t>A 45182-2024</t>
        </is>
      </c>
      <c r="B489" s="1" t="n">
        <v>45575.66403935185</v>
      </c>
      <c r="C489" s="1" t="n">
        <v>46033</v>
      </c>
      <c r="D489" t="inlineStr">
        <is>
          <t>NORRBOTTENS LÄN</t>
        </is>
      </c>
      <c r="E489" t="inlineStr">
        <is>
          <t>LULEÅ</t>
        </is>
      </c>
      <c r="G489" t="n">
        <v>0.9</v>
      </c>
      <c r="H489" t="n">
        <v>0</v>
      </c>
      <c r="I489" t="n">
        <v>0</v>
      </c>
      <c r="J489" t="n">
        <v>0</v>
      </c>
      <c r="K489" t="n">
        <v>0</v>
      </c>
      <c r="L489" t="n">
        <v>0</v>
      </c>
      <c r="M489" t="n">
        <v>0</v>
      </c>
      <c r="N489" t="n">
        <v>0</v>
      </c>
      <c r="O489" t="n">
        <v>0</v>
      </c>
      <c r="P489" t="n">
        <v>0</v>
      </c>
      <c r="Q489" t="n">
        <v>0</v>
      </c>
      <c r="R489" s="2" t="inlineStr"/>
    </row>
    <row r="490" ht="15" customHeight="1">
      <c r="A490" t="inlineStr">
        <is>
          <t>A 38936-2025</t>
        </is>
      </c>
      <c r="B490" s="1" t="n">
        <v>45884</v>
      </c>
      <c r="C490" s="1" t="n">
        <v>46033</v>
      </c>
      <c r="D490" t="inlineStr">
        <is>
          <t>NORRBOTTENS LÄN</t>
        </is>
      </c>
      <c r="E490" t="inlineStr">
        <is>
          <t>LULEÅ</t>
        </is>
      </c>
      <c r="G490" t="n">
        <v>2</v>
      </c>
      <c r="H490" t="n">
        <v>0</v>
      </c>
      <c r="I490" t="n">
        <v>0</v>
      </c>
      <c r="J490" t="n">
        <v>0</v>
      </c>
      <c r="K490" t="n">
        <v>0</v>
      </c>
      <c r="L490" t="n">
        <v>0</v>
      </c>
      <c r="M490" t="n">
        <v>0</v>
      </c>
      <c r="N490" t="n">
        <v>0</v>
      </c>
      <c r="O490" t="n">
        <v>0</v>
      </c>
      <c r="P490" t="n">
        <v>0</v>
      </c>
      <c r="Q490" t="n">
        <v>0</v>
      </c>
      <c r="R490" s="2" t="inlineStr"/>
    </row>
    <row r="491" ht="15" customHeight="1">
      <c r="A491" t="inlineStr">
        <is>
          <t>A 14128-2023</t>
        </is>
      </c>
      <c r="B491" s="1" t="n">
        <v>45009</v>
      </c>
      <c r="C491" s="1" t="n">
        <v>46033</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454-2024</t>
        </is>
      </c>
      <c r="B492" s="1" t="n">
        <v>45296</v>
      </c>
      <c r="C492" s="1" t="n">
        <v>46033</v>
      </c>
      <c r="D492" t="inlineStr">
        <is>
          <t>NORRBOTTENS LÄN</t>
        </is>
      </c>
      <c r="E492" t="inlineStr">
        <is>
          <t>LULEÅ</t>
        </is>
      </c>
      <c r="G492" t="n">
        <v>0.7</v>
      </c>
      <c r="H492" t="n">
        <v>0</v>
      </c>
      <c r="I492" t="n">
        <v>0</v>
      </c>
      <c r="J492" t="n">
        <v>0</v>
      </c>
      <c r="K492" t="n">
        <v>0</v>
      </c>
      <c r="L492" t="n">
        <v>0</v>
      </c>
      <c r="M492" t="n">
        <v>0</v>
      </c>
      <c r="N492" t="n">
        <v>0</v>
      </c>
      <c r="O492" t="n">
        <v>0</v>
      </c>
      <c r="P492" t="n">
        <v>0</v>
      </c>
      <c r="Q492" t="n">
        <v>0</v>
      </c>
      <c r="R492" s="2" t="inlineStr"/>
    </row>
    <row r="493" ht="15" customHeight="1">
      <c r="A493" t="inlineStr">
        <is>
          <t>A 62783-2025</t>
        </is>
      </c>
      <c r="B493" s="1" t="n">
        <v>46008.61600694444</v>
      </c>
      <c r="C493" s="1" t="n">
        <v>46033</v>
      </c>
      <c r="D493" t="inlineStr">
        <is>
          <t>NORRBOTTENS LÄN</t>
        </is>
      </c>
      <c r="E493" t="inlineStr">
        <is>
          <t>LULEÅ</t>
        </is>
      </c>
      <c r="G493" t="n">
        <v>5.6</v>
      </c>
      <c r="H493" t="n">
        <v>0</v>
      </c>
      <c r="I493" t="n">
        <v>0</v>
      </c>
      <c r="J493" t="n">
        <v>0</v>
      </c>
      <c r="K493" t="n">
        <v>0</v>
      </c>
      <c r="L493" t="n">
        <v>0</v>
      </c>
      <c r="M493" t="n">
        <v>0</v>
      </c>
      <c r="N493" t="n">
        <v>0</v>
      </c>
      <c r="O493" t="n">
        <v>0</v>
      </c>
      <c r="P493" t="n">
        <v>0</v>
      </c>
      <c r="Q493" t="n">
        <v>0</v>
      </c>
      <c r="R493" s="2" t="inlineStr"/>
    </row>
    <row r="494" ht="15" customHeight="1">
      <c r="A494" t="inlineStr">
        <is>
          <t>A 60130-2024</t>
        </is>
      </c>
      <c r="B494" s="1" t="n">
        <v>45642.59327546296</v>
      </c>
      <c r="C494" s="1" t="n">
        <v>46033</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62947-2025</t>
        </is>
      </c>
      <c r="B495" s="1" t="n">
        <v>46009.44439814815</v>
      </c>
      <c r="C495" s="1" t="n">
        <v>46033</v>
      </c>
      <c r="D495" t="inlineStr">
        <is>
          <t>NORRBOTTENS LÄN</t>
        </is>
      </c>
      <c r="E495" t="inlineStr">
        <is>
          <t>LULEÅ</t>
        </is>
      </c>
      <c r="G495" t="n">
        <v>2.9</v>
      </c>
      <c r="H495" t="n">
        <v>0</v>
      </c>
      <c r="I495" t="n">
        <v>0</v>
      </c>
      <c r="J495" t="n">
        <v>0</v>
      </c>
      <c r="K495" t="n">
        <v>0</v>
      </c>
      <c r="L495" t="n">
        <v>0</v>
      </c>
      <c r="M495" t="n">
        <v>0</v>
      </c>
      <c r="N495" t="n">
        <v>0</v>
      </c>
      <c r="O495" t="n">
        <v>0</v>
      </c>
      <c r="P495" t="n">
        <v>0</v>
      </c>
      <c r="Q495" t="n">
        <v>0</v>
      </c>
      <c r="R495" s="2" t="inlineStr"/>
    </row>
    <row r="496" ht="15" customHeight="1">
      <c r="A496" t="inlineStr">
        <is>
          <t>A 62188-2025</t>
        </is>
      </c>
      <c r="B496" s="1" t="n">
        <v>46006.5471412037</v>
      </c>
      <c r="C496" s="1" t="n">
        <v>46033</v>
      </c>
      <c r="D496" t="inlineStr">
        <is>
          <t>NORRBOTTENS LÄN</t>
        </is>
      </c>
      <c r="E496" t="inlineStr">
        <is>
          <t>LULEÅ</t>
        </is>
      </c>
      <c r="G496" t="n">
        <v>2.8</v>
      </c>
      <c r="H496" t="n">
        <v>0</v>
      </c>
      <c r="I496" t="n">
        <v>0</v>
      </c>
      <c r="J496" t="n">
        <v>0</v>
      </c>
      <c r="K496" t="n">
        <v>0</v>
      </c>
      <c r="L496" t="n">
        <v>0</v>
      </c>
      <c r="M496" t="n">
        <v>0</v>
      </c>
      <c r="N496" t="n">
        <v>0</v>
      </c>
      <c r="O496" t="n">
        <v>0</v>
      </c>
      <c r="P496" t="n">
        <v>0</v>
      </c>
      <c r="Q496" t="n">
        <v>0</v>
      </c>
      <c r="R496" s="2" t="inlineStr"/>
    </row>
    <row r="497" ht="15" customHeight="1">
      <c r="A497" t="inlineStr">
        <is>
          <t>A 62565-2025</t>
        </is>
      </c>
      <c r="B497" s="1" t="n">
        <v>46007.69832175926</v>
      </c>
      <c r="C497" s="1" t="n">
        <v>46033</v>
      </c>
      <c r="D497" t="inlineStr">
        <is>
          <t>NORRBOTTENS LÄN</t>
        </is>
      </c>
      <c r="E497" t="inlineStr">
        <is>
          <t>LULEÅ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62899-2025</t>
        </is>
      </c>
      <c r="B498" s="1" t="n">
        <v>46009.34431712963</v>
      </c>
      <c r="C498" s="1" t="n">
        <v>46033</v>
      </c>
      <c r="D498" t="inlineStr">
        <is>
          <t>NORRBOTTENS LÄN</t>
        </is>
      </c>
      <c r="E498" t="inlineStr">
        <is>
          <t>LULEÅ</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17439-2023</t>
        </is>
      </c>
      <c r="B499" s="1" t="n">
        <v>45035.92714120371</v>
      </c>
      <c r="C499" s="1" t="n">
        <v>46033</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45857-2024</t>
        </is>
      </c>
      <c r="B500" s="1" t="n">
        <v>45580.34554398148</v>
      </c>
      <c r="C500" s="1" t="n">
        <v>46033</v>
      </c>
      <c r="D500" t="inlineStr">
        <is>
          <t>NORRBOTTENS LÄN</t>
        </is>
      </c>
      <c r="E500" t="inlineStr">
        <is>
          <t>LULEÅ</t>
        </is>
      </c>
      <c r="G500" t="n">
        <v>4.6</v>
      </c>
      <c r="H500" t="n">
        <v>0</v>
      </c>
      <c r="I500" t="n">
        <v>0</v>
      </c>
      <c r="J500" t="n">
        <v>0</v>
      </c>
      <c r="K500" t="n">
        <v>0</v>
      </c>
      <c r="L500" t="n">
        <v>0</v>
      </c>
      <c r="M500" t="n">
        <v>0</v>
      </c>
      <c r="N500" t="n">
        <v>0</v>
      </c>
      <c r="O500" t="n">
        <v>0</v>
      </c>
      <c r="P500" t="n">
        <v>0</v>
      </c>
      <c r="Q500" t="n">
        <v>0</v>
      </c>
      <c r="R500" s="2" t="inlineStr"/>
    </row>
    <row r="501" ht="15" customHeight="1">
      <c r="A501" t="inlineStr">
        <is>
          <t>A 55090-2025</t>
        </is>
      </c>
      <c r="B501" s="1" t="n">
        <v>45968.34435185185</v>
      </c>
      <c r="C501" s="1" t="n">
        <v>46033</v>
      </c>
      <c r="D501" t="inlineStr">
        <is>
          <t>NORRBOTTENS LÄN</t>
        </is>
      </c>
      <c r="E501" t="inlineStr">
        <is>
          <t>LULEÅ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63211-2025</t>
        </is>
      </c>
      <c r="B502" s="1" t="n">
        <v>46010.47768518519</v>
      </c>
      <c r="C502" s="1" t="n">
        <v>46033</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9449-2023</t>
        </is>
      </c>
      <c r="B503" s="1" t="n">
        <v>44981</v>
      </c>
      <c r="C503" s="1" t="n">
        <v>46033</v>
      </c>
      <c r="D503" t="inlineStr">
        <is>
          <t>NORRBOTTENS LÄN</t>
        </is>
      </c>
      <c r="E503" t="inlineStr">
        <is>
          <t>LULEÅ</t>
        </is>
      </c>
      <c r="G503" t="n">
        <v>6.1</v>
      </c>
      <c r="H503" t="n">
        <v>0</v>
      </c>
      <c r="I503" t="n">
        <v>0</v>
      </c>
      <c r="J503" t="n">
        <v>0</v>
      </c>
      <c r="K503" t="n">
        <v>0</v>
      </c>
      <c r="L503" t="n">
        <v>0</v>
      </c>
      <c r="M503" t="n">
        <v>0</v>
      </c>
      <c r="N503" t="n">
        <v>0</v>
      </c>
      <c r="O503" t="n">
        <v>0</v>
      </c>
      <c r="P503" t="n">
        <v>0</v>
      </c>
      <c r="Q503" t="n">
        <v>0</v>
      </c>
      <c r="R503" s="2" t="inlineStr"/>
    </row>
    <row r="504" ht="15" customHeight="1">
      <c r="A504" t="inlineStr">
        <is>
          <t>A 55443-2025</t>
        </is>
      </c>
      <c r="B504" s="1" t="n">
        <v>45971.49157407408</v>
      </c>
      <c r="C504" s="1" t="n">
        <v>46033</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6841-2024</t>
        </is>
      </c>
      <c r="B505" s="1" t="n">
        <v>45342</v>
      </c>
      <c r="C505" s="1" t="n">
        <v>46033</v>
      </c>
      <c r="D505" t="inlineStr">
        <is>
          <t>NORRBOTTENS LÄN</t>
        </is>
      </c>
      <c r="E505" t="inlineStr">
        <is>
          <t>LULEÅ</t>
        </is>
      </c>
      <c r="G505" t="n">
        <v>2.8</v>
      </c>
      <c r="H505" t="n">
        <v>0</v>
      </c>
      <c r="I505" t="n">
        <v>0</v>
      </c>
      <c r="J505" t="n">
        <v>0</v>
      </c>
      <c r="K505" t="n">
        <v>0</v>
      </c>
      <c r="L505" t="n">
        <v>0</v>
      </c>
      <c r="M505" t="n">
        <v>0</v>
      </c>
      <c r="N505" t="n">
        <v>0</v>
      </c>
      <c r="O505" t="n">
        <v>0</v>
      </c>
      <c r="P505" t="n">
        <v>0</v>
      </c>
      <c r="Q505" t="n">
        <v>0</v>
      </c>
      <c r="R505" s="2" t="inlineStr"/>
    </row>
    <row r="506" ht="15" customHeight="1">
      <c r="A506" t="inlineStr">
        <is>
          <t>A 63233-2025</t>
        </is>
      </c>
      <c r="B506" s="1" t="n">
        <v>46010.51313657407</v>
      </c>
      <c r="C506" s="1" t="n">
        <v>46033</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57823-2022</t>
        </is>
      </c>
      <c r="B507" s="1" t="n">
        <v>44897</v>
      </c>
      <c r="C507" s="1" t="n">
        <v>46033</v>
      </c>
      <c r="D507" t="inlineStr">
        <is>
          <t>NORRBOTTENS LÄN</t>
        </is>
      </c>
      <c r="E507" t="inlineStr">
        <is>
          <t>LULEÅ</t>
        </is>
      </c>
      <c r="G507" t="n">
        <v>6.7</v>
      </c>
      <c r="H507" t="n">
        <v>0</v>
      </c>
      <c r="I507" t="n">
        <v>0</v>
      </c>
      <c r="J507" t="n">
        <v>0</v>
      </c>
      <c r="K507" t="n">
        <v>0</v>
      </c>
      <c r="L507" t="n">
        <v>0</v>
      </c>
      <c r="M507" t="n">
        <v>0</v>
      </c>
      <c r="N507" t="n">
        <v>0</v>
      </c>
      <c r="O507" t="n">
        <v>0</v>
      </c>
      <c r="P507" t="n">
        <v>0</v>
      </c>
      <c r="Q507" t="n">
        <v>0</v>
      </c>
      <c r="R507" s="2" t="inlineStr"/>
    </row>
    <row r="508" ht="15" customHeight="1">
      <c r="A508" t="inlineStr">
        <is>
          <t>A 57825-2022</t>
        </is>
      </c>
      <c r="B508" s="1" t="n">
        <v>44897</v>
      </c>
      <c r="C508" s="1" t="n">
        <v>46033</v>
      </c>
      <c r="D508" t="inlineStr">
        <is>
          <t>NORRBOTTENS LÄN</t>
        </is>
      </c>
      <c r="E508" t="inlineStr">
        <is>
          <t>LULEÅ</t>
        </is>
      </c>
      <c r="G508" t="n">
        <v>2.2</v>
      </c>
      <c r="H508" t="n">
        <v>0</v>
      </c>
      <c r="I508" t="n">
        <v>0</v>
      </c>
      <c r="J508" t="n">
        <v>0</v>
      </c>
      <c r="K508" t="n">
        <v>0</v>
      </c>
      <c r="L508" t="n">
        <v>0</v>
      </c>
      <c r="M508" t="n">
        <v>0</v>
      </c>
      <c r="N508" t="n">
        <v>0</v>
      </c>
      <c r="O508" t="n">
        <v>0</v>
      </c>
      <c r="P508" t="n">
        <v>0</v>
      </c>
      <c r="Q508" t="n">
        <v>0</v>
      </c>
      <c r="R508" s="2" t="inlineStr"/>
    </row>
    <row r="509" ht="15" customHeight="1">
      <c r="A509" t="inlineStr">
        <is>
          <t>A 27303-2022</t>
        </is>
      </c>
      <c r="B509" s="1" t="n">
        <v>44741</v>
      </c>
      <c r="C509" s="1" t="n">
        <v>46033</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63359-2025</t>
        </is>
      </c>
      <c r="B510" s="1" t="n">
        <v>46010.67465277778</v>
      </c>
      <c r="C510" s="1" t="n">
        <v>46033</v>
      </c>
      <c r="D510" t="inlineStr">
        <is>
          <t>NORRBOTTENS LÄN</t>
        </is>
      </c>
      <c r="E510" t="inlineStr">
        <is>
          <t>LULEÅ</t>
        </is>
      </c>
      <c r="G510" t="n">
        <v>2.8</v>
      </c>
      <c r="H510" t="n">
        <v>0</v>
      </c>
      <c r="I510" t="n">
        <v>0</v>
      </c>
      <c r="J510" t="n">
        <v>0</v>
      </c>
      <c r="K510" t="n">
        <v>0</v>
      </c>
      <c r="L510" t="n">
        <v>0</v>
      </c>
      <c r="M510" t="n">
        <v>0</v>
      </c>
      <c r="N510" t="n">
        <v>0</v>
      </c>
      <c r="O510" t="n">
        <v>0</v>
      </c>
      <c r="P510" t="n">
        <v>0</v>
      </c>
      <c r="Q510" t="n">
        <v>0</v>
      </c>
      <c r="R510" s="2" t="inlineStr"/>
    </row>
    <row r="511" ht="15" customHeight="1">
      <c r="A511" t="inlineStr">
        <is>
          <t>A 10885-2023</t>
        </is>
      </c>
      <c r="B511" s="1" t="n">
        <v>44985</v>
      </c>
      <c r="C511" s="1" t="n">
        <v>46033</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20723-2021</t>
        </is>
      </c>
      <c r="B512" s="1" t="n">
        <v>44316.52800925926</v>
      </c>
      <c r="C512" s="1" t="n">
        <v>46033</v>
      </c>
      <c r="D512" t="inlineStr">
        <is>
          <t>NORRBOTTENS LÄN</t>
        </is>
      </c>
      <c r="E512" t="inlineStr">
        <is>
          <t>LULEÅ</t>
        </is>
      </c>
      <c r="G512" t="n">
        <v>7</v>
      </c>
      <c r="H512" t="n">
        <v>0</v>
      </c>
      <c r="I512" t="n">
        <v>0</v>
      </c>
      <c r="J512" t="n">
        <v>0</v>
      </c>
      <c r="K512" t="n">
        <v>0</v>
      </c>
      <c r="L512" t="n">
        <v>0</v>
      </c>
      <c r="M512" t="n">
        <v>0</v>
      </c>
      <c r="N512" t="n">
        <v>0</v>
      </c>
      <c r="O512" t="n">
        <v>0</v>
      </c>
      <c r="P512" t="n">
        <v>0</v>
      </c>
      <c r="Q512" t="n">
        <v>0</v>
      </c>
      <c r="R512" s="2" t="inlineStr"/>
    </row>
    <row r="513" ht="15" customHeight="1">
      <c r="A513" t="inlineStr">
        <is>
          <t>A 19983-2025</t>
        </is>
      </c>
      <c r="B513" s="1" t="n">
        <v>45771.71908564815</v>
      </c>
      <c r="C513" s="1" t="n">
        <v>46033</v>
      </c>
      <c r="D513" t="inlineStr">
        <is>
          <t>NORRBOTTENS LÄN</t>
        </is>
      </c>
      <c r="E513" t="inlineStr">
        <is>
          <t>LULEÅ</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806-2025</t>
        </is>
      </c>
      <c r="B514" s="1" t="n">
        <v>45664</v>
      </c>
      <c r="C514" s="1" t="n">
        <v>46033</v>
      </c>
      <c r="D514" t="inlineStr">
        <is>
          <t>NORRBOTTENS LÄN</t>
        </is>
      </c>
      <c r="E514" t="inlineStr">
        <is>
          <t>LULEÅ</t>
        </is>
      </c>
      <c r="G514" t="n">
        <v>0.6</v>
      </c>
      <c r="H514" t="n">
        <v>0</v>
      </c>
      <c r="I514" t="n">
        <v>0</v>
      </c>
      <c r="J514" t="n">
        <v>0</v>
      </c>
      <c r="K514" t="n">
        <v>0</v>
      </c>
      <c r="L514" t="n">
        <v>0</v>
      </c>
      <c r="M514" t="n">
        <v>0</v>
      </c>
      <c r="N514" t="n">
        <v>0</v>
      </c>
      <c r="O514" t="n">
        <v>0</v>
      </c>
      <c r="P514" t="n">
        <v>0</v>
      </c>
      <c r="Q514" t="n">
        <v>0</v>
      </c>
      <c r="R514" s="2" t="inlineStr"/>
    </row>
    <row r="515" ht="15" customHeight="1">
      <c r="A515" t="inlineStr">
        <is>
          <t>A 817-2025</t>
        </is>
      </c>
      <c r="B515" s="1" t="n">
        <v>45664</v>
      </c>
      <c r="C515" s="1" t="n">
        <v>46033</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55735-2025</t>
        </is>
      </c>
      <c r="B516" s="1" t="n">
        <v>45972</v>
      </c>
      <c r="C516" s="1" t="n">
        <v>46033</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61557-2024</t>
        </is>
      </c>
      <c r="B517" s="1" t="n">
        <v>45646.61081018519</v>
      </c>
      <c r="C517" s="1" t="n">
        <v>46033</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43861-2023</t>
        </is>
      </c>
      <c r="B518" s="1" t="n">
        <v>45187</v>
      </c>
      <c r="C518" s="1" t="n">
        <v>46033</v>
      </c>
      <c r="D518" t="inlineStr">
        <is>
          <t>NORRBOTTENS LÄN</t>
        </is>
      </c>
      <c r="E518" t="inlineStr">
        <is>
          <t>LULEÅ</t>
        </is>
      </c>
      <c r="G518" t="n">
        <v>5.1</v>
      </c>
      <c r="H518" t="n">
        <v>0</v>
      </c>
      <c r="I518" t="n">
        <v>0</v>
      </c>
      <c r="J518" t="n">
        <v>0</v>
      </c>
      <c r="K518" t="n">
        <v>0</v>
      </c>
      <c r="L518" t="n">
        <v>0</v>
      </c>
      <c r="M518" t="n">
        <v>0</v>
      </c>
      <c r="N518" t="n">
        <v>0</v>
      </c>
      <c r="O518" t="n">
        <v>0</v>
      </c>
      <c r="P518" t="n">
        <v>0</v>
      </c>
      <c r="Q518" t="n">
        <v>0</v>
      </c>
      <c r="R518" s="2" t="inlineStr"/>
    </row>
    <row r="519" ht="15" customHeight="1">
      <c r="A519" t="inlineStr">
        <is>
          <t>A 55734-2025</t>
        </is>
      </c>
      <c r="B519" s="1" t="n">
        <v>45972</v>
      </c>
      <c r="C519" s="1" t="n">
        <v>46033</v>
      </c>
      <c r="D519" t="inlineStr">
        <is>
          <t>NORRBOTTENS LÄN</t>
        </is>
      </c>
      <c r="E519" t="inlineStr">
        <is>
          <t>LULEÅ</t>
        </is>
      </c>
      <c r="G519" t="n">
        <v>7.6</v>
      </c>
      <c r="H519" t="n">
        <v>0</v>
      </c>
      <c r="I519" t="n">
        <v>0</v>
      </c>
      <c r="J519" t="n">
        <v>0</v>
      </c>
      <c r="K519" t="n">
        <v>0</v>
      </c>
      <c r="L519" t="n">
        <v>0</v>
      </c>
      <c r="M519" t="n">
        <v>0</v>
      </c>
      <c r="N519" t="n">
        <v>0</v>
      </c>
      <c r="O519" t="n">
        <v>0</v>
      </c>
      <c r="P519" t="n">
        <v>0</v>
      </c>
      <c r="Q519" t="n">
        <v>0</v>
      </c>
      <c r="R519" s="2" t="inlineStr"/>
    </row>
    <row r="520" ht="15" customHeight="1">
      <c r="A520" t="inlineStr">
        <is>
          <t>A 9286-2023</t>
        </is>
      </c>
      <c r="B520" s="1" t="n">
        <v>44977</v>
      </c>
      <c r="C520" s="1" t="n">
        <v>46033</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9289-2023</t>
        </is>
      </c>
      <c r="B521" s="1" t="n">
        <v>44977</v>
      </c>
      <c r="C521" s="1" t="n">
        <v>46033</v>
      </c>
      <c r="D521" t="inlineStr">
        <is>
          <t>NORRBOTTENS LÄN</t>
        </is>
      </c>
      <c r="E521" t="inlineStr">
        <is>
          <t>LULEÅ</t>
        </is>
      </c>
      <c r="G521" t="n">
        <v>1.6</v>
      </c>
      <c r="H521" t="n">
        <v>0</v>
      </c>
      <c r="I521" t="n">
        <v>0</v>
      </c>
      <c r="J521" t="n">
        <v>0</v>
      </c>
      <c r="K521" t="n">
        <v>0</v>
      </c>
      <c r="L521" t="n">
        <v>0</v>
      </c>
      <c r="M521" t="n">
        <v>0</v>
      </c>
      <c r="N521" t="n">
        <v>0</v>
      </c>
      <c r="O521" t="n">
        <v>0</v>
      </c>
      <c r="P521" t="n">
        <v>0</v>
      </c>
      <c r="Q521" t="n">
        <v>0</v>
      </c>
      <c r="R521" s="2" t="inlineStr"/>
    </row>
    <row r="522" ht="15" customHeight="1">
      <c r="A522" t="inlineStr">
        <is>
          <t>A 9706-2022</t>
        </is>
      </c>
      <c r="B522" s="1" t="n">
        <v>44617</v>
      </c>
      <c r="C522" s="1" t="n">
        <v>46033</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9274-2023</t>
        </is>
      </c>
      <c r="B523" s="1" t="n">
        <v>44977</v>
      </c>
      <c r="C523" s="1" t="n">
        <v>46033</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9278-2023</t>
        </is>
      </c>
      <c r="B524" s="1" t="n">
        <v>44977</v>
      </c>
      <c r="C524" s="1" t="n">
        <v>46033</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56649-2025</t>
        </is>
      </c>
      <c r="B525" s="1" t="n">
        <v>45975</v>
      </c>
      <c r="C525" s="1" t="n">
        <v>46033</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56142-2025</t>
        </is>
      </c>
      <c r="B526" s="1" t="n">
        <v>45974.34443287037</v>
      </c>
      <c r="C526" s="1" t="n">
        <v>46033</v>
      </c>
      <c r="D526" t="inlineStr">
        <is>
          <t>NORRBOTTENS LÄN</t>
        </is>
      </c>
      <c r="E526" t="inlineStr">
        <is>
          <t>LULEÅ</t>
        </is>
      </c>
      <c r="F526" t="inlineStr">
        <is>
          <t>Naturvårdsverket</t>
        </is>
      </c>
      <c r="G526" t="n">
        <v>2.5</v>
      </c>
      <c r="H526" t="n">
        <v>0</v>
      </c>
      <c r="I526" t="n">
        <v>0</v>
      </c>
      <c r="J526" t="n">
        <v>0</v>
      </c>
      <c r="K526" t="n">
        <v>0</v>
      </c>
      <c r="L526" t="n">
        <v>0</v>
      </c>
      <c r="M526" t="n">
        <v>0</v>
      </c>
      <c r="N526" t="n">
        <v>0</v>
      </c>
      <c r="O526" t="n">
        <v>0</v>
      </c>
      <c r="P526" t="n">
        <v>0</v>
      </c>
      <c r="Q526" t="n">
        <v>0</v>
      </c>
      <c r="R526" s="2" t="inlineStr"/>
    </row>
    <row r="527" ht="15" customHeight="1">
      <c r="A527" t="inlineStr">
        <is>
          <t>A 56643-2025</t>
        </is>
      </c>
      <c r="B527" s="1" t="n">
        <v>45975.62664351852</v>
      </c>
      <c r="C527" s="1" t="n">
        <v>46033</v>
      </c>
      <c r="D527" t="inlineStr">
        <is>
          <t>NORRBOTTENS LÄN</t>
        </is>
      </c>
      <c r="E527" t="inlineStr">
        <is>
          <t>LULEÅ</t>
        </is>
      </c>
      <c r="G527" t="n">
        <v>4.4</v>
      </c>
      <c r="H527" t="n">
        <v>0</v>
      </c>
      <c r="I527" t="n">
        <v>0</v>
      </c>
      <c r="J527" t="n">
        <v>0</v>
      </c>
      <c r="K527" t="n">
        <v>0</v>
      </c>
      <c r="L527" t="n">
        <v>0</v>
      </c>
      <c r="M527" t="n">
        <v>0</v>
      </c>
      <c r="N527" t="n">
        <v>0</v>
      </c>
      <c r="O527" t="n">
        <v>0</v>
      </c>
      <c r="P527" t="n">
        <v>0</v>
      </c>
      <c r="Q527" t="n">
        <v>0</v>
      </c>
      <c r="R527" s="2" t="inlineStr"/>
    </row>
    <row r="528" ht="15" customHeight="1">
      <c r="A528" t="inlineStr">
        <is>
          <t>A 42822-2024</t>
        </is>
      </c>
      <c r="B528" s="1" t="n">
        <v>45566.59611111111</v>
      </c>
      <c r="C528" s="1" t="n">
        <v>46033</v>
      </c>
      <c r="D528" t="inlineStr">
        <is>
          <t>NORRBOTTENS LÄN</t>
        </is>
      </c>
      <c r="E528" t="inlineStr">
        <is>
          <t>LULEÅ</t>
        </is>
      </c>
      <c r="G528" t="n">
        <v>2.3</v>
      </c>
      <c r="H528" t="n">
        <v>0</v>
      </c>
      <c r="I528" t="n">
        <v>0</v>
      </c>
      <c r="J528" t="n">
        <v>0</v>
      </c>
      <c r="K528" t="n">
        <v>0</v>
      </c>
      <c r="L528" t="n">
        <v>0</v>
      </c>
      <c r="M528" t="n">
        <v>0</v>
      </c>
      <c r="N528" t="n">
        <v>0</v>
      </c>
      <c r="O528" t="n">
        <v>0</v>
      </c>
      <c r="P528" t="n">
        <v>0</v>
      </c>
      <c r="Q528" t="n">
        <v>0</v>
      </c>
      <c r="R528" s="2" t="inlineStr"/>
    </row>
    <row r="529" ht="15" customHeight="1">
      <c r="A529" t="inlineStr">
        <is>
          <t>A 15848-2022</t>
        </is>
      </c>
      <c r="B529" s="1" t="n">
        <v>44664</v>
      </c>
      <c r="C529" s="1" t="n">
        <v>46033</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41707-2024</t>
        </is>
      </c>
      <c r="B530" s="1" t="n">
        <v>45560.69846064815</v>
      </c>
      <c r="C530" s="1" t="n">
        <v>46033</v>
      </c>
      <c r="D530" t="inlineStr">
        <is>
          <t>NORRBOTTENS LÄN</t>
        </is>
      </c>
      <c r="E530" t="inlineStr">
        <is>
          <t>LULEÅ</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56677-2025</t>
        </is>
      </c>
      <c r="B531" s="1" t="n">
        <v>45975.72868055556</v>
      </c>
      <c r="C531" s="1" t="n">
        <v>46033</v>
      </c>
      <c r="D531" t="inlineStr">
        <is>
          <t>NORRBOTTENS LÄN</t>
        </is>
      </c>
      <c r="E531" t="inlineStr">
        <is>
          <t>LULEÅ</t>
        </is>
      </c>
      <c r="G531" t="n">
        <v>5.9</v>
      </c>
      <c r="H531" t="n">
        <v>0</v>
      </c>
      <c r="I531" t="n">
        <v>0</v>
      </c>
      <c r="J531" t="n">
        <v>0</v>
      </c>
      <c r="K531" t="n">
        <v>0</v>
      </c>
      <c r="L531" t="n">
        <v>0</v>
      </c>
      <c r="M531" t="n">
        <v>0</v>
      </c>
      <c r="N531" t="n">
        <v>0</v>
      </c>
      <c r="O531" t="n">
        <v>0</v>
      </c>
      <c r="P531" t="n">
        <v>0</v>
      </c>
      <c r="Q531" t="n">
        <v>0</v>
      </c>
      <c r="R531" s="2" t="inlineStr"/>
    </row>
    <row r="532" ht="15" customHeight="1">
      <c r="A532" t="inlineStr">
        <is>
          <t>A 41708-2024</t>
        </is>
      </c>
      <c r="B532" s="1" t="n">
        <v>45560.6984837963</v>
      </c>
      <c r="C532" s="1" t="n">
        <v>46033</v>
      </c>
      <c r="D532" t="inlineStr">
        <is>
          <t>NORRBOTTENS LÄN</t>
        </is>
      </c>
      <c r="E532" t="inlineStr">
        <is>
          <t>LULEÅ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56862-2025</t>
        </is>
      </c>
      <c r="B533" s="1" t="n">
        <v>45978.50950231482</v>
      </c>
      <c r="C533" s="1" t="n">
        <v>46033</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8235-2025</t>
        </is>
      </c>
      <c r="B534" s="1" t="n">
        <v>45708</v>
      </c>
      <c r="C534" s="1" t="n">
        <v>46033</v>
      </c>
      <c r="D534" t="inlineStr">
        <is>
          <t>NORRBOTTENS LÄN</t>
        </is>
      </c>
      <c r="E534" t="inlineStr">
        <is>
          <t>LULEÅ</t>
        </is>
      </c>
      <c r="G534" t="n">
        <v>13</v>
      </c>
      <c r="H534" t="n">
        <v>0</v>
      </c>
      <c r="I534" t="n">
        <v>0</v>
      </c>
      <c r="J534" t="n">
        <v>0</v>
      </c>
      <c r="K534" t="n">
        <v>0</v>
      </c>
      <c r="L534" t="n">
        <v>0</v>
      </c>
      <c r="M534" t="n">
        <v>0</v>
      </c>
      <c r="N534" t="n">
        <v>0</v>
      </c>
      <c r="O534" t="n">
        <v>0</v>
      </c>
      <c r="P534" t="n">
        <v>0</v>
      </c>
      <c r="Q534" t="n">
        <v>0</v>
      </c>
      <c r="R534" s="2" t="inlineStr"/>
    </row>
    <row r="535" ht="15" customHeight="1">
      <c r="A535" t="inlineStr">
        <is>
          <t>A 8243-2025</t>
        </is>
      </c>
      <c r="B535" s="1" t="n">
        <v>45708</v>
      </c>
      <c r="C535" s="1" t="n">
        <v>46033</v>
      </c>
      <c r="D535" t="inlineStr">
        <is>
          <t>NORRBOTTENS LÄN</t>
        </is>
      </c>
      <c r="E535" t="inlineStr">
        <is>
          <t>LULEÅ</t>
        </is>
      </c>
      <c r="G535" t="n">
        <v>5.8</v>
      </c>
      <c r="H535" t="n">
        <v>0</v>
      </c>
      <c r="I535" t="n">
        <v>0</v>
      </c>
      <c r="J535" t="n">
        <v>0</v>
      </c>
      <c r="K535" t="n">
        <v>0</v>
      </c>
      <c r="L535" t="n">
        <v>0</v>
      </c>
      <c r="M535" t="n">
        <v>0</v>
      </c>
      <c r="N535" t="n">
        <v>0</v>
      </c>
      <c r="O535" t="n">
        <v>0</v>
      </c>
      <c r="P535" t="n">
        <v>0</v>
      </c>
      <c r="Q535" t="n">
        <v>0</v>
      </c>
      <c r="R535" s="2" t="inlineStr"/>
    </row>
    <row r="536" ht="15" customHeight="1">
      <c r="A536" t="inlineStr">
        <is>
          <t>A 8247-2025</t>
        </is>
      </c>
      <c r="B536" s="1" t="n">
        <v>45708</v>
      </c>
      <c r="C536" s="1" t="n">
        <v>46033</v>
      </c>
      <c r="D536" t="inlineStr">
        <is>
          <t>NORRBOTTENS LÄN</t>
        </is>
      </c>
      <c r="E536" t="inlineStr">
        <is>
          <t>LULEÅ</t>
        </is>
      </c>
      <c r="G536" t="n">
        <v>5.8</v>
      </c>
      <c r="H536" t="n">
        <v>0</v>
      </c>
      <c r="I536" t="n">
        <v>0</v>
      </c>
      <c r="J536" t="n">
        <v>0</v>
      </c>
      <c r="K536" t="n">
        <v>0</v>
      </c>
      <c r="L536" t="n">
        <v>0</v>
      </c>
      <c r="M536" t="n">
        <v>0</v>
      </c>
      <c r="N536" t="n">
        <v>0</v>
      </c>
      <c r="O536" t="n">
        <v>0</v>
      </c>
      <c r="P536" t="n">
        <v>0</v>
      </c>
      <c r="Q536" t="n">
        <v>0</v>
      </c>
      <c r="R536" s="2" t="inlineStr"/>
    </row>
    <row r="537" ht="15" customHeight="1">
      <c r="A537" t="inlineStr">
        <is>
          <t>A 56932-2025</t>
        </is>
      </c>
      <c r="B537" s="1" t="n">
        <v>45978.61122685186</v>
      </c>
      <c r="C537" s="1" t="n">
        <v>46033</v>
      </c>
      <c r="D537" t="inlineStr">
        <is>
          <t>NORRBOTTENS LÄN</t>
        </is>
      </c>
      <c r="E537" t="inlineStr">
        <is>
          <t>LULEÅ</t>
        </is>
      </c>
      <c r="G537" t="n">
        <v>10.8</v>
      </c>
      <c r="H537" t="n">
        <v>0</v>
      </c>
      <c r="I537" t="n">
        <v>0</v>
      </c>
      <c r="J537" t="n">
        <v>0</v>
      </c>
      <c r="K537" t="n">
        <v>0</v>
      </c>
      <c r="L537" t="n">
        <v>0</v>
      </c>
      <c r="M537" t="n">
        <v>0</v>
      </c>
      <c r="N537" t="n">
        <v>0</v>
      </c>
      <c r="O537" t="n">
        <v>0</v>
      </c>
      <c r="P537" t="n">
        <v>0</v>
      </c>
      <c r="Q537" t="n">
        <v>0</v>
      </c>
      <c r="R537" s="2" t="inlineStr"/>
    </row>
    <row r="538" ht="15" customHeight="1">
      <c r="A538" t="inlineStr">
        <is>
          <t>A 28498-2024</t>
        </is>
      </c>
      <c r="B538" s="1" t="n">
        <v>45477.92725694444</v>
      </c>
      <c r="C538" s="1" t="n">
        <v>46033</v>
      </c>
      <c r="D538" t="inlineStr">
        <is>
          <t>NORRBOTTENS LÄN</t>
        </is>
      </c>
      <c r="E538" t="inlineStr">
        <is>
          <t>LULEÅ</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8214-2025</t>
        </is>
      </c>
      <c r="B539" s="1" t="n">
        <v>45708</v>
      </c>
      <c r="C539" s="1" t="n">
        <v>46033</v>
      </c>
      <c r="D539" t="inlineStr">
        <is>
          <t>NORRBOTTENS LÄN</t>
        </is>
      </c>
      <c r="E539" t="inlineStr">
        <is>
          <t>LULEÅ</t>
        </is>
      </c>
      <c r="G539" t="n">
        <v>9.9</v>
      </c>
      <c r="H539" t="n">
        <v>0</v>
      </c>
      <c r="I539" t="n">
        <v>0</v>
      </c>
      <c r="J539" t="n">
        <v>0</v>
      </c>
      <c r="K539" t="n">
        <v>0</v>
      </c>
      <c r="L539" t="n">
        <v>0</v>
      </c>
      <c r="M539" t="n">
        <v>0</v>
      </c>
      <c r="N539" t="n">
        <v>0</v>
      </c>
      <c r="O539" t="n">
        <v>0</v>
      </c>
      <c r="P539" t="n">
        <v>0</v>
      </c>
      <c r="Q539" t="n">
        <v>0</v>
      </c>
      <c r="R539" s="2" t="inlineStr"/>
    </row>
    <row r="540" ht="15" customHeight="1">
      <c r="A540" t="inlineStr">
        <is>
          <t>A 57230-2025</t>
        </is>
      </c>
      <c r="B540" s="1" t="n">
        <v>45979.61831018519</v>
      </c>
      <c r="C540" s="1" t="n">
        <v>46033</v>
      </c>
      <c r="D540" t="inlineStr">
        <is>
          <t>NORRBOTTENS LÄN</t>
        </is>
      </c>
      <c r="E540" t="inlineStr">
        <is>
          <t>LULEÅ</t>
        </is>
      </c>
      <c r="G540" t="n">
        <v>2.7</v>
      </c>
      <c r="H540" t="n">
        <v>0</v>
      </c>
      <c r="I540" t="n">
        <v>0</v>
      </c>
      <c r="J540" t="n">
        <v>0</v>
      </c>
      <c r="K540" t="n">
        <v>0</v>
      </c>
      <c r="L540" t="n">
        <v>0</v>
      </c>
      <c r="M540" t="n">
        <v>0</v>
      </c>
      <c r="N540" t="n">
        <v>0</v>
      </c>
      <c r="O540" t="n">
        <v>0</v>
      </c>
      <c r="P540" t="n">
        <v>0</v>
      </c>
      <c r="Q540" t="n">
        <v>0</v>
      </c>
      <c r="R540" s="2" t="inlineStr"/>
    </row>
    <row r="541" ht="15" customHeight="1">
      <c r="A541" t="inlineStr">
        <is>
          <t>A 64021-2025</t>
        </is>
      </c>
      <c r="B541" s="1" t="n">
        <v>46021.46907407408</v>
      </c>
      <c r="C541" s="1" t="n">
        <v>46033</v>
      </c>
      <c r="D541" t="inlineStr">
        <is>
          <t>NORRBOTTENS LÄN</t>
        </is>
      </c>
      <c r="E541" t="inlineStr">
        <is>
          <t>LULEÅ</t>
        </is>
      </c>
      <c r="G541" t="n">
        <v>7.8</v>
      </c>
      <c r="H541" t="n">
        <v>0</v>
      </c>
      <c r="I541" t="n">
        <v>0</v>
      </c>
      <c r="J541" t="n">
        <v>0</v>
      </c>
      <c r="K541" t="n">
        <v>0</v>
      </c>
      <c r="L541" t="n">
        <v>0</v>
      </c>
      <c r="M541" t="n">
        <v>0</v>
      </c>
      <c r="N541" t="n">
        <v>0</v>
      </c>
      <c r="O541" t="n">
        <v>0</v>
      </c>
      <c r="P541" t="n">
        <v>0</v>
      </c>
      <c r="Q541" t="n">
        <v>0</v>
      </c>
      <c r="R541" s="2" t="inlineStr"/>
    </row>
    <row r="542" ht="15" customHeight="1">
      <c r="A542" t="inlineStr">
        <is>
          <t>A 63204-2025</t>
        </is>
      </c>
      <c r="B542" s="1" t="n">
        <v>46010.46950231482</v>
      </c>
      <c r="C542" s="1" t="n">
        <v>46033</v>
      </c>
      <c r="D542" t="inlineStr">
        <is>
          <t>NORRBOTTENS LÄN</t>
        </is>
      </c>
      <c r="E542" t="inlineStr">
        <is>
          <t>LULEÅ</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56853-2025</t>
        </is>
      </c>
      <c r="B543" s="1" t="n">
        <v>45978.49459490741</v>
      </c>
      <c r="C543" s="1" t="n">
        <v>46033</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63943-2025</t>
        </is>
      </c>
      <c r="B544" s="1" t="n">
        <v>46010</v>
      </c>
      <c r="C544" s="1" t="n">
        <v>46033</v>
      </c>
      <c r="D544" t="inlineStr">
        <is>
          <t>NORRBOTTENS LÄN</t>
        </is>
      </c>
      <c r="E544" t="inlineStr">
        <is>
          <t>LULEÅ</t>
        </is>
      </c>
      <c r="G544" t="n">
        <v>2.3</v>
      </c>
      <c r="H544" t="n">
        <v>0</v>
      </c>
      <c r="I544" t="n">
        <v>0</v>
      </c>
      <c r="J544" t="n">
        <v>0</v>
      </c>
      <c r="K544" t="n">
        <v>0</v>
      </c>
      <c r="L544" t="n">
        <v>0</v>
      </c>
      <c r="M544" t="n">
        <v>0</v>
      </c>
      <c r="N544" t="n">
        <v>0</v>
      </c>
      <c r="O544" t="n">
        <v>0</v>
      </c>
      <c r="P544" t="n">
        <v>0</v>
      </c>
      <c r="Q544" t="n">
        <v>0</v>
      </c>
      <c r="R544" s="2" t="inlineStr"/>
    </row>
    <row r="545" ht="15" customHeight="1">
      <c r="A545" t="inlineStr">
        <is>
          <t>A 63942-2025</t>
        </is>
      </c>
      <c r="B545" s="1" t="n">
        <v>46010</v>
      </c>
      <c r="C545" s="1" t="n">
        <v>46033</v>
      </c>
      <c r="D545" t="inlineStr">
        <is>
          <t>NORRBOTTENS LÄN</t>
        </is>
      </c>
      <c r="E545" t="inlineStr">
        <is>
          <t>LULEÅ</t>
        </is>
      </c>
      <c r="G545" t="n">
        <v>5.7</v>
      </c>
      <c r="H545" t="n">
        <v>0</v>
      </c>
      <c r="I545" t="n">
        <v>0</v>
      </c>
      <c r="J545" t="n">
        <v>0</v>
      </c>
      <c r="K545" t="n">
        <v>0</v>
      </c>
      <c r="L545" t="n">
        <v>0</v>
      </c>
      <c r="M545" t="n">
        <v>0</v>
      </c>
      <c r="N545" t="n">
        <v>0</v>
      </c>
      <c r="O545" t="n">
        <v>0</v>
      </c>
      <c r="P545" t="n">
        <v>0</v>
      </c>
      <c r="Q545" t="n">
        <v>0</v>
      </c>
      <c r="R545" s="2" t="inlineStr"/>
    </row>
    <row r="546" ht="15" customHeight="1">
      <c r="A546" t="inlineStr">
        <is>
          <t>A 64062-2025</t>
        </is>
      </c>
      <c r="B546" s="1" t="n">
        <v>46010</v>
      </c>
      <c r="C546" s="1" t="n">
        <v>46033</v>
      </c>
      <c r="D546" t="inlineStr">
        <is>
          <t>NORRBOTTENS LÄN</t>
        </is>
      </c>
      <c r="E546" t="inlineStr">
        <is>
          <t>LULEÅ</t>
        </is>
      </c>
      <c r="G546" t="n">
        <v>0.3</v>
      </c>
      <c r="H546" t="n">
        <v>0</v>
      </c>
      <c r="I546" t="n">
        <v>0</v>
      </c>
      <c r="J546" t="n">
        <v>0</v>
      </c>
      <c r="K546" t="n">
        <v>0</v>
      </c>
      <c r="L546" t="n">
        <v>0</v>
      </c>
      <c r="M546" t="n">
        <v>0</v>
      </c>
      <c r="N546" t="n">
        <v>0</v>
      </c>
      <c r="O546" t="n">
        <v>0</v>
      </c>
      <c r="P546" t="n">
        <v>0</v>
      </c>
      <c r="Q546" t="n">
        <v>0</v>
      </c>
      <c r="R546" s="2" t="inlineStr"/>
    </row>
    <row r="547" ht="15" customHeight="1">
      <c r="A547" t="inlineStr">
        <is>
          <t>A 10611-2025</t>
        </is>
      </c>
      <c r="B547" s="1" t="n">
        <v>45721</v>
      </c>
      <c r="C547" s="1" t="n">
        <v>46033</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63210-2025</t>
        </is>
      </c>
      <c r="B548" s="1" t="n">
        <v>46010.4771875</v>
      </c>
      <c r="C548" s="1" t="n">
        <v>46033</v>
      </c>
      <c r="D548" t="inlineStr">
        <is>
          <t>NORRBOTTENS LÄN</t>
        </is>
      </c>
      <c r="E548" t="inlineStr">
        <is>
          <t>LULEÅ</t>
        </is>
      </c>
      <c r="G548" t="n">
        <v>10</v>
      </c>
      <c r="H548" t="n">
        <v>0</v>
      </c>
      <c r="I548" t="n">
        <v>0</v>
      </c>
      <c r="J548" t="n">
        <v>0</v>
      </c>
      <c r="K548" t="n">
        <v>0</v>
      </c>
      <c r="L548" t="n">
        <v>0</v>
      </c>
      <c r="M548" t="n">
        <v>0</v>
      </c>
      <c r="N548" t="n">
        <v>0</v>
      </c>
      <c r="O548" t="n">
        <v>0</v>
      </c>
      <c r="P548" t="n">
        <v>0</v>
      </c>
      <c r="Q548" t="n">
        <v>0</v>
      </c>
      <c r="R548" s="2" t="inlineStr"/>
    </row>
    <row r="549" ht="15" customHeight="1">
      <c r="A549" t="inlineStr">
        <is>
          <t>A 63766-2025</t>
        </is>
      </c>
      <c r="B549" s="1" t="n">
        <v>46018.78116898148</v>
      </c>
      <c r="C549" s="1" t="n">
        <v>46033</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57076-2025</t>
        </is>
      </c>
      <c r="B550" s="1" t="n">
        <v>45979.40319444444</v>
      </c>
      <c r="C550" s="1" t="n">
        <v>46033</v>
      </c>
      <c r="D550" t="inlineStr">
        <is>
          <t>NORRBOTTENS LÄN</t>
        </is>
      </c>
      <c r="E550" t="inlineStr">
        <is>
          <t>LULEÅ</t>
        </is>
      </c>
      <c r="G550" t="n">
        <v>1.7</v>
      </c>
      <c r="H550" t="n">
        <v>0</v>
      </c>
      <c r="I550" t="n">
        <v>0</v>
      </c>
      <c r="J550" t="n">
        <v>0</v>
      </c>
      <c r="K550" t="n">
        <v>0</v>
      </c>
      <c r="L550" t="n">
        <v>0</v>
      </c>
      <c r="M550" t="n">
        <v>0</v>
      </c>
      <c r="N550" t="n">
        <v>0</v>
      </c>
      <c r="O550" t="n">
        <v>0</v>
      </c>
      <c r="P550" t="n">
        <v>0</v>
      </c>
      <c r="Q550" t="n">
        <v>0</v>
      </c>
      <c r="R550" s="2" t="inlineStr"/>
    </row>
    <row r="551" ht="15" customHeight="1">
      <c r="A551" t="inlineStr">
        <is>
          <t>A 63941-2025</t>
        </is>
      </c>
      <c r="B551" s="1" t="n">
        <v>46010</v>
      </c>
      <c r="C551" s="1" t="n">
        <v>46033</v>
      </c>
      <c r="D551" t="inlineStr">
        <is>
          <t>NORRBOTTENS LÄN</t>
        </is>
      </c>
      <c r="E551" t="inlineStr">
        <is>
          <t>LULEÅ</t>
        </is>
      </c>
      <c r="G551" t="n">
        <v>1.8</v>
      </c>
      <c r="H551" t="n">
        <v>0</v>
      </c>
      <c r="I551" t="n">
        <v>0</v>
      </c>
      <c r="J551" t="n">
        <v>0</v>
      </c>
      <c r="K551" t="n">
        <v>0</v>
      </c>
      <c r="L551" t="n">
        <v>0</v>
      </c>
      <c r="M551" t="n">
        <v>0</v>
      </c>
      <c r="N551" t="n">
        <v>0</v>
      </c>
      <c r="O551" t="n">
        <v>0</v>
      </c>
      <c r="P551" t="n">
        <v>0</v>
      </c>
      <c r="Q551" t="n">
        <v>0</v>
      </c>
      <c r="R551" s="2" t="inlineStr"/>
    </row>
    <row r="552" ht="15" customHeight="1">
      <c r="A552" t="inlineStr">
        <is>
          <t>A 57142-2025</t>
        </is>
      </c>
      <c r="B552" s="1" t="n">
        <v>45978</v>
      </c>
      <c r="C552" s="1" t="n">
        <v>46033</v>
      </c>
      <c r="D552" t="inlineStr">
        <is>
          <t>NORRBOTTENS LÄN</t>
        </is>
      </c>
      <c r="E552" t="inlineStr">
        <is>
          <t>LULEÅ</t>
        </is>
      </c>
      <c r="G552" t="n">
        <v>0.8</v>
      </c>
      <c r="H552" t="n">
        <v>0</v>
      </c>
      <c r="I552" t="n">
        <v>0</v>
      </c>
      <c r="J552" t="n">
        <v>0</v>
      </c>
      <c r="K552" t="n">
        <v>0</v>
      </c>
      <c r="L552" t="n">
        <v>0</v>
      </c>
      <c r="M552" t="n">
        <v>0</v>
      </c>
      <c r="N552" t="n">
        <v>0</v>
      </c>
      <c r="O552" t="n">
        <v>0</v>
      </c>
      <c r="P552" t="n">
        <v>0</v>
      </c>
      <c r="Q552" t="n">
        <v>0</v>
      </c>
      <c r="R552" s="2" t="inlineStr"/>
    </row>
    <row r="553" ht="15" customHeight="1">
      <c r="A553" t="inlineStr">
        <is>
          <t>A 56860-2025</t>
        </is>
      </c>
      <c r="B553" s="1" t="n">
        <v>45978.50525462963</v>
      </c>
      <c r="C553" s="1" t="n">
        <v>46033</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63940-2025</t>
        </is>
      </c>
      <c r="B554" s="1" t="n">
        <v>46010</v>
      </c>
      <c r="C554" s="1" t="n">
        <v>46033</v>
      </c>
      <c r="D554" t="inlineStr">
        <is>
          <t>NORRBOTTENS LÄN</t>
        </is>
      </c>
      <c r="E554" t="inlineStr">
        <is>
          <t>LULEÅ</t>
        </is>
      </c>
      <c r="G554" t="n">
        <v>0.4</v>
      </c>
      <c r="H554" t="n">
        <v>0</v>
      </c>
      <c r="I554" t="n">
        <v>0</v>
      </c>
      <c r="J554" t="n">
        <v>0</v>
      </c>
      <c r="K554" t="n">
        <v>0</v>
      </c>
      <c r="L554" t="n">
        <v>0</v>
      </c>
      <c r="M554" t="n">
        <v>0</v>
      </c>
      <c r="N554" t="n">
        <v>0</v>
      </c>
      <c r="O554" t="n">
        <v>0</v>
      </c>
      <c r="P554" t="n">
        <v>0</v>
      </c>
      <c r="Q554" t="n">
        <v>0</v>
      </c>
      <c r="R554" s="2" t="inlineStr"/>
    </row>
    <row r="555" ht="15" customHeight="1">
      <c r="A555" t="inlineStr">
        <is>
          <t>A 63725-2025</t>
        </is>
      </c>
      <c r="B555" s="1" t="n">
        <v>46010</v>
      </c>
      <c r="C555" s="1" t="n">
        <v>46033</v>
      </c>
      <c r="D555" t="inlineStr">
        <is>
          <t>NORRBOTTENS LÄN</t>
        </is>
      </c>
      <c r="E555" t="inlineStr">
        <is>
          <t>LULEÅ</t>
        </is>
      </c>
      <c r="G555" t="n">
        <v>0.7</v>
      </c>
      <c r="H555" t="n">
        <v>0</v>
      </c>
      <c r="I555" t="n">
        <v>0</v>
      </c>
      <c r="J555" t="n">
        <v>0</v>
      </c>
      <c r="K555" t="n">
        <v>0</v>
      </c>
      <c r="L555" t="n">
        <v>0</v>
      </c>
      <c r="M555" t="n">
        <v>0</v>
      </c>
      <c r="N555" t="n">
        <v>0</v>
      </c>
      <c r="O555" t="n">
        <v>0</v>
      </c>
      <c r="P555" t="n">
        <v>0</v>
      </c>
      <c r="Q555" t="n">
        <v>0</v>
      </c>
      <c r="R555" s="2" t="inlineStr"/>
    </row>
    <row r="556" ht="15" customHeight="1">
      <c r="A556" t="inlineStr">
        <is>
          <t>A 63208-2025</t>
        </is>
      </c>
      <c r="B556" s="1" t="n">
        <v>46010.47444444444</v>
      </c>
      <c r="C556" s="1" t="n">
        <v>46033</v>
      </c>
      <c r="D556" t="inlineStr">
        <is>
          <t>NORRBOTTENS LÄN</t>
        </is>
      </c>
      <c r="E556" t="inlineStr">
        <is>
          <t>LULEÅ</t>
        </is>
      </c>
      <c r="G556" t="n">
        <v>3.5</v>
      </c>
      <c r="H556" t="n">
        <v>0</v>
      </c>
      <c r="I556" t="n">
        <v>0</v>
      </c>
      <c r="J556" t="n">
        <v>0</v>
      </c>
      <c r="K556" t="n">
        <v>0</v>
      </c>
      <c r="L556" t="n">
        <v>0</v>
      </c>
      <c r="M556" t="n">
        <v>0</v>
      </c>
      <c r="N556" t="n">
        <v>0</v>
      </c>
      <c r="O556" t="n">
        <v>0</v>
      </c>
      <c r="P556" t="n">
        <v>0</v>
      </c>
      <c r="Q556" t="n">
        <v>0</v>
      </c>
      <c r="R556" s="2" t="inlineStr"/>
    </row>
    <row r="557" ht="15" customHeight="1">
      <c r="A557" t="inlineStr">
        <is>
          <t>A 56852-2025</t>
        </is>
      </c>
      <c r="B557" s="1" t="n">
        <v>45978</v>
      </c>
      <c r="C557" s="1" t="n">
        <v>46033</v>
      </c>
      <c r="D557" t="inlineStr">
        <is>
          <t>NORRBOTTENS LÄN</t>
        </is>
      </c>
      <c r="E557" t="inlineStr">
        <is>
          <t>LULEÅ</t>
        </is>
      </c>
      <c r="G557" t="n">
        <v>0.8</v>
      </c>
      <c r="H557" t="n">
        <v>0</v>
      </c>
      <c r="I557" t="n">
        <v>0</v>
      </c>
      <c r="J557" t="n">
        <v>0</v>
      </c>
      <c r="K557" t="n">
        <v>0</v>
      </c>
      <c r="L557" t="n">
        <v>0</v>
      </c>
      <c r="M557" t="n">
        <v>0</v>
      </c>
      <c r="N557" t="n">
        <v>0</v>
      </c>
      <c r="O557" t="n">
        <v>0</v>
      </c>
      <c r="P557" t="n">
        <v>0</v>
      </c>
      <c r="Q557" t="n">
        <v>0</v>
      </c>
      <c r="R557" s="2" t="inlineStr"/>
    </row>
    <row r="558" ht="15" customHeight="1">
      <c r="A558" t="inlineStr">
        <is>
          <t>A 63403-2025</t>
        </is>
      </c>
      <c r="B558" s="1" t="n">
        <v>46012.60145833333</v>
      </c>
      <c r="C558" s="1" t="n">
        <v>46033</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57143-2025</t>
        </is>
      </c>
      <c r="B559" s="1" t="n">
        <v>45978</v>
      </c>
      <c r="C559" s="1" t="n">
        <v>46033</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63854-2025</t>
        </is>
      </c>
      <c r="B560" s="1" t="n">
        <v>46020.47179398148</v>
      </c>
      <c r="C560" s="1" t="n">
        <v>46033</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14216-2025</t>
        </is>
      </c>
      <c r="B561" s="1" t="n">
        <v>45740</v>
      </c>
      <c r="C561" s="1" t="n">
        <v>46033</v>
      </c>
      <c r="D561" t="inlineStr">
        <is>
          <t>NORRBOTTENS LÄN</t>
        </is>
      </c>
      <c r="E561" t="inlineStr">
        <is>
          <t>LULEÅ</t>
        </is>
      </c>
      <c r="G561" t="n">
        <v>1.1</v>
      </c>
      <c r="H561" t="n">
        <v>0</v>
      </c>
      <c r="I561" t="n">
        <v>0</v>
      </c>
      <c r="J561" t="n">
        <v>0</v>
      </c>
      <c r="K561" t="n">
        <v>0</v>
      </c>
      <c r="L561" t="n">
        <v>0</v>
      </c>
      <c r="M561" t="n">
        <v>0</v>
      </c>
      <c r="N561" t="n">
        <v>0</v>
      </c>
      <c r="O561" t="n">
        <v>0</v>
      </c>
      <c r="P561" t="n">
        <v>0</v>
      </c>
      <c r="Q561" t="n">
        <v>0</v>
      </c>
      <c r="R561" s="2" t="inlineStr"/>
    </row>
    <row r="562" ht="15" customHeight="1">
      <c r="A562" t="inlineStr">
        <is>
          <t>A 60727-2024</t>
        </is>
      </c>
      <c r="B562" s="1" t="n">
        <v>45644.54008101852</v>
      </c>
      <c r="C562" s="1" t="n">
        <v>46033</v>
      </c>
      <c r="D562" t="inlineStr">
        <is>
          <t>NORRBOTTENS LÄN</t>
        </is>
      </c>
      <c r="E562" t="inlineStr">
        <is>
          <t>LULEÅ</t>
        </is>
      </c>
      <c r="G562" t="n">
        <v>18.7</v>
      </c>
      <c r="H562" t="n">
        <v>0</v>
      </c>
      <c r="I562" t="n">
        <v>0</v>
      </c>
      <c r="J562" t="n">
        <v>0</v>
      </c>
      <c r="K562" t="n">
        <v>0</v>
      </c>
      <c r="L562" t="n">
        <v>0</v>
      </c>
      <c r="M562" t="n">
        <v>0</v>
      </c>
      <c r="N562" t="n">
        <v>0</v>
      </c>
      <c r="O562" t="n">
        <v>0</v>
      </c>
      <c r="P562" t="n">
        <v>0</v>
      </c>
      <c r="Q562" t="n">
        <v>0</v>
      </c>
      <c r="R562" s="2" t="inlineStr"/>
    </row>
    <row r="563" ht="15" customHeight="1">
      <c r="A563" t="inlineStr">
        <is>
          <t>A 57723-2025</t>
        </is>
      </c>
      <c r="B563" s="1" t="n">
        <v>45981.49033564814</v>
      </c>
      <c r="C563" s="1" t="n">
        <v>46033</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57751-2025</t>
        </is>
      </c>
      <c r="B564" s="1" t="n">
        <v>45981.54108796296</v>
      </c>
      <c r="C564" s="1" t="n">
        <v>46033</v>
      </c>
      <c r="D564" t="inlineStr">
        <is>
          <t>NORRBOTTENS LÄN</t>
        </is>
      </c>
      <c r="E564" t="inlineStr">
        <is>
          <t>LULEÅ</t>
        </is>
      </c>
      <c r="G564" t="n">
        <v>1.7</v>
      </c>
      <c r="H564" t="n">
        <v>0</v>
      </c>
      <c r="I564" t="n">
        <v>0</v>
      </c>
      <c r="J564" t="n">
        <v>0</v>
      </c>
      <c r="K564" t="n">
        <v>0</v>
      </c>
      <c r="L564" t="n">
        <v>0</v>
      </c>
      <c r="M564" t="n">
        <v>0</v>
      </c>
      <c r="N564" t="n">
        <v>0</v>
      </c>
      <c r="O564" t="n">
        <v>0</v>
      </c>
      <c r="P564" t="n">
        <v>0</v>
      </c>
      <c r="Q564" t="n">
        <v>0</v>
      </c>
      <c r="R564" s="2" t="inlineStr"/>
    </row>
    <row r="565" ht="15" customHeight="1">
      <c r="A565" t="inlineStr">
        <is>
          <t>A 11294-2024</t>
        </is>
      </c>
      <c r="B565" s="1" t="n">
        <v>45371</v>
      </c>
      <c r="C565" s="1" t="n">
        <v>46033</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60584-2024</t>
        </is>
      </c>
      <c r="B566" s="1" t="n">
        <v>45644.34611111111</v>
      </c>
      <c r="C566" s="1" t="n">
        <v>46033</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214-2026</t>
        </is>
      </c>
      <c r="B567" s="1" t="n">
        <v>46026.64652777778</v>
      </c>
      <c r="C567" s="1" t="n">
        <v>46033</v>
      </c>
      <c r="D567" t="inlineStr">
        <is>
          <t>NORRBOTTENS LÄN</t>
        </is>
      </c>
      <c r="E567" t="inlineStr">
        <is>
          <t>LULEÅ</t>
        </is>
      </c>
      <c r="G567" t="n">
        <v>15.4</v>
      </c>
      <c r="H567" t="n">
        <v>0</v>
      </c>
      <c r="I567" t="n">
        <v>0</v>
      </c>
      <c r="J567" t="n">
        <v>0</v>
      </c>
      <c r="K567" t="n">
        <v>0</v>
      </c>
      <c r="L567" t="n">
        <v>0</v>
      </c>
      <c r="M567" t="n">
        <v>0</v>
      </c>
      <c r="N567" t="n">
        <v>0</v>
      </c>
      <c r="O567" t="n">
        <v>0</v>
      </c>
      <c r="P567" t="n">
        <v>0</v>
      </c>
      <c r="Q567" t="n">
        <v>0</v>
      </c>
      <c r="R567" s="2" t="inlineStr"/>
    </row>
    <row r="568" ht="15" customHeight="1">
      <c r="A568" t="inlineStr">
        <is>
          <t>A 303-2026</t>
        </is>
      </c>
      <c r="B568" s="1" t="n">
        <v>46027.53427083333</v>
      </c>
      <c r="C568" s="1" t="n">
        <v>46033</v>
      </c>
      <c r="D568" t="inlineStr">
        <is>
          <t>NORRBOTTENS LÄN</t>
        </is>
      </c>
      <c r="E568" t="inlineStr">
        <is>
          <t>LULEÅ</t>
        </is>
      </c>
      <c r="G568" t="n">
        <v>2.8</v>
      </c>
      <c r="H568" t="n">
        <v>0</v>
      </c>
      <c r="I568" t="n">
        <v>0</v>
      </c>
      <c r="J568" t="n">
        <v>0</v>
      </c>
      <c r="K568" t="n">
        <v>0</v>
      </c>
      <c r="L568" t="n">
        <v>0</v>
      </c>
      <c r="M568" t="n">
        <v>0</v>
      </c>
      <c r="N568" t="n">
        <v>0</v>
      </c>
      <c r="O568" t="n">
        <v>0</v>
      </c>
      <c r="P568" t="n">
        <v>0</v>
      </c>
      <c r="Q568" t="n">
        <v>0</v>
      </c>
      <c r="R568" s="2" t="inlineStr"/>
    </row>
    <row r="569" ht="15" customHeight="1">
      <c r="A569" t="inlineStr">
        <is>
          <t>A 132-2026</t>
        </is>
      </c>
      <c r="B569" s="1" t="n">
        <v>46024.60086805555</v>
      </c>
      <c r="C569" s="1" t="n">
        <v>46033</v>
      </c>
      <c r="D569" t="inlineStr">
        <is>
          <t>NORRBOTTENS LÄN</t>
        </is>
      </c>
      <c r="E569" t="inlineStr">
        <is>
          <t>LULEÅ</t>
        </is>
      </c>
      <c r="G569" t="n">
        <v>1</v>
      </c>
      <c r="H569" t="n">
        <v>0</v>
      </c>
      <c r="I569" t="n">
        <v>0</v>
      </c>
      <c r="J569" t="n">
        <v>0</v>
      </c>
      <c r="K569" t="n">
        <v>0</v>
      </c>
      <c r="L569" t="n">
        <v>0</v>
      </c>
      <c r="M569" t="n">
        <v>0</v>
      </c>
      <c r="N569" t="n">
        <v>0</v>
      </c>
      <c r="O569" t="n">
        <v>0</v>
      </c>
      <c r="P569" t="n">
        <v>0</v>
      </c>
      <c r="Q569" t="n">
        <v>0</v>
      </c>
      <c r="R569" s="2" t="inlineStr"/>
    </row>
    <row r="570" ht="15" customHeight="1">
      <c r="A570" t="inlineStr">
        <is>
          <t>A 12782-2023</t>
        </is>
      </c>
      <c r="B570" s="1" t="n">
        <v>45000</v>
      </c>
      <c r="C570" s="1" t="n">
        <v>46033</v>
      </c>
      <c r="D570" t="inlineStr">
        <is>
          <t>NORRBOTTENS LÄN</t>
        </is>
      </c>
      <c r="E570" t="inlineStr">
        <is>
          <t>LULEÅ</t>
        </is>
      </c>
      <c r="G570" t="n">
        <v>2.8</v>
      </c>
      <c r="H570" t="n">
        <v>0</v>
      </c>
      <c r="I570" t="n">
        <v>0</v>
      </c>
      <c r="J570" t="n">
        <v>0</v>
      </c>
      <c r="K570" t="n">
        <v>0</v>
      </c>
      <c r="L570" t="n">
        <v>0</v>
      </c>
      <c r="M570" t="n">
        <v>0</v>
      </c>
      <c r="N570" t="n">
        <v>0</v>
      </c>
      <c r="O570" t="n">
        <v>0</v>
      </c>
      <c r="P570" t="n">
        <v>0</v>
      </c>
      <c r="Q570" t="n">
        <v>0</v>
      </c>
      <c r="R570" s="2" t="inlineStr"/>
    </row>
    <row r="571" ht="15" customHeight="1">
      <c r="A571" t="inlineStr">
        <is>
          <t>A 57518-2024</t>
        </is>
      </c>
      <c r="B571" s="1" t="n">
        <v>45629</v>
      </c>
      <c r="C571" s="1" t="n">
        <v>46033</v>
      </c>
      <c r="D571" t="inlineStr">
        <is>
          <t>NORRBOTTENS LÄN</t>
        </is>
      </c>
      <c r="E571" t="inlineStr">
        <is>
          <t>LULEÅ</t>
        </is>
      </c>
      <c r="G571" t="n">
        <v>3.4</v>
      </c>
      <c r="H571" t="n">
        <v>0</v>
      </c>
      <c r="I571" t="n">
        <v>0</v>
      </c>
      <c r="J571" t="n">
        <v>0</v>
      </c>
      <c r="K571" t="n">
        <v>0</v>
      </c>
      <c r="L571" t="n">
        <v>0</v>
      </c>
      <c r="M571" t="n">
        <v>0</v>
      </c>
      <c r="N571" t="n">
        <v>0</v>
      </c>
      <c r="O571" t="n">
        <v>0</v>
      </c>
      <c r="P571" t="n">
        <v>0</v>
      </c>
      <c r="Q571" t="n">
        <v>0</v>
      </c>
      <c r="R571" s="2" t="inlineStr"/>
    </row>
    <row r="572" ht="15" customHeight="1">
      <c r="A572" t="inlineStr">
        <is>
          <t>A 58049-2025</t>
        </is>
      </c>
      <c r="B572" s="1" t="n">
        <v>45982.51090277778</v>
      </c>
      <c r="C572" s="1" t="n">
        <v>46033</v>
      </c>
      <c r="D572" t="inlineStr">
        <is>
          <t>NORRBOTTENS LÄN</t>
        </is>
      </c>
      <c r="E572" t="inlineStr">
        <is>
          <t>LULEÅ</t>
        </is>
      </c>
      <c r="G572" t="n">
        <v>4.4</v>
      </c>
      <c r="H572" t="n">
        <v>0</v>
      </c>
      <c r="I572" t="n">
        <v>0</v>
      </c>
      <c r="J572" t="n">
        <v>0</v>
      </c>
      <c r="K572" t="n">
        <v>0</v>
      </c>
      <c r="L572" t="n">
        <v>0</v>
      </c>
      <c r="M572" t="n">
        <v>0</v>
      </c>
      <c r="N572" t="n">
        <v>0</v>
      </c>
      <c r="O572" t="n">
        <v>0</v>
      </c>
      <c r="P572" t="n">
        <v>0</v>
      </c>
      <c r="Q572" t="n">
        <v>0</v>
      </c>
      <c r="R572" s="2" t="inlineStr"/>
    </row>
    <row r="573" ht="15" customHeight="1">
      <c r="A573" t="inlineStr">
        <is>
          <t>A 315-2026</t>
        </is>
      </c>
      <c r="B573" s="1" t="n">
        <v>46027.56204861111</v>
      </c>
      <c r="C573" s="1" t="n">
        <v>46033</v>
      </c>
      <c r="D573" t="inlineStr">
        <is>
          <t>NORRBOTTENS LÄN</t>
        </is>
      </c>
      <c r="E573" t="inlineStr">
        <is>
          <t>LULEÅ</t>
        </is>
      </c>
      <c r="G573" t="n">
        <v>1.4</v>
      </c>
      <c r="H573" t="n">
        <v>0</v>
      </c>
      <c r="I573" t="n">
        <v>0</v>
      </c>
      <c r="J573" t="n">
        <v>0</v>
      </c>
      <c r="K573" t="n">
        <v>0</v>
      </c>
      <c r="L573" t="n">
        <v>0</v>
      </c>
      <c r="M573" t="n">
        <v>0</v>
      </c>
      <c r="N573" t="n">
        <v>0</v>
      </c>
      <c r="O573" t="n">
        <v>0</v>
      </c>
      <c r="P573" t="n">
        <v>0</v>
      </c>
      <c r="Q573" t="n">
        <v>0</v>
      </c>
      <c r="R573" s="2" t="inlineStr"/>
    </row>
    <row r="574" ht="15" customHeight="1">
      <c r="A574" t="inlineStr">
        <is>
          <t>A 137-2026</t>
        </is>
      </c>
      <c r="B574" s="1" t="n">
        <v>46020</v>
      </c>
      <c r="C574" s="1" t="n">
        <v>46033</v>
      </c>
      <c r="D574" t="inlineStr">
        <is>
          <t>NORRBOTTENS LÄN</t>
        </is>
      </c>
      <c r="E574" t="inlineStr">
        <is>
          <t>LULEÅ</t>
        </is>
      </c>
      <c r="G574" t="n">
        <v>1.9</v>
      </c>
      <c r="H574" t="n">
        <v>0</v>
      </c>
      <c r="I574" t="n">
        <v>0</v>
      </c>
      <c r="J574" t="n">
        <v>0</v>
      </c>
      <c r="K574" t="n">
        <v>0</v>
      </c>
      <c r="L574" t="n">
        <v>0</v>
      </c>
      <c r="M574" t="n">
        <v>0</v>
      </c>
      <c r="N574" t="n">
        <v>0</v>
      </c>
      <c r="O574" t="n">
        <v>0</v>
      </c>
      <c r="P574" t="n">
        <v>0</v>
      </c>
      <c r="Q574" t="n">
        <v>0</v>
      </c>
      <c r="R574" s="2" t="inlineStr"/>
    </row>
    <row r="575" ht="15" customHeight="1">
      <c r="A575" t="inlineStr">
        <is>
          <t>A 433-2022</t>
        </is>
      </c>
      <c r="B575" s="1" t="n">
        <v>44565.92903935185</v>
      </c>
      <c r="C575" s="1" t="n">
        <v>46033</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61488-2024</t>
        </is>
      </c>
      <c r="B576" s="1" t="n">
        <v>45646.54873842592</v>
      </c>
      <c r="C576" s="1" t="n">
        <v>46033</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8764-2025</t>
        </is>
      </c>
      <c r="B577" s="1" t="n">
        <v>45712.58021990741</v>
      </c>
      <c r="C577" s="1" t="n">
        <v>46033</v>
      </c>
      <c r="D577" t="inlineStr">
        <is>
          <t>NORRBOTTENS LÄN</t>
        </is>
      </c>
      <c r="E577" t="inlineStr">
        <is>
          <t>LULEÅ</t>
        </is>
      </c>
      <c r="G577" t="n">
        <v>2.3</v>
      </c>
      <c r="H577" t="n">
        <v>0</v>
      </c>
      <c r="I577" t="n">
        <v>0</v>
      </c>
      <c r="J577" t="n">
        <v>0</v>
      </c>
      <c r="K577" t="n">
        <v>0</v>
      </c>
      <c r="L577" t="n">
        <v>0</v>
      </c>
      <c r="M577" t="n">
        <v>0</v>
      </c>
      <c r="N577" t="n">
        <v>0</v>
      </c>
      <c r="O577" t="n">
        <v>0</v>
      </c>
      <c r="P577" t="n">
        <v>0</v>
      </c>
      <c r="Q577" t="n">
        <v>0</v>
      </c>
      <c r="R577" s="2" t="inlineStr"/>
    </row>
    <row r="578" ht="15" customHeight="1">
      <c r="A578" t="inlineStr">
        <is>
          <t>A 307-2026</t>
        </is>
      </c>
      <c r="B578" s="1" t="n">
        <v>46027.55047453703</v>
      </c>
      <c r="C578" s="1" t="n">
        <v>46033</v>
      </c>
      <c r="D578" t="inlineStr">
        <is>
          <t>NORRBOTTENS LÄN</t>
        </is>
      </c>
      <c r="E578" t="inlineStr">
        <is>
          <t>LULEÅ</t>
        </is>
      </c>
      <c r="G578" t="n">
        <v>1.2</v>
      </c>
      <c r="H578" t="n">
        <v>0</v>
      </c>
      <c r="I578" t="n">
        <v>0</v>
      </c>
      <c r="J578" t="n">
        <v>0</v>
      </c>
      <c r="K578" t="n">
        <v>0</v>
      </c>
      <c r="L578" t="n">
        <v>0</v>
      </c>
      <c r="M578" t="n">
        <v>0</v>
      </c>
      <c r="N578" t="n">
        <v>0</v>
      </c>
      <c r="O578" t="n">
        <v>0</v>
      </c>
      <c r="P578" t="n">
        <v>0</v>
      </c>
      <c r="Q578" t="n">
        <v>0</v>
      </c>
      <c r="R578" s="2" t="inlineStr"/>
    </row>
    <row r="579" ht="15" customHeight="1">
      <c r="A579" t="inlineStr">
        <is>
          <t>A 14187-2025</t>
        </is>
      </c>
      <c r="B579" s="1" t="n">
        <v>45740</v>
      </c>
      <c r="C579" s="1" t="n">
        <v>46033</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row>
    <row r="580" ht="15" customHeight="1">
      <c r="A580" t="inlineStr">
        <is>
          <t>A 14193-2025</t>
        </is>
      </c>
      <c r="B580" s="1" t="n">
        <v>45740.56127314815</v>
      </c>
      <c r="C580" s="1" t="n">
        <v>46033</v>
      </c>
      <c r="D580" t="inlineStr">
        <is>
          <t>NORRBOTTENS LÄN</t>
        </is>
      </c>
      <c r="E580" t="inlineStr">
        <is>
          <t>LULEÅ</t>
        </is>
      </c>
      <c r="G580" t="n">
        <v>0.9</v>
      </c>
      <c r="H580" t="n">
        <v>0</v>
      </c>
      <c r="I580" t="n">
        <v>0</v>
      </c>
      <c r="J580" t="n">
        <v>0</v>
      </c>
      <c r="K580" t="n">
        <v>0</v>
      </c>
      <c r="L580" t="n">
        <v>0</v>
      </c>
      <c r="M580" t="n">
        <v>0</v>
      </c>
      <c r="N580" t="n">
        <v>0</v>
      </c>
      <c r="O580" t="n">
        <v>0</v>
      </c>
      <c r="P580" t="n">
        <v>0</v>
      </c>
      <c r="Q580" t="n">
        <v>0</v>
      </c>
      <c r="R580" s="2" t="inlineStr"/>
    </row>
    <row r="581" ht="15" customHeight="1">
      <c r="A581" t="inlineStr">
        <is>
          <t>A 14195-2025</t>
        </is>
      </c>
      <c r="B581" s="1" t="n">
        <v>45740</v>
      </c>
      <c r="C581" s="1" t="n">
        <v>46033</v>
      </c>
      <c r="D581" t="inlineStr">
        <is>
          <t>NORRBOTTENS LÄN</t>
        </is>
      </c>
      <c r="E581" t="inlineStr">
        <is>
          <t>LULEÅ</t>
        </is>
      </c>
      <c r="G581" t="n">
        <v>0.8</v>
      </c>
      <c r="H581" t="n">
        <v>0</v>
      </c>
      <c r="I581" t="n">
        <v>0</v>
      </c>
      <c r="J581" t="n">
        <v>0</v>
      </c>
      <c r="K581" t="n">
        <v>0</v>
      </c>
      <c r="L581" t="n">
        <v>0</v>
      </c>
      <c r="M581" t="n">
        <v>0</v>
      </c>
      <c r="N581" t="n">
        <v>0</v>
      </c>
      <c r="O581" t="n">
        <v>0</v>
      </c>
      <c r="P581" t="n">
        <v>0</v>
      </c>
      <c r="Q581" t="n">
        <v>0</v>
      </c>
      <c r="R581" s="2" t="inlineStr"/>
    </row>
    <row r="582" ht="15" customHeight="1">
      <c r="A582" t="inlineStr">
        <is>
          <t>A 52400-2023</t>
        </is>
      </c>
      <c r="B582" s="1" t="n">
        <v>45224</v>
      </c>
      <c r="C582" s="1" t="n">
        <v>46033</v>
      </c>
      <c r="D582" t="inlineStr">
        <is>
          <t>NORRBOTTENS LÄN</t>
        </is>
      </c>
      <c r="E582" t="inlineStr">
        <is>
          <t>LULEÅ</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53185-2022</t>
        </is>
      </c>
      <c r="B583" s="1" t="n">
        <v>44876.57346064815</v>
      </c>
      <c r="C583" s="1" t="n">
        <v>46033</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305-2026</t>
        </is>
      </c>
      <c r="B584" s="1" t="n">
        <v>46027</v>
      </c>
      <c r="C584" s="1" t="n">
        <v>46033</v>
      </c>
      <c r="D584" t="inlineStr">
        <is>
          <t>NORRBOTTENS LÄN</t>
        </is>
      </c>
      <c r="E584" t="inlineStr">
        <is>
          <t>LULEÅ</t>
        </is>
      </c>
      <c r="G584" t="n">
        <v>3.6</v>
      </c>
      <c r="H584" t="n">
        <v>0</v>
      </c>
      <c r="I584" t="n">
        <v>0</v>
      </c>
      <c r="J584" t="n">
        <v>0</v>
      </c>
      <c r="K584" t="n">
        <v>0</v>
      </c>
      <c r="L584" t="n">
        <v>0</v>
      </c>
      <c r="M584" t="n">
        <v>0</v>
      </c>
      <c r="N584" t="n">
        <v>0</v>
      </c>
      <c r="O584" t="n">
        <v>0</v>
      </c>
      <c r="P584" t="n">
        <v>0</v>
      </c>
      <c r="Q584" t="n">
        <v>0</v>
      </c>
      <c r="R584" s="2" t="inlineStr"/>
    </row>
    <row r="585" ht="15" customHeight="1">
      <c r="A585" t="inlineStr">
        <is>
          <t>A 12549-2024</t>
        </is>
      </c>
      <c r="B585" s="1" t="n">
        <v>45379</v>
      </c>
      <c r="C585" s="1" t="n">
        <v>46033</v>
      </c>
      <c r="D585" t="inlineStr">
        <is>
          <t>NORRBOTTENS LÄN</t>
        </is>
      </c>
      <c r="E585" t="inlineStr">
        <is>
          <t>LULEÅ</t>
        </is>
      </c>
      <c r="G585" t="n">
        <v>1.4</v>
      </c>
      <c r="H585" t="n">
        <v>0</v>
      </c>
      <c r="I585" t="n">
        <v>0</v>
      </c>
      <c r="J585" t="n">
        <v>0</v>
      </c>
      <c r="K585" t="n">
        <v>0</v>
      </c>
      <c r="L585" t="n">
        <v>0</v>
      </c>
      <c r="M585" t="n">
        <v>0</v>
      </c>
      <c r="N585" t="n">
        <v>0</v>
      </c>
      <c r="O585" t="n">
        <v>0</v>
      </c>
      <c r="P585" t="n">
        <v>0</v>
      </c>
      <c r="Q585" t="n">
        <v>0</v>
      </c>
      <c r="R585" s="2" t="inlineStr"/>
    </row>
    <row r="586" ht="15" customHeight="1">
      <c r="A586" t="inlineStr">
        <is>
          <t>A 12685-2023</t>
        </is>
      </c>
      <c r="B586" s="1" t="n">
        <v>44999</v>
      </c>
      <c r="C586" s="1" t="n">
        <v>46033</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44005-2024</t>
        </is>
      </c>
      <c r="B587" s="1" t="n">
        <v>45572.54814814815</v>
      </c>
      <c r="C587" s="1" t="n">
        <v>46033</v>
      </c>
      <c r="D587" t="inlineStr">
        <is>
          <t>NORRBOTTENS LÄN</t>
        </is>
      </c>
      <c r="E587" t="inlineStr">
        <is>
          <t>LULEÅ</t>
        </is>
      </c>
      <c r="G587" t="n">
        <v>14.8</v>
      </c>
      <c r="H587" t="n">
        <v>0</v>
      </c>
      <c r="I587" t="n">
        <v>0</v>
      </c>
      <c r="J587" t="n">
        <v>0</v>
      </c>
      <c r="K587" t="n">
        <v>0</v>
      </c>
      <c r="L587" t="n">
        <v>0</v>
      </c>
      <c r="M587" t="n">
        <v>0</v>
      </c>
      <c r="N587" t="n">
        <v>0</v>
      </c>
      <c r="O587" t="n">
        <v>0</v>
      </c>
      <c r="P587" t="n">
        <v>0</v>
      </c>
      <c r="Q587" t="n">
        <v>0</v>
      </c>
      <c r="R587" s="2" t="inlineStr"/>
    </row>
    <row r="588" ht="15" customHeight="1">
      <c r="A588" t="inlineStr">
        <is>
          <t>A 39816-2024</t>
        </is>
      </c>
      <c r="B588" s="1" t="n">
        <v>45553.3859837963</v>
      </c>
      <c r="C588" s="1" t="n">
        <v>46033</v>
      </c>
      <c r="D588" t="inlineStr">
        <is>
          <t>NORRBOTTENS LÄN</t>
        </is>
      </c>
      <c r="E588" t="inlineStr">
        <is>
          <t>LULEÅ</t>
        </is>
      </c>
      <c r="F588" t="inlineStr">
        <is>
          <t>Naturvårdsverket</t>
        </is>
      </c>
      <c r="G588" t="n">
        <v>11.1</v>
      </c>
      <c r="H588" t="n">
        <v>0</v>
      </c>
      <c r="I588" t="n">
        <v>0</v>
      </c>
      <c r="J588" t="n">
        <v>0</v>
      </c>
      <c r="K588" t="n">
        <v>0</v>
      </c>
      <c r="L588" t="n">
        <v>0</v>
      </c>
      <c r="M588" t="n">
        <v>0</v>
      </c>
      <c r="N588" t="n">
        <v>0</v>
      </c>
      <c r="O588" t="n">
        <v>0</v>
      </c>
      <c r="P588" t="n">
        <v>0</v>
      </c>
      <c r="Q588" t="n">
        <v>0</v>
      </c>
      <c r="R588" s="2" t="inlineStr"/>
    </row>
    <row r="589" ht="15" customHeight="1">
      <c r="A589" t="inlineStr">
        <is>
          <t>A 7429-2021</t>
        </is>
      </c>
      <c r="B589" s="1" t="n">
        <v>44239</v>
      </c>
      <c r="C589" s="1" t="n">
        <v>46033</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38358-2023</t>
        </is>
      </c>
      <c r="B590" s="1" t="n">
        <v>45161.94293981481</v>
      </c>
      <c r="C590" s="1" t="n">
        <v>46033</v>
      </c>
      <c r="D590" t="inlineStr">
        <is>
          <t>NORRBOTTENS LÄN</t>
        </is>
      </c>
      <c r="E590" t="inlineStr">
        <is>
          <t>LULEÅ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14196-2025</t>
        </is>
      </c>
      <c r="B591" s="1" t="n">
        <v>45740.56502314815</v>
      </c>
      <c r="C591" s="1" t="n">
        <v>46033</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58760-2023</t>
        </is>
      </c>
      <c r="B592" s="1" t="n">
        <v>45251</v>
      </c>
      <c r="C592" s="1" t="n">
        <v>46033</v>
      </c>
      <c r="D592" t="inlineStr">
        <is>
          <t>NORRBOTTENS LÄN</t>
        </is>
      </c>
      <c r="E592" t="inlineStr">
        <is>
          <t>LULEÅ</t>
        </is>
      </c>
      <c r="G592" t="n">
        <v>5.4</v>
      </c>
      <c r="H592" t="n">
        <v>0</v>
      </c>
      <c r="I592" t="n">
        <v>0</v>
      </c>
      <c r="J592" t="n">
        <v>0</v>
      </c>
      <c r="K592" t="n">
        <v>0</v>
      </c>
      <c r="L592" t="n">
        <v>0</v>
      </c>
      <c r="M592" t="n">
        <v>0</v>
      </c>
      <c r="N592" t="n">
        <v>0</v>
      </c>
      <c r="O592" t="n">
        <v>0</v>
      </c>
      <c r="P592" t="n">
        <v>0</v>
      </c>
      <c r="Q592" t="n">
        <v>0</v>
      </c>
      <c r="R592" s="2" t="inlineStr"/>
    </row>
    <row r="593" ht="15" customHeight="1">
      <c r="A593" t="inlineStr">
        <is>
          <t>A 8816-2023</t>
        </is>
      </c>
      <c r="B593" s="1" t="n">
        <v>44973</v>
      </c>
      <c r="C593" s="1" t="n">
        <v>46033</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60690-2025</t>
        </is>
      </c>
      <c r="B594" s="1" t="n">
        <v>45996</v>
      </c>
      <c r="C594" s="1" t="n">
        <v>46033</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8068-2023</t>
        </is>
      </c>
      <c r="B595" s="1" t="n">
        <v>44974.36233796296</v>
      </c>
      <c r="C595" s="1" t="n">
        <v>46033</v>
      </c>
      <c r="D595" t="inlineStr">
        <is>
          <t>NORRBOTTENS LÄN</t>
        </is>
      </c>
      <c r="E595" t="inlineStr">
        <is>
          <t>LULEÅ</t>
        </is>
      </c>
      <c r="G595" t="n">
        <v>5.4</v>
      </c>
      <c r="H595" t="n">
        <v>0</v>
      </c>
      <c r="I595" t="n">
        <v>0</v>
      </c>
      <c r="J595" t="n">
        <v>0</v>
      </c>
      <c r="K595" t="n">
        <v>0</v>
      </c>
      <c r="L595" t="n">
        <v>0</v>
      </c>
      <c r="M595" t="n">
        <v>0</v>
      </c>
      <c r="N595" t="n">
        <v>0</v>
      </c>
      <c r="O595" t="n">
        <v>0</v>
      </c>
      <c r="P595" t="n">
        <v>0</v>
      </c>
      <c r="Q595" t="n">
        <v>0</v>
      </c>
      <c r="R595" s="2" t="inlineStr"/>
    </row>
    <row r="596" ht="15" customHeight="1">
      <c r="A596" t="inlineStr">
        <is>
          <t>A 59239-2025</t>
        </is>
      </c>
      <c r="B596" s="1" t="n">
        <v>45988.63575231482</v>
      </c>
      <c r="C596" s="1" t="n">
        <v>46033</v>
      </c>
      <c r="D596" t="inlineStr">
        <is>
          <t>NORRBOTTENS LÄN</t>
        </is>
      </c>
      <c r="E596" t="inlineStr">
        <is>
          <t>LULEÅ</t>
        </is>
      </c>
      <c r="G596" t="n">
        <v>5.3</v>
      </c>
      <c r="H596" t="n">
        <v>0</v>
      </c>
      <c r="I596" t="n">
        <v>0</v>
      </c>
      <c r="J596" t="n">
        <v>0</v>
      </c>
      <c r="K596" t="n">
        <v>0</v>
      </c>
      <c r="L596" t="n">
        <v>0</v>
      </c>
      <c r="M596" t="n">
        <v>0</v>
      </c>
      <c r="N596" t="n">
        <v>0</v>
      </c>
      <c r="O596" t="n">
        <v>0</v>
      </c>
      <c r="P596" t="n">
        <v>0</v>
      </c>
      <c r="Q596" t="n">
        <v>0</v>
      </c>
      <c r="R596" s="2" t="inlineStr"/>
    </row>
    <row r="597" ht="15" customHeight="1">
      <c r="A597" t="inlineStr">
        <is>
          <t>A 12602-2024</t>
        </is>
      </c>
      <c r="B597" s="1" t="n">
        <v>45381</v>
      </c>
      <c r="C597" s="1" t="n">
        <v>46033</v>
      </c>
      <c r="D597" t="inlineStr">
        <is>
          <t>NORRBOTTENS LÄN</t>
        </is>
      </c>
      <c r="E597" t="inlineStr">
        <is>
          <t>LULEÅ</t>
        </is>
      </c>
      <c r="G597" t="n">
        <v>5.6</v>
      </c>
      <c r="H597" t="n">
        <v>0</v>
      </c>
      <c r="I597" t="n">
        <v>0</v>
      </c>
      <c r="J597" t="n">
        <v>0</v>
      </c>
      <c r="K597" t="n">
        <v>0</v>
      </c>
      <c r="L597" t="n">
        <v>0</v>
      </c>
      <c r="M597" t="n">
        <v>0</v>
      </c>
      <c r="N597" t="n">
        <v>0</v>
      </c>
      <c r="O597" t="n">
        <v>0</v>
      </c>
      <c r="P597" t="n">
        <v>0</v>
      </c>
      <c r="Q597" t="n">
        <v>0</v>
      </c>
      <c r="R597" s="2" t="inlineStr"/>
    </row>
    <row r="598" ht="15" customHeight="1">
      <c r="A598" t="inlineStr">
        <is>
          <t>A 885-2026</t>
        </is>
      </c>
      <c r="B598" s="1" t="n">
        <v>46030.44842592593</v>
      </c>
      <c r="C598" s="1" t="n">
        <v>46033</v>
      </c>
      <c r="D598" t="inlineStr">
        <is>
          <t>NORRBOTTENS LÄN</t>
        </is>
      </c>
      <c r="E598" t="inlineStr">
        <is>
          <t>LULEÅ</t>
        </is>
      </c>
      <c r="F598" t="inlineStr">
        <is>
          <t>SCA</t>
        </is>
      </c>
      <c r="G598" t="n">
        <v>0.3</v>
      </c>
      <c r="H598" t="n">
        <v>0</v>
      </c>
      <c r="I598" t="n">
        <v>0</v>
      </c>
      <c r="J598" t="n">
        <v>0</v>
      </c>
      <c r="K598" t="n">
        <v>0</v>
      </c>
      <c r="L598" t="n">
        <v>0</v>
      </c>
      <c r="M598" t="n">
        <v>0</v>
      </c>
      <c r="N598" t="n">
        <v>0</v>
      </c>
      <c r="O598" t="n">
        <v>0</v>
      </c>
      <c r="P598" t="n">
        <v>0</v>
      </c>
      <c r="Q598" t="n">
        <v>0</v>
      </c>
      <c r="R598" s="2" t="inlineStr"/>
    </row>
    <row r="599" ht="15" customHeight="1">
      <c r="A599" t="inlineStr">
        <is>
          <t>A 59437-2025</t>
        </is>
      </c>
      <c r="B599" s="1" t="n">
        <v>45989.556875</v>
      </c>
      <c r="C599" s="1" t="n">
        <v>46033</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5058-2025</t>
        </is>
      </c>
      <c r="B600" s="1" t="n">
        <v>45691.46903935185</v>
      </c>
      <c r="C600" s="1" t="n">
        <v>46033</v>
      </c>
      <c r="D600" t="inlineStr">
        <is>
          <t>NORRBOTTENS LÄN</t>
        </is>
      </c>
      <c r="E600" t="inlineStr">
        <is>
          <t>LULEÅ</t>
        </is>
      </c>
      <c r="G600" t="n">
        <v>1.2</v>
      </c>
      <c r="H600" t="n">
        <v>0</v>
      </c>
      <c r="I600" t="n">
        <v>0</v>
      </c>
      <c r="J600" t="n">
        <v>0</v>
      </c>
      <c r="K600" t="n">
        <v>0</v>
      </c>
      <c r="L600" t="n">
        <v>0</v>
      </c>
      <c r="M600" t="n">
        <v>0</v>
      </c>
      <c r="N600" t="n">
        <v>0</v>
      </c>
      <c r="O600" t="n">
        <v>0</v>
      </c>
      <c r="P600" t="n">
        <v>0</v>
      </c>
      <c r="Q600" t="n">
        <v>0</v>
      </c>
      <c r="R600" s="2" t="inlineStr"/>
    </row>
    <row r="601" ht="15" customHeight="1">
      <c r="A601" t="inlineStr">
        <is>
          <t>A 62697-2022</t>
        </is>
      </c>
      <c r="B601" s="1" t="n">
        <v>44917</v>
      </c>
      <c r="C601" s="1" t="n">
        <v>46033</v>
      </c>
      <c r="D601" t="inlineStr">
        <is>
          <t>NORRBOTTENS LÄN</t>
        </is>
      </c>
      <c r="E601" t="inlineStr">
        <is>
          <t>LULEÅ</t>
        </is>
      </c>
      <c r="G601" t="n">
        <v>1</v>
      </c>
      <c r="H601" t="n">
        <v>0</v>
      </c>
      <c r="I601" t="n">
        <v>0</v>
      </c>
      <c r="J601" t="n">
        <v>0</v>
      </c>
      <c r="K601" t="n">
        <v>0</v>
      </c>
      <c r="L601" t="n">
        <v>0</v>
      </c>
      <c r="M601" t="n">
        <v>0</v>
      </c>
      <c r="N601" t="n">
        <v>0</v>
      </c>
      <c r="O601" t="n">
        <v>0</v>
      </c>
      <c r="P601" t="n">
        <v>0</v>
      </c>
      <c r="Q601" t="n">
        <v>0</v>
      </c>
      <c r="R601" s="2" t="inlineStr"/>
    </row>
    <row r="602" ht="15" customHeight="1">
      <c r="A602" t="inlineStr">
        <is>
          <t>A 9502-2025</t>
        </is>
      </c>
      <c r="B602" s="1" t="n">
        <v>45714</v>
      </c>
      <c r="C602" s="1" t="n">
        <v>46033</v>
      </c>
      <c r="D602" t="inlineStr">
        <is>
          <t>NORRBOTTENS LÄN</t>
        </is>
      </c>
      <c r="E602" t="inlineStr">
        <is>
          <t>LULEÅ</t>
        </is>
      </c>
      <c r="G602" t="n">
        <v>5.6</v>
      </c>
      <c r="H602" t="n">
        <v>0</v>
      </c>
      <c r="I602" t="n">
        <v>0</v>
      </c>
      <c r="J602" t="n">
        <v>0</v>
      </c>
      <c r="K602" t="n">
        <v>0</v>
      </c>
      <c r="L602" t="n">
        <v>0</v>
      </c>
      <c r="M602" t="n">
        <v>0</v>
      </c>
      <c r="N602" t="n">
        <v>0</v>
      </c>
      <c r="O602" t="n">
        <v>0</v>
      </c>
      <c r="P602" t="n">
        <v>0</v>
      </c>
      <c r="Q602" t="n">
        <v>0</v>
      </c>
      <c r="R602" s="2" t="inlineStr"/>
    </row>
    <row r="603" ht="15" customHeight="1">
      <c r="A603" t="inlineStr">
        <is>
          <t>A 61315-2022</t>
        </is>
      </c>
      <c r="B603" s="1" t="n">
        <v>44909</v>
      </c>
      <c r="C603" s="1" t="n">
        <v>46033</v>
      </c>
      <c r="D603" t="inlineStr">
        <is>
          <t>NORRBOTTENS LÄN</t>
        </is>
      </c>
      <c r="E603" t="inlineStr">
        <is>
          <t>LULEÅ</t>
        </is>
      </c>
      <c r="G603" t="n">
        <v>2.8</v>
      </c>
      <c r="H603" t="n">
        <v>0</v>
      </c>
      <c r="I603" t="n">
        <v>0</v>
      </c>
      <c r="J603" t="n">
        <v>0</v>
      </c>
      <c r="K603" t="n">
        <v>0</v>
      </c>
      <c r="L603" t="n">
        <v>0</v>
      </c>
      <c r="M603" t="n">
        <v>0</v>
      </c>
      <c r="N603" t="n">
        <v>0</v>
      </c>
      <c r="O603" t="n">
        <v>0</v>
      </c>
      <c r="P603" t="n">
        <v>0</v>
      </c>
      <c r="Q603" t="n">
        <v>0</v>
      </c>
      <c r="R603" s="2" t="inlineStr"/>
    </row>
    <row r="604" ht="15" customHeight="1">
      <c r="A604" t="inlineStr">
        <is>
          <t>A 1116-2026</t>
        </is>
      </c>
      <c r="B604" s="1" t="n">
        <v>46030</v>
      </c>
      <c r="C604" s="1" t="n">
        <v>46033</v>
      </c>
      <c r="D604" t="inlineStr">
        <is>
          <t>NORRBOTTENS LÄN</t>
        </is>
      </c>
      <c r="E604" t="inlineStr">
        <is>
          <t>LULEÅ</t>
        </is>
      </c>
      <c r="G604" t="n">
        <v>17.7</v>
      </c>
      <c r="H604" t="n">
        <v>0</v>
      </c>
      <c r="I604" t="n">
        <v>0</v>
      </c>
      <c r="J604" t="n">
        <v>0</v>
      </c>
      <c r="K604" t="n">
        <v>0</v>
      </c>
      <c r="L604" t="n">
        <v>0</v>
      </c>
      <c r="M604" t="n">
        <v>0</v>
      </c>
      <c r="N604" t="n">
        <v>0</v>
      </c>
      <c r="O604" t="n">
        <v>0</v>
      </c>
      <c r="P604" t="n">
        <v>0</v>
      </c>
      <c r="Q604" t="n">
        <v>0</v>
      </c>
      <c r="R604" s="2" t="inlineStr"/>
    </row>
    <row r="605" ht="15" customHeight="1">
      <c r="A605" t="inlineStr">
        <is>
          <t>A 8204-2025</t>
        </is>
      </c>
      <c r="B605" s="1" t="n">
        <v>45708</v>
      </c>
      <c r="C605" s="1" t="n">
        <v>46033</v>
      </c>
      <c r="D605" t="inlineStr">
        <is>
          <t>NORRBOTTENS LÄN</t>
        </is>
      </c>
      <c r="E605" t="inlineStr">
        <is>
          <t>LULEÅ</t>
        </is>
      </c>
      <c r="G605" t="n">
        <v>10.7</v>
      </c>
      <c r="H605" t="n">
        <v>0</v>
      </c>
      <c r="I605" t="n">
        <v>0</v>
      </c>
      <c r="J605" t="n">
        <v>0</v>
      </c>
      <c r="K605" t="n">
        <v>0</v>
      </c>
      <c r="L605" t="n">
        <v>0</v>
      </c>
      <c r="M605" t="n">
        <v>0</v>
      </c>
      <c r="N605" t="n">
        <v>0</v>
      </c>
      <c r="O605" t="n">
        <v>0</v>
      </c>
      <c r="P605" t="n">
        <v>0</v>
      </c>
      <c r="Q605" t="n">
        <v>0</v>
      </c>
      <c r="R605" s="2" t="inlineStr"/>
    </row>
    <row r="606" ht="15" customHeight="1">
      <c r="A606" t="inlineStr">
        <is>
          <t>A 51655-2023</t>
        </is>
      </c>
      <c r="B606" s="1" t="n">
        <v>45215</v>
      </c>
      <c r="C606" s="1" t="n">
        <v>46033</v>
      </c>
      <c r="D606" t="inlineStr">
        <is>
          <t>NORRBOTTENS LÄN</t>
        </is>
      </c>
      <c r="E606" t="inlineStr">
        <is>
          <t>LULEÅ</t>
        </is>
      </c>
      <c r="G606" t="n">
        <v>7.5</v>
      </c>
      <c r="H606" t="n">
        <v>0</v>
      </c>
      <c r="I606" t="n">
        <v>0</v>
      </c>
      <c r="J606" t="n">
        <v>0</v>
      </c>
      <c r="K606" t="n">
        <v>0</v>
      </c>
      <c r="L606" t="n">
        <v>0</v>
      </c>
      <c r="M606" t="n">
        <v>0</v>
      </c>
      <c r="N606" t="n">
        <v>0</v>
      </c>
      <c r="O606" t="n">
        <v>0</v>
      </c>
      <c r="P606" t="n">
        <v>0</v>
      </c>
      <c r="Q606" t="n">
        <v>0</v>
      </c>
      <c r="R606" s="2" t="inlineStr"/>
    </row>
    <row r="607" ht="15" customHeight="1">
      <c r="A607" t="inlineStr">
        <is>
          <t>A 59514-2025</t>
        </is>
      </c>
      <c r="B607" s="1" t="n">
        <v>45989.64967592592</v>
      </c>
      <c r="C607" s="1" t="n">
        <v>46033</v>
      </c>
      <c r="D607" t="inlineStr">
        <is>
          <t>NORRBOTTENS LÄN</t>
        </is>
      </c>
      <c r="E607" t="inlineStr">
        <is>
          <t>LULEÅ</t>
        </is>
      </c>
      <c r="G607" t="n">
        <v>4.6</v>
      </c>
      <c r="H607" t="n">
        <v>0</v>
      </c>
      <c r="I607" t="n">
        <v>0</v>
      </c>
      <c r="J607" t="n">
        <v>0</v>
      </c>
      <c r="K607" t="n">
        <v>0</v>
      </c>
      <c r="L607" t="n">
        <v>0</v>
      </c>
      <c r="M607" t="n">
        <v>0</v>
      </c>
      <c r="N607" t="n">
        <v>0</v>
      </c>
      <c r="O607" t="n">
        <v>0</v>
      </c>
      <c r="P607" t="n">
        <v>0</v>
      </c>
      <c r="Q607" t="n">
        <v>0</v>
      </c>
      <c r="R607" s="2" t="inlineStr"/>
    </row>
    <row r="608" ht="15" customHeight="1">
      <c r="A608" t="inlineStr">
        <is>
          <t>A 50632-2021</t>
        </is>
      </c>
      <c r="B608" s="1" t="n">
        <v>44459</v>
      </c>
      <c r="C608" s="1" t="n">
        <v>46033</v>
      </c>
      <c r="D608" t="inlineStr">
        <is>
          <t>NORRBOTTENS LÄN</t>
        </is>
      </c>
      <c r="E608" t="inlineStr">
        <is>
          <t>LULEÅ</t>
        </is>
      </c>
      <c r="G608" t="n">
        <v>3.5</v>
      </c>
      <c r="H608" t="n">
        <v>0</v>
      </c>
      <c r="I608" t="n">
        <v>0</v>
      </c>
      <c r="J608" t="n">
        <v>0</v>
      </c>
      <c r="K608" t="n">
        <v>0</v>
      </c>
      <c r="L608" t="n">
        <v>0</v>
      </c>
      <c r="M608" t="n">
        <v>0</v>
      </c>
      <c r="N608" t="n">
        <v>0</v>
      </c>
      <c r="O608" t="n">
        <v>0</v>
      </c>
      <c r="P608" t="n">
        <v>0</v>
      </c>
      <c r="Q608" t="n">
        <v>0</v>
      </c>
      <c r="R608" s="2" t="inlineStr"/>
    </row>
    <row r="609" ht="15" customHeight="1">
      <c r="A609" t="inlineStr">
        <is>
          <t>A 62135-2025</t>
        </is>
      </c>
      <c r="B609" s="1" t="n">
        <v>46006</v>
      </c>
      <c r="C609" s="1" t="n">
        <v>46033</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57911-2023</t>
        </is>
      </c>
      <c r="B610" s="1" t="n">
        <v>45247</v>
      </c>
      <c r="C610" s="1" t="n">
        <v>46033</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59554-2025</t>
        </is>
      </c>
      <c r="B611" s="1" t="n">
        <v>45990.65666666667</v>
      </c>
      <c r="C611" s="1" t="n">
        <v>46033</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59502-2025</t>
        </is>
      </c>
      <c r="B612" s="1" t="n">
        <v>45989</v>
      </c>
      <c r="C612" s="1" t="n">
        <v>46033</v>
      </c>
      <c r="D612" t="inlineStr">
        <is>
          <t>NORRBOTTENS LÄN</t>
        </is>
      </c>
      <c r="E612" t="inlineStr">
        <is>
          <t>LULEÅ</t>
        </is>
      </c>
      <c r="G612" t="n">
        <v>1.9</v>
      </c>
      <c r="H612" t="n">
        <v>0</v>
      </c>
      <c r="I612" t="n">
        <v>0</v>
      </c>
      <c r="J612" t="n">
        <v>0</v>
      </c>
      <c r="K612" t="n">
        <v>0</v>
      </c>
      <c r="L612" t="n">
        <v>0</v>
      </c>
      <c r="M612" t="n">
        <v>0</v>
      </c>
      <c r="N612" t="n">
        <v>0</v>
      </c>
      <c r="O612" t="n">
        <v>0</v>
      </c>
      <c r="P612" t="n">
        <v>0</v>
      </c>
      <c r="Q612" t="n">
        <v>0</v>
      </c>
      <c r="R612" s="2" t="inlineStr"/>
    </row>
    <row r="613" ht="15" customHeight="1">
      <c r="A613" t="inlineStr">
        <is>
          <t>A 57140-2025</t>
        </is>
      </c>
      <c r="B613" s="1" t="n">
        <v>45978</v>
      </c>
      <c r="C613" s="1" t="n">
        <v>46033</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62993-2025</t>
        </is>
      </c>
      <c r="B614" s="1" t="n">
        <v>46009.53162037037</v>
      </c>
      <c r="C614" s="1" t="n">
        <v>46033</v>
      </c>
      <c r="D614" t="inlineStr">
        <is>
          <t>NORRBOTTENS LÄN</t>
        </is>
      </c>
      <c r="E614" t="inlineStr">
        <is>
          <t>LULEÅ</t>
        </is>
      </c>
      <c r="G614" t="n">
        <v>9.6</v>
      </c>
      <c r="H614" t="n">
        <v>0</v>
      </c>
      <c r="I614" t="n">
        <v>0</v>
      </c>
      <c r="J614" t="n">
        <v>0</v>
      </c>
      <c r="K614" t="n">
        <v>0</v>
      </c>
      <c r="L614" t="n">
        <v>0</v>
      </c>
      <c r="M614" t="n">
        <v>0</v>
      </c>
      <c r="N614" t="n">
        <v>0</v>
      </c>
      <c r="O614" t="n">
        <v>0</v>
      </c>
      <c r="P614" t="n">
        <v>0</v>
      </c>
      <c r="Q614" t="n">
        <v>0</v>
      </c>
      <c r="R614" s="2" t="inlineStr"/>
    </row>
    <row r="615" ht="15" customHeight="1">
      <c r="A615" t="inlineStr">
        <is>
          <t>A 35918-2024</t>
        </is>
      </c>
      <c r="B615" s="1" t="n">
        <v>45533</v>
      </c>
      <c r="C615" s="1" t="n">
        <v>46033</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49712-2022</t>
        </is>
      </c>
      <c r="B616" s="1" t="n">
        <v>44859</v>
      </c>
      <c r="C616" s="1" t="n">
        <v>46033</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8767-2025</t>
        </is>
      </c>
      <c r="B617" s="1" t="n">
        <v>45712.58931712963</v>
      </c>
      <c r="C617" s="1" t="n">
        <v>46033</v>
      </c>
      <c r="D617" t="inlineStr">
        <is>
          <t>NORRBOTTENS LÄN</t>
        </is>
      </c>
      <c r="E617" t="inlineStr">
        <is>
          <t>LULEÅ</t>
        </is>
      </c>
      <c r="G617" t="n">
        <v>3.4</v>
      </c>
      <c r="H617" t="n">
        <v>0</v>
      </c>
      <c r="I617" t="n">
        <v>0</v>
      </c>
      <c r="J617" t="n">
        <v>0</v>
      </c>
      <c r="K617" t="n">
        <v>0</v>
      </c>
      <c r="L617" t="n">
        <v>0</v>
      </c>
      <c r="M617" t="n">
        <v>0</v>
      </c>
      <c r="N617" t="n">
        <v>0</v>
      </c>
      <c r="O617" t="n">
        <v>0</v>
      </c>
      <c r="P617" t="n">
        <v>0</v>
      </c>
      <c r="Q617" t="n">
        <v>0</v>
      </c>
      <c r="R617" s="2" t="inlineStr"/>
    </row>
    <row r="618" ht="15" customHeight="1">
      <c r="A618" t="inlineStr">
        <is>
          <t>A 6958-2025</t>
        </is>
      </c>
      <c r="B618" s="1" t="n">
        <v>45701.49054398148</v>
      </c>
      <c r="C618" s="1" t="n">
        <v>46033</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60121-2024</t>
        </is>
      </c>
      <c r="B619" s="1" t="n">
        <v>45642.58465277778</v>
      </c>
      <c r="C619" s="1" t="n">
        <v>46033</v>
      </c>
      <c r="D619" t="inlineStr">
        <is>
          <t>NORRBOTTENS LÄN</t>
        </is>
      </c>
      <c r="E619" t="inlineStr">
        <is>
          <t>LULEÅ</t>
        </is>
      </c>
      <c r="G619" t="n">
        <v>1.6</v>
      </c>
      <c r="H619" t="n">
        <v>0</v>
      </c>
      <c r="I619" t="n">
        <v>0</v>
      </c>
      <c r="J619" t="n">
        <v>0</v>
      </c>
      <c r="K619" t="n">
        <v>0</v>
      </c>
      <c r="L619" t="n">
        <v>0</v>
      </c>
      <c r="M619" t="n">
        <v>0</v>
      </c>
      <c r="N619" t="n">
        <v>0</v>
      </c>
      <c r="O619" t="n">
        <v>0</v>
      </c>
      <c r="P619" t="n">
        <v>0</v>
      </c>
      <c r="Q619" t="n">
        <v>0</v>
      </c>
      <c r="R619" s="2" t="inlineStr"/>
    </row>
    <row r="620" ht="15" customHeight="1">
      <c r="A620" t="inlineStr">
        <is>
          <t>A 29490-2023</t>
        </is>
      </c>
      <c r="B620" s="1" t="n">
        <v>45098</v>
      </c>
      <c r="C620" s="1" t="n">
        <v>46033</v>
      </c>
      <c r="D620" t="inlineStr">
        <is>
          <t>NORRBOTTENS LÄN</t>
        </is>
      </c>
      <c r="E620" t="inlineStr">
        <is>
          <t>LULEÅ</t>
        </is>
      </c>
      <c r="G620" t="n">
        <v>1.7</v>
      </c>
      <c r="H620" t="n">
        <v>0</v>
      </c>
      <c r="I620" t="n">
        <v>0</v>
      </c>
      <c r="J620" t="n">
        <v>0</v>
      </c>
      <c r="K620" t="n">
        <v>0</v>
      </c>
      <c r="L620" t="n">
        <v>0</v>
      </c>
      <c r="M620" t="n">
        <v>0</v>
      </c>
      <c r="N620" t="n">
        <v>0</v>
      </c>
      <c r="O620" t="n">
        <v>0</v>
      </c>
      <c r="P620" t="n">
        <v>0</v>
      </c>
      <c r="Q620" t="n">
        <v>0</v>
      </c>
      <c r="R620" s="2" t="inlineStr"/>
    </row>
    <row r="621" ht="15" customHeight="1">
      <c r="A621" t="inlineStr">
        <is>
          <t>A 29510-2023</t>
        </is>
      </c>
      <c r="B621" s="1" t="n">
        <v>45098</v>
      </c>
      <c r="C621" s="1" t="n">
        <v>46033</v>
      </c>
      <c r="D621" t="inlineStr">
        <is>
          <t>NORRBOTTENS LÄN</t>
        </is>
      </c>
      <c r="E621" t="inlineStr">
        <is>
          <t>LULEÅ</t>
        </is>
      </c>
      <c r="G621" t="n">
        <v>3.8</v>
      </c>
      <c r="H621" t="n">
        <v>0</v>
      </c>
      <c r="I621" t="n">
        <v>0</v>
      </c>
      <c r="J621" t="n">
        <v>0</v>
      </c>
      <c r="K621" t="n">
        <v>0</v>
      </c>
      <c r="L621" t="n">
        <v>0</v>
      </c>
      <c r="M621" t="n">
        <v>0</v>
      </c>
      <c r="N621" t="n">
        <v>0</v>
      </c>
      <c r="O621" t="n">
        <v>0</v>
      </c>
      <c r="P621" t="n">
        <v>0</v>
      </c>
      <c r="Q621" t="n">
        <v>0</v>
      </c>
      <c r="R621" s="2" t="inlineStr"/>
    </row>
    <row r="622" ht="15" customHeight="1">
      <c r="A622" t="inlineStr">
        <is>
          <t>A 7880-2025</t>
        </is>
      </c>
      <c r="B622" s="1" t="n">
        <v>45706.785</v>
      </c>
      <c r="C622" s="1" t="n">
        <v>46033</v>
      </c>
      <c r="D622" t="inlineStr">
        <is>
          <t>NORRBOTTENS LÄN</t>
        </is>
      </c>
      <c r="E622" t="inlineStr">
        <is>
          <t>LULEÅ</t>
        </is>
      </c>
      <c r="G622" t="n">
        <v>1</v>
      </c>
      <c r="H622" t="n">
        <v>0</v>
      </c>
      <c r="I622" t="n">
        <v>0</v>
      </c>
      <c r="J622" t="n">
        <v>0</v>
      </c>
      <c r="K622" t="n">
        <v>0</v>
      </c>
      <c r="L622" t="n">
        <v>0</v>
      </c>
      <c r="M622" t="n">
        <v>0</v>
      </c>
      <c r="N622" t="n">
        <v>0</v>
      </c>
      <c r="O622" t="n">
        <v>0</v>
      </c>
      <c r="P622" t="n">
        <v>0</v>
      </c>
      <c r="Q622" t="n">
        <v>0</v>
      </c>
      <c r="R622" s="2" t="inlineStr"/>
    </row>
    <row r="623" ht="15" customHeight="1">
      <c r="A623" t="inlineStr">
        <is>
          <t>A 13063-2024</t>
        </is>
      </c>
      <c r="B623" s="1" t="n">
        <v>45385</v>
      </c>
      <c r="C623" s="1" t="n">
        <v>46033</v>
      </c>
      <c r="D623" t="inlineStr">
        <is>
          <t>NORRBOTTENS LÄN</t>
        </is>
      </c>
      <c r="E623" t="inlineStr">
        <is>
          <t>LULEÅ</t>
        </is>
      </c>
      <c r="G623" t="n">
        <v>2.5</v>
      </c>
      <c r="H623" t="n">
        <v>0</v>
      </c>
      <c r="I623" t="n">
        <v>0</v>
      </c>
      <c r="J623" t="n">
        <v>0</v>
      </c>
      <c r="K623" t="n">
        <v>0</v>
      </c>
      <c r="L623" t="n">
        <v>0</v>
      </c>
      <c r="M623" t="n">
        <v>0</v>
      </c>
      <c r="N623" t="n">
        <v>0</v>
      </c>
      <c r="O623" t="n">
        <v>0</v>
      </c>
      <c r="P623" t="n">
        <v>0</v>
      </c>
      <c r="Q623" t="n">
        <v>0</v>
      </c>
      <c r="R623" s="2" t="inlineStr"/>
    </row>
    <row r="624" ht="15" customHeight="1">
      <c r="A624" t="inlineStr">
        <is>
          <t>A 13065-2024</t>
        </is>
      </c>
      <c r="B624" s="1" t="n">
        <v>45385</v>
      </c>
      <c r="C624" s="1" t="n">
        <v>46033</v>
      </c>
      <c r="D624" t="inlineStr">
        <is>
          <t>NORRBOTTENS LÄN</t>
        </is>
      </c>
      <c r="E624" t="inlineStr">
        <is>
          <t>LULEÅ</t>
        </is>
      </c>
      <c r="G624" t="n">
        <v>2.2</v>
      </c>
      <c r="H624" t="n">
        <v>0</v>
      </c>
      <c r="I624" t="n">
        <v>0</v>
      </c>
      <c r="J624" t="n">
        <v>0</v>
      </c>
      <c r="K624" t="n">
        <v>0</v>
      </c>
      <c r="L624" t="n">
        <v>0</v>
      </c>
      <c r="M624" t="n">
        <v>0</v>
      </c>
      <c r="N624" t="n">
        <v>0</v>
      </c>
      <c r="O624" t="n">
        <v>0</v>
      </c>
      <c r="P624" t="n">
        <v>0</v>
      </c>
      <c r="Q624" t="n">
        <v>0</v>
      </c>
      <c r="R624" s="2" t="inlineStr"/>
    </row>
    <row r="625" ht="15" customHeight="1">
      <c r="A625" t="inlineStr">
        <is>
          <t>A 17898-2025</t>
        </is>
      </c>
      <c r="B625" s="1" t="n">
        <v>45758</v>
      </c>
      <c r="C625" s="1" t="n">
        <v>46033</v>
      </c>
      <c r="D625" t="inlineStr">
        <is>
          <t>NORRBOTTENS LÄN</t>
        </is>
      </c>
      <c r="E625" t="inlineStr">
        <is>
          <t>LULEÅ</t>
        </is>
      </c>
      <c r="G625" t="n">
        <v>2.1</v>
      </c>
      <c r="H625" t="n">
        <v>0</v>
      </c>
      <c r="I625" t="n">
        <v>0</v>
      </c>
      <c r="J625" t="n">
        <v>0</v>
      </c>
      <c r="K625" t="n">
        <v>0</v>
      </c>
      <c r="L625" t="n">
        <v>0</v>
      </c>
      <c r="M625" t="n">
        <v>0</v>
      </c>
      <c r="N625" t="n">
        <v>0</v>
      </c>
      <c r="O625" t="n">
        <v>0</v>
      </c>
      <c r="P625" t="n">
        <v>0</v>
      </c>
      <c r="Q625" t="n">
        <v>0</v>
      </c>
      <c r="R625" s="2" t="inlineStr"/>
    </row>
    <row r="626" ht="15" customHeight="1">
      <c r="A626" t="inlineStr">
        <is>
          <t>A 17900-2025</t>
        </is>
      </c>
      <c r="B626" s="1" t="n">
        <v>45758.69837962963</v>
      </c>
      <c r="C626" s="1" t="n">
        <v>46033</v>
      </c>
      <c r="D626" t="inlineStr">
        <is>
          <t>NORRBOTTENS LÄN</t>
        </is>
      </c>
      <c r="E626" t="inlineStr">
        <is>
          <t>LULEÅ</t>
        </is>
      </c>
      <c r="G626" t="n">
        <v>1.1</v>
      </c>
      <c r="H626" t="n">
        <v>0</v>
      </c>
      <c r="I626" t="n">
        <v>0</v>
      </c>
      <c r="J626" t="n">
        <v>0</v>
      </c>
      <c r="K626" t="n">
        <v>0</v>
      </c>
      <c r="L626" t="n">
        <v>0</v>
      </c>
      <c r="M626" t="n">
        <v>0</v>
      </c>
      <c r="N626" t="n">
        <v>0</v>
      </c>
      <c r="O626" t="n">
        <v>0</v>
      </c>
      <c r="P626" t="n">
        <v>0</v>
      </c>
      <c r="Q626" t="n">
        <v>0</v>
      </c>
      <c r="R626" s="2" t="inlineStr"/>
    </row>
    <row r="627" ht="15" customHeight="1">
      <c r="A627" t="inlineStr">
        <is>
          <t>A 58759-2023</t>
        </is>
      </c>
      <c r="B627" s="1" t="n">
        <v>45251</v>
      </c>
      <c r="C627" s="1" t="n">
        <v>46033</v>
      </c>
      <c r="D627" t="inlineStr">
        <is>
          <t>NORRBOTTENS LÄN</t>
        </is>
      </c>
      <c r="E627" t="inlineStr">
        <is>
          <t>LULEÅ</t>
        </is>
      </c>
      <c r="G627" t="n">
        <v>2.6</v>
      </c>
      <c r="H627" t="n">
        <v>0</v>
      </c>
      <c r="I627" t="n">
        <v>0</v>
      </c>
      <c r="J627" t="n">
        <v>0</v>
      </c>
      <c r="K627" t="n">
        <v>0</v>
      </c>
      <c r="L627" t="n">
        <v>0</v>
      </c>
      <c r="M627" t="n">
        <v>0</v>
      </c>
      <c r="N627" t="n">
        <v>0</v>
      </c>
      <c r="O627" t="n">
        <v>0</v>
      </c>
      <c r="P627" t="n">
        <v>0</v>
      </c>
      <c r="Q627" t="n">
        <v>0</v>
      </c>
      <c r="R627" s="2" t="inlineStr"/>
    </row>
    <row r="628" ht="15" customHeight="1">
      <c r="A628" t="inlineStr">
        <is>
          <t>A 12116-2025</t>
        </is>
      </c>
      <c r="B628" s="1" t="n">
        <v>45729.36509259259</v>
      </c>
      <c r="C628" s="1" t="n">
        <v>46033</v>
      </c>
      <c r="D628" t="inlineStr">
        <is>
          <t>NORRBOTTENS LÄN</t>
        </is>
      </c>
      <c r="E628" t="inlineStr">
        <is>
          <t>LULEÅ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1312-2024</t>
        </is>
      </c>
      <c r="B629" s="1" t="n">
        <v>45303</v>
      </c>
      <c r="C629" s="1" t="n">
        <v>46033</v>
      </c>
      <c r="D629" t="inlineStr">
        <is>
          <t>NORRBOTTENS LÄN</t>
        </is>
      </c>
      <c r="E629" t="inlineStr">
        <is>
          <t>LULEÅ</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46158-2021</t>
        </is>
      </c>
      <c r="B630" s="1" t="n">
        <v>44442.43422453704</v>
      </c>
      <c r="C630" s="1" t="n">
        <v>46033</v>
      </c>
      <c r="D630" t="inlineStr">
        <is>
          <t>NORRBOTTENS LÄN</t>
        </is>
      </c>
      <c r="E630" t="inlineStr">
        <is>
          <t>LULEÅ</t>
        </is>
      </c>
      <c r="G630" t="n">
        <v>4.8</v>
      </c>
      <c r="H630" t="n">
        <v>0</v>
      </c>
      <c r="I630" t="n">
        <v>0</v>
      </c>
      <c r="J630" t="n">
        <v>0</v>
      </c>
      <c r="K630" t="n">
        <v>0</v>
      </c>
      <c r="L630" t="n">
        <v>0</v>
      </c>
      <c r="M630" t="n">
        <v>0</v>
      </c>
      <c r="N630" t="n">
        <v>0</v>
      </c>
      <c r="O630" t="n">
        <v>0</v>
      </c>
      <c r="P630" t="n">
        <v>0</v>
      </c>
      <c r="Q630" t="n">
        <v>0</v>
      </c>
      <c r="R630" s="2" t="inlineStr"/>
    </row>
    <row r="631" ht="15" customHeight="1">
      <c r="A631" t="inlineStr">
        <is>
          <t>A 57327-2024</t>
        </is>
      </c>
      <c r="B631" s="1" t="n">
        <v>45629.62572916667</v>
      </c>
      <c r="C631" s="1" t="n">
        <v>46033</v>
      </c>
      <c r="D631" t="inlineStr">
        <is>
          <t>NORRBOTTENS LÄN</t>
        </is>
      </c>
      <c r="E631" t="inlineStr">
        <is>
          <t>LULEÅ</t>
        </is>
      </c>
      <c r="F631" t="inlineStr">
        <is>
          <t>Övriga Aktiebolag</t>
        </is>
      </c>
      <c r="G631" t="n">
        <v>6.5</v>
      </c>
      <c r="H631" t="n">
        <v>0</v>
      </c>
      <c r="I631" t="n">
        <v>0</v>
      </c>
      <c r="J631" t="n">
        <v>0</v>
      </c>
      <c r="K631" t="n">
        <v>0</v>
      </c>
      <c r="L631" t="n">
        <v>0</v>
      </c>
      <c r="M631" t="n">
        <v>0</v>
      </c>
      <c r="N631" t="n">
        <v>0</v>
      </c>
      <c r="O631" t="n">
        <v>0</v>
      </c>
      <c r="P631" t="n">
        <v>0</v>
      </c>
      <c r="Q631" t="n">
        <v>0</v>
      </c>
      <c r="R631" s="2" t="inlineStr"/>
    </row>
    <row r="632" ht="15" customHeight="1">
      <c r="A632" t="inlineStr">
        <is>
          <t>A 115-2025</t>
        </is>
      </c>
      <c r="B632" s="1" t="n">
        <v>45659.51613425926</v>
      </c>
      <c r="C632" s="1" t="n">
        <v>46033</v>
      </c>
      <c r="D632" t="inlineStr">
        <is>
          <t>NORRBOTTENS LÄN</t>
        </is>
      </c>
      <c r="E632" t="inlineStr">
        <is>
          <t>LULEÅ</t>
        </is>
      </c>
      <c r="G632" t="n">
        <v>4.3</v>
      </c>
      <c r="H632" t="n">
        <v>0</v>
      </c>
      <c r="I632" t="n">
        <v>0</v>
      </c>
      <c r="J632" t="n">
        <v>0</v>
      </c>
      <c r="K632" t="n">
        <v>0</v>
      </c>
      <c r="L632" t="n">
        <v>0</v>
      </c>
      <c r="M632" t="n">
        <v>0</v>
      </c>
      <c r="N632" t="n">
        <v>0</v>
      </c>
      <c r="O632" t="n">
        <v>0</v>
      </c>
      <c r="P632" t="n">
        <v>0</v>
      </c>
      <c r="Q632" t="n">
        <v>0</v>
      </c>
      <c r="R632" s="2" t="inlineStr"/>
    </row>
    <row r="633" ht="15" customHeight="1">
      <c r="A633" t="inlineStr">
        <is>
          <t>A 38885-2023</t>
        </is>
      </c>
      <c r="B633" s="1" t="n">
        <v>45161</v>
      </c>
      <c r="C633" s="1" t="n">
        <v>46033</v>
      </c>
      <c r="D633" t="inlineStr">
        <is>
          <t>NORRBOTTENS LÄN</t>
        </is>
      </c>
      <c r="E633" t="inlineStr">
        <is>
          <t>LULEÅ</t>
        </is>
      </c>
      <c r="G633" t="n">
        <v>0.4</v>
      </c>
      <c r="H633" t="n">
        <v>0</v>
      </c>
      <c r="I633" t="n">
        <v>0</v>
      </c>
      <c r="J633" t="n">
        <v>0</v>
      </c>
      <c r="K633" t="n">
        <v>0</v>
      </c>
      <c r="L633" t="n">
        <v>0</v>
      </c>
      <c r="M633" t="n">
        <v>0</v>
      </c>
      <c r="N633" t="n">
        <v>0</v>
      </c>
      <c r="O633" t="n">
        <v>0</v>
      </c>
      <c r="P633" t="n">
        <v>0</v>
      </c>
      <c r="Q633" t="n">
        <v>0</v>
      </c>
      <c r="R633" s="2" t="inlineStr"/>
    </row>
    <row r="634" ht="15" customHeight="1">
      <c r="A634" t="inlineStr">
        <is>
          <t>A 19533-2025</t>
        </is>
      </c>
      <c r="B634" s="1" t="n">
        <v>45770.47331018518</v>
      </c>
      <c r="C634" s="1" t="n">
        <v>46033</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17290-2025</t>
        </is>
      </c>
      <c r="B635" s="1" t="n">
        <v>45756.58515046296</v>
      </c>
      <c r="C635" s="1" t="n">
        <v>46033</v>
      </c>
      <c r="D635" t="inlineStr">
        <is>
          <t>NORRBOTTENS LÄN</t>
        </is>
      </c>
      <c r="E635" t="inlineStr">
        <is>
          <t>LULEÅ</t>
        </is>
      </c>
      <c r="G635" t="n">
        <v>5.6</v>
      </c>
      <c r="H635" t="n">
        <v>0</v>
      </c>
      <c r="I635" t="n">
        <v>0</v>
      </c>
      <c r="J635" t="n">
        <v>0</v>
      </c>
      <c r="K635" t="n">
        <v>0</v>
      </c>
      <c r="L635" t="n">
        <v>0</v>
      </c>
      <c r="M635" t="n">
        <v>0</v>
      </c>
      <c r="N635" t="n">
        <v>0</v>
      </c>
      <c r="O635" t="n">
        <v>0</v>
      </c>
      <c r="P635" t="n">
        <v>0</v>
      </c>
      <c r="Q635" t="n">
        <v>0</v>
      </c>
      <c r="R635" s="2" t="inlineStr"/>
    </row>
    <row r="636" ht="15" customHeight="1">
      <c r="A636" t="inlineStr">
        <is>
          <t>A 28150-2024</t>
        </is>
      </c>
      <c r="B636" s="1" t="n">
        <v>45476.76228009259</v>
      </c>
      <c r="C636" s="1" t="n">
        <v>46033</v>
      </c>
      <c r="D636" t="inlineStr">
        <is>
          <t>NORRBOTTENS LÄN</t>
        </is>
      </c>
      <c r="E636" t="inlineStr">
        <is>
          <t>LULEÅ</t>
        </is>
      </c>
      <c r="G636" t="n">
        <v>4</v>
      </c>
      <c r="H636" t="n">
        <v>0</v>
      </c>
      <c r="I636" t="n">
        <v>0</v>
      </c>
      <c r="J636" t="n">
        <v>0</v>
      </c>
      <c r="K636" t="n">
        <v>0</v>
      </c>
      <c r="L636" t="n">
        <v>0</v>
      </c>
      <c r="M636" t="n">
        <v>0</v>
      </c>
      <c r="N636" t="n">
        <v>0</v>
      </c>
      <c r="O636" t="n">
        <v>0</v>
      </c>
      <c r="P636" t="n">
        <v>0</v>
      </c>
      <c r="Q636" t="n">
        <v>0</v>
      </c>
      <c r="R636" s="2" t="inlineStr"/>
    </row>
    <row r="637" ht="15" customHeight="1">
      <c r="A637" t="inlineStr">
        <is>
          <t>A 1513-2025</t>
        </is>
      </c>
      <c r="B637" s="1" t="n">
        <v>45670.45391203704</v>
      </c>
      <c r="C637" s="1" t="n">
        <v>46033</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52667-2024</t>
        </is>
      </c>
      <c r="B638" s="1" t="n">
        <v>45610</v>
      </c>
      <c r="C638" s="1" t="n">
        <v>46033</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54824-2022</t>
        </is>
      </c>
      <c r="B639" s="1" t="n">
        <v>44883.92393518519</v>
      </c>
      <c r="C639" s="1" t="n">
        <v>46033</v>
      </c>
      <c r="D639" t="inlineStr">
        <is>
          <t>NORRBOTTENS LÄN</t>
        </is>
      </c>
      <c r="E639" t="inlineStr">
        <is>
          <t>LULEÅ</t>
        </is>
      </c>
      <c r="G639" t="n">
        <v>1.5</v>
      </c>
      <c r="H639" t="n">
        <v>0</v>
      </c>
      <c r="I639" t="n">
        <v>0</v>
      </c>
      <c r="J639" t="n">
        <v>0</v>
      </c>
      <c r="K639" t="n">
        <v>0</v>
      </c>
      <c r="L639" t="n">
        <v>0</v>
      </c>
      <c r="M639" t="n">
        <v>0</v>
      </c>
      <c r="N639" t="n">
        <v>0</v>
      </c>
      <c r="O639" t="n">
        <v>0</v>
      </c>
      <c r="P639" t="n">
        <v>0</v>
      </c>
      <c r="Q639" t="n">
        <v>0</v>
      </c>
      <c r="R639" s="2" t="inlineStr"/>
    </row>
    <row r="640" ht="15" customHeight="1">
      <c r="A640" t="inlineStr">
        <is>
          <t>A 34992-2024</t>
        </is>
      </c>
      <c r="B640" s="1" t="n">
        <v>45527</v>
      </c>
      <c r="C640" s="1" t="n">
        <v>46033</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57264-2022</t>
        </is>
      </c>
      <c r="B641" s="1" t="n">
        <v>44895</v>
      </c>
      <c r="C641" s="1" t="n">
        <v>46033</v>
      </c>
      <c r="D641" t="inlineStr">
        <is>
          <t>NORRBOTTENS LÄN</t>
        </is>
      </c>
      <c r="E641" t="inlineStr">
        <is>
          <t>LULEÅ</t>
        </is>
      </c>
      <c r="G641" t="n">
        <v>8</v>
      </c>
      <c r="H641" t="n">
        <v>0</v>
      </c>
      <c r="I641" t="n">
        <v>0</v>
      </c>
      <c r="J641" t="n">
        <v>0</v>
      </c>
      <c r="K641" t="n">
        <v>0</v>
      </c>
      <c r="L641" t="n">
        <v>0</v>
      </c>
      <c r="M641" t="n">
        <v>0</v>
      </c>
      <c r="N641" t="n">
        <v>0</v>
      </c>
      <c r="O641" t="n">
        <v>0</v>
      </c>
      <c r="P641" t="n">
        <v>0</v>
      </c>
      <c r="Q641" t="n">
        <v>0</v>
      </c>
      <c r="R641" s="2" t="inlineStr"/>
    </row>
    <row r="642" ht="15" customHeight="1">
      <c r="A642" t="inlineStr">
        <is>
          <t>A 17427-2023</t>
        </is>
      </c>
      <c r="B642" s="1" t="n">
        <v>45035</v>
      </c>
      <c r="C642" s="1" t="n">
        <v>46033</v>
      </c>
      <c r="D642" t="inlineStr">
        <is>
          <t>NORRBOTTENS LÄN</t>
        </is>
      </c>
      <c r="E642" t="inlineStr">
        <is>
          <t>LULEÅ</t>
        </is>
      </c>
      <c r="G642" t="n">
        <v>1.3</v>
      </c>
      <c r="H642" t="n">
        <v>0</v>
      </c>
      <c r="I642" t="n">
        <v>0</v>
      </c>
      <c r="J642" t="n">
        <v>0</v>
      </c>
      <c r="K642" t="n">
        <v>0</v>
      </c>
      <c r="L642" t="n">
        <v>0</v>
      </c>
      <c r="M642" t="n">
        <v>0</v>
      </c>
      <c r="N642" t="n">
        <v>0</v>
      </c>
      <c r="O642" t="n">
        <v>0</v>
      </c>
      <c r="P642" t="n">
        <v>0</v>
      </c>
      <c r="Q642" t="n">
        <v>0</v>
      </c>
      <c r="R642" s="2" t="inlineStr"/>
    </row>
    <row r="643" ht="15" customHeight="1">
      <c r="A643" t="inlineStr">
        <is>
          <t>A 1685-2025</t>
        </is>
      </c>
      <c r="B643" s="1" t="n">
        <v>45670.69877314815</v>
      </c>
      <c r="C643" s="1" t="n">
        <v>46033</v>
      </c>
      <c r="D643" t="inlineStr">
        <is>
          <t>NORRBOTTENS LÄN</t>
        </is>
      </c>
      <c r="E643" t="inlineStr">
        <is>
          <t>LULEÅ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3184-2025</t>
        </is>
      </c>
      <c r="B644" s="1" t="n">
        <v>45679</v>
      </c>
      <c r="C644" s="1" t="n">
        <v>46033</v>
      </c>
      <c r="D644" t="inlineStr">
        <is>
          <t>NORRBOTTENS LÄN</t>
        </is>
      </c>
      <c r="E644" t="inlineStr">
        <is>
          <t>LULEÅ</t>
        </is>
      </c>
      <c r="G644" t="n">
        <v>7.4</v>
      </c>
      <c r="H644" t="n">
        <v>0</v>
      </c>
      <c r="I644" t="n">
        <v>0</v>
      </c>
      <c r="J644" t="n">
        <v>0</v>
      </c>
      <c r="K644" t="n">
        <v>0</v>
      </c>
      <c r="L644" t="n">
        <v>0</v>
      </c>
      <c r="M644" t="n">
        <v>0</v>
      </c>
      <c r="N644" t="n">
        <v>0</v>
      </c>
      <c r="O644" t="n">
        <v>0</v>
      </c>
      <c r="P644" t="n">
        <v>0</v>
      </c>
      <c r="Q644" t="n">
        <v>0</v>
      </c>
      <c r="R644" s="2" t="inlineStr"/>
    </row>
    <row r="645" ht="15" customHeight="1">
      <c r="A645" t="inlineStr">
        <is>
          <t>A 49720-2024</t>
        </is>
      </c>
      <c r="B645" s="1" t="n">
        <v>45596.72625</v>
      </c>
      <c r="C645" s="1" t="n">
        <v>46033</v>
      </c>
      <c r="D645" t="inlineStr">
        <is>
          <t>NORRBOTTENS LÄN</t>
        </is>
      </c>
      <c r="E645" t="inlineStr">
        <is>
          <t>LULEÅ</t>
        </is>
      </c>
      <c r="G645" t="n">
        <v>3.3</v>
      </c>
      <c r="H645" t="n">
        <v>0</v>
      </c>
      <c r="I645" t="n">
        <v>0</v>
      </c>
      <c r="J645" t="n">
        <v>0</v>
      </c>
      <c r="K645" t="n">
        <v>0</v>
      </c>
      <c r="L645" t="n">
        <v>0</v>
      </c>
      <c r="M645" t="n">
        <v>0</v>
      </c>
      <c r="N645" t="n">
        <v>0</v>
      </c>
      <c r="O645" t="n">
        <v>0</v>
      </c>
      <c r="P645" t="n">
        <v>0</v>
      </c>
      <c r="Q645" t="n">
        <v>0</v>
      </c>
      <c r="R645" s="2" t="inlineStr"/>
    </row>
    <row r="646" ht="15" customHeight="1">
      <c r="A646" t="inlineStr">
        <is>
          <t>A 5131-2025</t>
        </is>
      </c>
      <c r="B646" s="1" t="n">
        <v>45691.57331018519</v>
      </c>
      <c r="C646" s="1" t="n">
        <v>46033</v>
      </c>
      <c r="D646" t="inlineStr">
        <is>
          <t>NORRBOTTENS LÄN</t>
        </is>
      </c>
      <c r="E646" t="inlineStr">
        <is>
          <t>LULEÅ</t>
        </is>
      </c>
      <c r="G646" t="n">
        <v>1.8</v>
      </c>
      <c r="H646" t="n">
        <v>0</v>
      </c>
      <c r="I646" t="n">
        <v>0</v>
      </c>
      <c r="J646" t="n">
        <v>0</v>
      </c>
      <c r="K646" t="n">
        <v>0</v>
      </c>
      <c r="L646" t="n">
        <v>0</v>
      </c>
      <c r="M646" t="n">
        <v>0</v>
      </c>
      <c r="N646" t="n">
        <v>0</v>
      </c>
      <c r="O646" t="n">
        <v>0</v>
      </c>
      <c r="P646" t="n">
        <v>0</v>
      </c>
      <c r="Q646" t="n">
        <v>0</v>
      </c>
      <c r="R646" s="2" t="inlineStr"/>
    </row>
    <row r="647" ht="15" customHeight="1">
      <c r="A647" t="inlineStr">
        <is>
          <t>A 12865-2023</t>
        </is>
      </c>
      <c r="B647" s="1" t="n">
        <v>45001</v>
      </c>
      <c r="C647" s="1" t="n">
        <v>46033</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44531-2023</t>
        </is>
      </c>
      <c r="B648" s="1" t="n">
        <v>45183</v>
      </c>
      <c r="C648" s="1" t="n">
        <v>46033</v>
      </c>
      <c r="D648" t="inlineStr">
        <is>
          <t>NORRBOTTENS LÄN</t>
        </is>
      </c>
      <c r="E648" t="inlineStr">
        <is>
          <t>LULEÅ</t>
        </is>
      </c>
      <c r="G648" t="n">
        <v>2</v>
      </c>
      <c r="H648" t="n">
        <v>0</v>
      </c>
      <c r="I648" t="n">
        <v>0</v>
      </c>
      <c r="J648" t="n">
        <v>0</v>
      </c>
      <c r="K648" t="n">
        <v>0</v>
      </c>
      <c r="L648" t="n">
        <v>0</v>
      </c>
      <c r="M648" t="n">
        <v>0</v>
      </c>
      <c r="N648" t="n">
        <v>0</v>
      </c>
      <c r="O648" t="n">
        <v>0</v>
      </c>
      <c r="P648" t="n">
        <v>0</v>
      </c>
      <c r="Q648" t="n">
        <v>0</v>
      </c>
      <c r="R648" s="2" t="inlineStr"/>
    </row>
    <row r="649" ht="15" customHeight="1">
      <c r="A649" t="inlineStr">
        <is>
          <t>A 47931-2024</t>
        </is>
      </c>
      <c r="B649" s="1" t="n">
        <v>45589</v>
      </c>
      <c r="C649" s="1" t="n">
        <v>46033</v>
      </c>
      <c r="D649" t="inlineStr">
        <is>
          <t>NORRBOTTENS LÄN</t>
        </is>
      </c>
      <c r="E649" t="inlineStr">
        <is>
          <t>LULEÅ</t>
        </is>
      </c>
      <c r="F649" t="inlineStr">
        <is>
          <t>Naturvårdsverket</t>
        </is>
      </c>
      <c r="G649" t="n">
        <v>1.2</v>
      </c>
      <c r="H649" t="n">
        <v>0</v>
      </c>
      <c r="I649" t="n">
        <v>0</v>
      </c>
      <c r="J649" t="n">
        <v>0</v>
      </c>
      <c r="K649" t="n">
        <v>0</v>
      </c>
      <c r="L649" t="n">
        <v>0</v>
      </c>
      <c r="M649" t="n">
        <v>0</v>
      </c>
      <c r="N649" t="n">
        <v>0</v>
      </c>
      <c r="O649" t="n">
        <v>0</v>
      </c>
      <c r="P649" t="n">
        <v>0</v>
      </c>
      <c r="Q649" t="n">
        <v>0</v>
      </c>
      <c r="R649" s="2" t="inlineStr"/>
    </row>
    <row r="650" ht="15" customHeight="1">
      <c r="A650" t="inlineStr">
        <is>
          <t>A 57764-2022</t>
        </is>
      </c>
      <c r="B650" s="1" t="n">
        <v>44890</v>
      </c>
      <c r="C650" s="1" t="n">
        <v>46033</v>
      </c>
      <c r="D650" t="inlineStr">
        <is>
          <t>NORRBOTTENS LÄN</t>
        </is>
      </c>
      <c r="E650" t="inlineStr">
        <is>
          <t>LULEÅ</t>
        </is>
      </c>
      <c r="G650" t="n">
        <v>4.3</v>
      </c>
      <c r="H650" t="n">
        <v>0</v>
      </c>
      <c r="I650" t="n">
        <v>0</v>
      </c>
      <c r="J650" t="n">
        <v>0</v>
      </c>
      <c r="K650" t="n">
        <v>0</v>
      </c>
      <c r="L650" t="n">
        <v>0</v>
      </c>
      <c r="M650" t="n">
        <v>0</v>
      </c>
      <c r="N650" t="n">
        <v>0</v>
      </c>
      <c r="O650" t="n">
        <v>0</v>
      </c>
      <c r="P650" t="n">
        <v>0</v>
      </c>
      <c r="Q650" t="n">
        <v>0</v>
      </c>
      <c r="R650" s="2" t="inlineStr"/>
    </row>
    <row r="651" ht="15" customHeight="1">
      <c r="A651" t="inlineStr">
        <is>
          <t>A 17176-2024</t>
        </is>
      </c>
      <c r="B651" s="1" t="n">
        <v>45412</v>
      </c>
      <c r="C651" s="1" t="n">
        <v>46033</v>
      </c>
      <c r="D651" t="inlineStr">
        <is>
          <t>NORRBOTTENS LÄN</t>
        </is>
      </c>
      <c r="E651" t="inlineStr">
        <is>
          <t>LULEÅ</t>
        </is>
      </c>
      <c r="F651" t="inlineStr">
        <is>
          <t>SCA</t>
        </is>
      </c>
      <c r="G651" t="n">
        <v>8.5</v>
      </c>
      <c r="H651" t="n">
        <v>0</v>
      </c>
      <c r="I651" t="n">
        <v>0</v>
      </c>
      <c r="J651" t="n">
        <v>0</v>
      </c>
      <c r="K651" t="n">
        <v>0</v>
      </c>
      <c r="L651" t="n">
        <v>0</v>
      </c>
      <c r="M651" t="n">
        <v>0</v>
      </c>
      <c r="N651" t="n">
        <v>0</v>
      </c>
      <c r="O651" t="n">
        <v>0</v>
      </c>
      <c r="P651" t="n">
        <v>0</v>
      </c>
      <c r="Q651" t="n">
        <v>0</v>
      </c>
      <c r="R651" s="2" t="inlineStr"/>
    </row>
    <row r="652" ht="15" customHeight="1">
      <c r="A652" t="inlineStr">
        <is>
          <t>A 40974-2024</t>
        </is>
      </c>
      <c r="B652" s="1" t="n">
        <v>45558.6815162037</v>
      </c>
      <c r="C652" s="1" t="n">
        <v>46033</v>
      </c>
      <c r="D652" t="inlineStr">
        <is>
          <t>NORRBOTTENS LÄN</t>
        </is>
      </c>
      <c r="E652" t="inlineStr">
        <is>
          <t>LULEÅ</t>
        </is>
      </c>
      <c r="F652" t="inlineStr">
        <is>
          <t>Övriga Aktiebolag</t>
        </is>
      </c>
      <c r="G652" t="n">
        <v>1.1</v>
      </c>
      <c r="H652" t="n">
        <v>0</v>
      </c>
      <c r="I652" t="n">
        <v>0</v>
      </c>
      <c r="J652" t="n">
        <v>0</v>
      </c>
      <c r="K652" t="n">
        <v>0</v>
      </c>
      <c r="L652" t="n">
        <v>0</v>
      </c>
      <c r="M652" t="n">
        <v>0</v>
      </c>
      <c r="N652" t="n">
        <v>0</v>
      </c>
      <c r="O652" t="n">
        <v>0</v>
      </c>
      <c r="P652" t="n">
        <v>0</v>
      </c>
      <c r="Q652" t="n">
        <v>0</v>
      </c>
      <c r="R652" s="2" t="inlineStr"/>
    </row>
    <row r="653" ht="15" customHeight="1">
      <c r="A653" t="inlineStr">
        <is>
          <t>A 72756-2021</t>
        </is>
      </c>
      <c r="B653" s="1" t="n">
        <v>44546.92277777778</v>
      </c>
      <c r="C653" s="1" t="n">
        <v>46033</v>
      </c>
      <c r="D653" t="inlineStr">
        <is>
          <t>NORRBOTTENS LÄN</t>
        </is>
      </c>
      <c r="E653" t="inlineStr">
        <is>
          <t>LULEÅ</t>
        </is>
      </c>
      <c r="G653" t="n">
        <v>1.9</v>
      </c>
      <c r="H653" t="n">
        <v>0</v>
      </c>
      <c r="I653" t="n">
        <v>0</v>
      </c>
      <c r="J653" t="n">
        <v>0</v>
      </c>
      <c r="K653" t="n">
        <v>0</v>
      </c>
      <c r="L653" t="n">
        <v>0</v>
      </c>
      <c r="M653" t="n">
        <v>0</v>
      </c>
      <c r="N653" t="n">
        <v>0</v>
      </c>
      <c r="O653" t="n">
        <v>0</v>
      </c>
      <c r="P653" t="n">
        <v>0</v>
      </c>
      <c r="Q653" t="n">
        <v>0</v>
      </c>
      <c r="R653" s="2" t="inlineStr"/>
    </row>
    <row r="654" ht="15" customHeight="1">
      <c r="A654" t="inlineStr">
        <is>
          <t>A 22364-2021</t>
        </is>
      </c>
      <c r="B654" s="1" t="n">
        <v>44322</v>
      </c>
      <c r="C654" s="1" t="n">
        <v>46033</v>
      </c>
      <c r="D654" t="inlineStr">
        <is>
          <t>NORRBOTTENS LÄN</t>
        </is>
      </c>
      <c r="E654" t="inlineStr">
        <is>
          <t>LULEÅ</t>
        </is>
      </c>
      <c r="G654" t="n">
        <v>1.8</v>
      </c>
      <c r="H654" t="n">
        <v>0</v>
      </c>
      <c r="I654" t="n">
        <v>0</v>
      </c>
      <c r="J654" t="n">
        <v>0</v>
      </c>
      <c r="K654" t="n">
        <v>0</v>
      </c>
      <c r="L654" t="n">
        <v>0</v>
      </c>
      <c r="M654" t="n">
        <v>0</v>
      </c>
      <c r="N654" t="n">
        <v>0</v>
      </c>
      <c r="O654" t="n">
        <v>0</v>
      </c>
      <c r="P654" t="n">
        <v>0</v>
      </c>
      <c r="Q654" t="n">
        <v>0</v>
      </c>
      <c r="R654" s="2" t="inlineStr"/>
    </row>
    <row r="655" ht="15" customHeight="1">
      <c r="A655" t="inlineStr">
        <is>
          <t>A 7689-2025</t>
        </is>
      </c>
      <c r="B655" s="1" t="n">
        <v>45706</v>
      </c>
      <c r="C655" s="1" t="n">
        <v>46033</v>
      </c>
      <c r="D655" t="inlineStr">
        <is>
          <t>NORRBOTTENS LÄN</t>
        </is>
      </c>
      <c r="E655" t="inlineStr">
        <is>
          <t>LULEÅ</t>
        </is>
      </c>
      <c r="G655" t="n">
        <v>2</v>
      </c>
      <c r="H655" t="n">
        <v>0</v>
      </c>
      <c r="I655" t="n">
        <v>0</v>
      </c>
      <c r="J655" t="n">
        <v>0</v>
      </c>
      <c r="K655" t="n">
        <v>0</v>
      </c>
      <c r="L655" t="n">
        <v>0</v>
      </c>
      <c r="M655" t="n">
        <v>0</v>
      </c>
      <c r="N655" t="n">
        <v>0</v>
      </c>
      <c r="O655" t="n">
        <v>0</v>
      </c>
      <c r="P655" t="n">
        <v>0</v>
      </c>
      <c r="Q655" t="n">
        <v>0</v>
      </c>
      <c r="R655" s="2" t="inlineStr"/>
    </row>
    <row r="656" ht="15" customHeight="1">
      <c r="A656" t="inlineStr">
        <is>
          <t>A 29555-2024</t>
        </is>
      </c>
      <c r="B656" s="1" t="n">
        <v>45484</v>
      </c>
      <c r="C656" s="1" t="n">
        <v>46033</v>
      </c>
      <c r="D656" t="inlineStr">
        <is>
          <t>NORRBOTTENS LÄN</t>
        </is>
      </c>
      <c r="E656" t="inlineStr">
        <is>
          <t>LULEÅ</t>
        </is>
      </c>
      <c r="G656" t="n">
        <v>1.1</v>
      </c>
      <c r="H656" t="n">
        <v>0</v>
      </c>
      <c r="I656" t="n">
        <v>0</v>
      </c>
      <c r="J656" t="n">
        <v>0</v>
      </c>
      <c r="K656" t="n">
        <v>0</v>
      </c>
      <c r="L656" t="n">
        <v>0</v>
      </c>
      <c r="M656" t="n">
        <v>0</v>
      </c>
      <c r="N656" t="n">
        <v>0</v>
      </c>
      <c r="O656" t="n">
        <v>0</v>
      </c>
      <c r="P656" t="n">
        <v>0</v>
      </c>
      <c r="Q656" t="n">
        <v>0</v>
      </c>
      <c r="R656" s="2" t="inlineStr"/>
    </row>
    <row r="657" ht="15" customHeight="1">
      <c r="A657" t="inlineStr">
        <is>
          <t>A 60721-2024</t>
        </is>
      </c>
      <c r="B657" s="1" t="n">
        <v>45644</v>
      </c>
      <c r="C657" s="1" t="n">
        <v>46033</v>
      </c>
      <c r="D657" t="inlineStr">
        <is>
          <t>NORRBOTTENS LÄN</t>
        </is>
      </c>
      <c r="E657" t="inlineStr">
        <is>
          <t>LULEÅ</t>
        </is>
      </c>
      <c r="G657" t="n">
        <v>0.3</v>
      </c>
      <c r="H657" t="n">
        <v>0</v>
      </c>
      <c r="I657" t="n">
        <v>0</v>
      </c>
      <c r="J657" t="n">
        <v>0</v>
      </c>
      <c r="K657" t="n">
        <v>0</v>
      </c>
      <c r="L657" t="n">
        <v>0</v>
      </c>
      <c r="M657" t="n">
        <v>0</v>
      </c>
      <c r="N657" t="n">
        <v>0</v>
      </c>
      <c r="O657" t="n">
        <v>0</v>
      </c>
      <c r="P657" t="n">
        <v>0</v>
      </c>
      <c r="Q657" t="n">
        <v>0</v>
      </c>
      <c r="R657" s="2" t="inlineStr"/>
    </row>
    <row r="658" ht="15" customHeight="1">
      <c r="A658" t="inlineStr">
        <is>
          <t>A 20690-2024</t>
        </is>
      </c>
      <c r="B658" s="1" t="n">
        <v>45436</v>
      </c>
      <c r="C658" s="1" t="n">
        <v>46033</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4237-2025</t>
        </is>
      </c>
      <c r="B659" s="1" t="n">
        <v>45685</v>
      </c>
      <c r="C659" s="1" t="n">
        <v>46033</v>
      </c>
      <c r="D659" t="inlineStr">
        <is>
          <t>NORRBOTTENS LÄN</t>
        </is>
      </c>
      <c r="E659" t="inlineStr">
        <is>
          <t>LULEÅ</t>
        </is>
      </c>
      <c r="G659" t="n">
        <v>4.9</v>
      </c>
      <c r="H659" t="n">
        <v>0</v>
      </c>
      <c r="I659" t="n">
        <v>0</v>
      </c>
      <c r="J659" t="n">
        <v>0</v>
      </c>
      <c r="K659" t="n">
        <v>0</v>
      </c>
      <c r="L659" t="n">
        <v>0</v>
      </c>
      <c r="M659" t="n">
        <v>0</v>
      </c>
      <c r="N659" t="n">
        <v>0</v>
      </c>
      <c r="O659" t="n">
        <v>0</v>
      </c>
      <c r="P659" t="n">
        <v>0</v>
      </c>
      <c r="Q659" t="n">
        <v>0</v>
      </c>
      <c r="R659" s="2" t="inlineStr"/>
    </row>
    <row r="660" ht="15" customHeight="1">
      <c r="A660" t="inlineStr">
        <is>
          <t>A 59115-2021</t>
        </is>
      </c>
      <c r="B660" s="1" t="n">
        <v>44490.43877314815</v>
      </c>
      <c r="C660" s="1" t="n">
        <v>46033</v>
      </c>
      <c r="D660" t="inlineStr">
        <is>
          <t>NORRBOTTENS LÄN</t>
        </is>
      </c>
      <c r="E660" t="inlineStr">
        <is>
          <t>LULEÅ</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26925-2024</t>
        </is>
      </c>
      <c r="B661" s="1" t="n">
        <v>45470.93118055556</v>
      </c>
      <c r="C661" s="1" t="n">
        <v>46033</v>
      </c>
      <c r="D661" t="inlineStr">
        <is>
          <t>NORRBOTTENS LÄN</t>
        </is>
      </c>
      <c r="E661" t="inlineStr">
        <is>
          <t>LULEÅ</t>
        </is>
      </c>
      <c r="G661" t="n">
        <v>1.6</v>
      </c>
      <c r="H661" t="n">
        <v>0</v>
      </c>
      <c r="I661" t="n">
        <v>0</v>
      </c>
      <c r="J661" t="n">
        <v>0</v>
      </c>
      <c r="K661" t="n">
        <v>0</v>
      </c>
      <c r="L661" t="n">
        <v>0</v>
      </c>
      <c r="M661" t="n">
        <v>0</v>
      </c>
      <c r="N661" t="n">
        <v>0</v>
      </c>
      <c r="O661" t="n">
        <v>0</v>
      </c>
      <c r="P661" t="n">
        <v>0</v>
      </c>
      <c r="Q661" t="n">
        <v>0</v>
      </c>
      <c r="R661" s="2" t="inlineStr"/>
    </row>
    <row r="662" ht="15" customHeight="1">
      <c r="A662" t="inlineStr">
        <is>
          <t>A 37765-2021</t>
        </is>
      </c>
      <c r="B662" s="1" t="n">
        <v>44400</v>
      </c>
      <c r="C662" s="1" t="n">
        <v>46033</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5038-2025</t>
        </is>
      </c>
      <c r="B663" s="1" t="n">
        <v>45691.42896990741</v>
      </c>
      <c r="C663" s="1" t="n">
        <v>46033</v>
      </c>
      <c r="D663" t="inlineStr">
        <is>
          <t>NORRBOTTENS LÄN</t>
        </is>
      </c>
      <c r="E663" t="inlineStr">
        <is>
          <t>LULEÅ</t>
        </is>
      </c>
      <c r="G663" t="n">
        <v>0.8</v>
      </c>
      <c r="H663" t="n">
        <v>0</v>
      </c>
      <c r="I663" t="n">
        <v>0</v>
      </c>
      <c r="J663" t="n">
        <v>0</v>
      </c>
      <c r="K663" t="n">
        <v>0</v>
      </c>
      <c r="L663" t="n">
        <v>0</v>
      </c>
      <c r="M663" t="n">
        <v>0</v>
      </c>
      <c r="N663" t="n">
        <v>0</v>
      </c>
      <c r="O663" t="n">
        <v>0</v>
      </c>
      <c r="P663" t="n">
        <v>0</v>
      </c>
      <c r="Q663" t="n">
        <v>0</v>
      </c>
      <c r="R663" s="2" t="inlineStr"/>
    </row>
    <row r="664" ht="15" customHeight="1">
      <c r="A664" t="inlineStr">
        <is>
          <t>A 5051-2025</t>
        </is>
      </c>
      <c r="B664" s="1" t="n">
        <v>45691.45101851852</v>
      </c>
      <c r="C664" s="1" t="n">
        <v>46033</v>
      </c>
      <c r="D664" t="inlineStr">
        <is>
          <t>NORRBOTTENS LÄN</t>
        </is>
      </c>
      <c r="E664" t="inlineStr">
        <is>
          <t>LULEÅ</t>
        </is>
      </c>
      <c r="G664" t="n">
        <v>0.9</v>
      </c>
      <c r="H664" t="n">
        <v>0</v>
      </c>
      <c r="I664" t="n">
        <v>0</v>
      </c>
      <c r="J664" t="n">
        <v>0</v>
      </c>
      <c r="K664" t="n">
        <v>0</v>
      </c>
      <c r="L664" t="n">
        <v>0</v>
      </c>
      <c r="M664" t="n">
        <v>0</v>
      </c>
      <c r="N664" t="n">
        <v>0</v>
      </c>
      <c r="O664" t="n">
        <v>0</v>
      </c>
      <c r="P664" t="n">
        <v>0</v>
      </c>
      <c r="Q664" t="n">
        <v>0</v>
      </c>
      <c r="R664" s="2" t="inlineStr"/>
    </row>
    <row r="665" ht="15" customHeight="1">
      <c r="A665" t="inlineStr">
        <is>
          <t>A 47246-2022</t>
        </is>
      </c>
      <c r="B665" s="1" t="n">
        <v>44852</v>
      </c>
      <c r="C665" s="1" t="n">
        <v>46033</v>
      </c>
      <c r="D665" t="inlineStr">
        <is>
          <t>NORRBOTTENS LÄN</t>
        </is>
      </c>
      <c r="E665" t="inlineStr">
        <is>
          <t>LULEÅ</t>
        </is>
      </c>
      <c r="G665" t="n">
        <v>2.9</v>
      </c>
      <c r="H665" t="n">
        <v>0</v>
      </c>
      <c r="I665" t="n">
        <v>0</v>
      </c>
      <c r="J665" t="n">
        <v>0</v>
      </c>
      <c r="K665" t="n">
        <v>0</v>
      </c>
      <c r="L665" t="n">
        <v>0</v>
      </c>
      <c r="M665" t="n">
        <v>0</v>
      </c>
      <c r="N665" t="n">
        <v>0</v>
      </c>
      <c r="O665" t="n">
        <v>0</v>
      </c>
      <c r="P665" t="n">
        <v>0</v>
      </c>
      <c r="Q665" t="n">
        <v>0</v>
      </c>
      <c r="R665" s="2" t="inlineStr"/>
    </row>
    <row r="666" ht="15" customHeight="1">
      <c r="A666" t="inlineStr">
        <is>
          <t>A 30785-2024</t>
        </is>
      </c>
      <c r="B666" s="1" t="n">
        <v>45496</v>
      </c>
      <c r="C666" s="1" t="n">
        <v>46033</v>
      </c>
      <c r="D666" t="inlineStr">
        <is>
          <t>NORRBOTTENS LÄN</t>
        </is>
      </c>
      <c r="E666" t="inlineStr">
        <is>
          <t>LULEÅ</t>
        </is>
      </c>
      <c r="F666" t="inlineStr">
        <is>
          <t>Naturvårdsverket</t>
        </is>
      </c>
      <c r="G666" t="n">
        <v>11.7</v>
      </c>
      <c r="H666" t="n">
        <v>0</v>
      </c>
      <c r="I666" t="n">
        <v>0</v>
      </c>
      <c r="J666" t="n">
        <v>0</v>
      </c>
      <c r="K666" t="n">
        <v>0</v>
      </c>
      <c r="L666" t="n">
        <v>0</v>
      </c>
      <c r="M666" t="n">
        <v>0</v>
      </c>
      <c r="N666" t="n">
        <v>0</v>
      </c>
      <c r="O666" t="n">
        <v>0</v>
      </c>
      <c r="P666" t="n">
        <v>0</v>
      </c>
      <c r="Q666" t="n">
        <v>0</v>
      </c>
      <c r="R666" s="2" t="inlineStr"/>
    </row>
    <row r="667" ht="15" customHeight="1">
      <c r="A667" t="inlineStr">
        <is>
          <t>A 8022-2024</t>
        </is>
      </c>
      <c r="B667" s="1" t="n">
        <v>45350</v>
      </c>
      <c r="C667" s="1" t="n">
        <v>46033</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12539-2024</t>
        </is>
      </c>
      <c r="B668" s="1" t="n">
        <v>45379</v>
      </c>
      <c r="C668" s="1" t="n">
        <v>46033</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30727-2023</t>
        </is>
      </c>
      <c r="B669" s="1" t="n">
        <v>45112</v>
      </c>
      <c r="C669" s="1" t="n">
        <v>46033</v>
      </c>
      <c r="D669" t="inlineStr">
        <is>
          <t>NORRBOTTENS LÄN</t>
        </is>
      </c>
      <c r="E669" t="inlineStr">
        <is>
          <t>LULEÅ</t>
        </is>
      </c>
      <c r="G669" t="n">
        <v>1.8</v>
      </c>
      <c r="H669" t="n">
        <v>0</v>
      </c>
      <c r="I669" t="n">
        <v>0</v>
      </c>
      <c r="J669" t="n">
        <v>0</v>
      </c>
      <c r="K669" t="n">
        <v>0</v>
      </c>
      <c r="L669" t="n">
        <v>0</v>
      </c>
      <c r="M669" t="n">
        <v>0</v>
      </c>
      <c r="N669" t="n">
        <v>0</v>
      </c>
      <c r="O669" t="n">
        <v>0</v>
      </c>
      <c r="P669" t="n">
        <v>0</v>
      </c>
      <c r="Q669" t="n">
        <v>0</v>
      </c>
      <c r="R669" s="2" t="inlineStr"/>
    </row>
    <row r="670" ht="15" customHeight="1">
      <c r="A670" t="inlineStr">
        <is>
          <t>A 59400-2024</t>
        </is>
      </c>
      <c r="B670" s="1" t="n">
        <v>45638</v>
      </c>
      <c r="C670" s="1" t="n">
        <v>46033</v>
      </c>
      <c r="D670" t="inlineStr">
        <is>
          <t>NORRBOTTENS LÄN</t>
        </is>
      </c>
      <c r="E670" t="inlineStr">
        <is>
          <t>LULEÅ</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35249-2021</t>
        </is>
      </c>
      <c r="B671" s="1" t="n">
        <v>44384</v>
      </c>
      <c r="C671" s="1" t="n">
        <v>46033</v>
      </c>
      <c r="D671" t="inlineStr">
        <is>
          <t>NORRBOTTENS LÄN</t>
        </is>
      </c>
      <c r="E671" t="inlineStr">
        <is>
          <t>LULEÅ</t>
        </is>
      </c>
      <c r="G671" t="n">
        <v>2.4</v>
      </c>
      <c r="H671" t="n">
        <v>0</v>
      </c>
      <c r="I671" t="n">
        <v>0</v>
      </c>
      <c r="J671" t="n">
        <v>0</v>
      </c>
      <c r="K671" t="n">
        <v>0</v>
      </c>
      <c r="L671" t="n">
        <v>0</v>
      </c>
      <c r="M671" t="n">
        <v>0</v>
      </c>
      <c r="N671" t="n">
        <v>0</v>
      </c>
      <c r="O671" t="n">
        <v>0</v>
      </c>
      <c r="P671" t="n">
        <v>0</v>
      </c>
      <c r="Q671" t="n">
        <v>0</v>
      </c>
      <c r="R671" s="2" t="inlineStr"/>
    </row>
    <row r="672" ht="15" customHeight="1">
      <c r="A672" t="inlineStr">
        <is>
          <t>A 35962-2021</t>
        </is>
      </c>
      <c r="B672" s="1" t="n">
        <v>44385</v>
      </c>
      <c r="C672" s="1" t="n">
        <v>46033</v>
      </c>
      <c r="D672" t="inlineStr">
        <is>
          <t>NORRBOTTENS LÄN</t>
        </is>
      </c>
      <c r="E672" t="inlineStr">
        <is>
          <t>LULEÅ</t>
        </is>
      </c>
      <c r="G672" t="n">
        <v>0.9</v>
      </c>
      <c r="H672" t="n">
        <v>0</v>
      </c>
      <c r="I672" t="n">
        <v>0</v>
      </c>
      <c r="J672" t="n">
        <v>0</v>
      </c>
      <c r="K672" t="n">
        <v>0</v>
      </c>
      <c r="L672" t="n">
        <v>0</v>
      </c>
      <c r="M672" t="n">
        <v>0</v>
      </c>
      <c r="N672" t="n">
        <v>0</v>
      </c>
      <c r="O672" t="n">
        <v>0</v>
      </c>
      <c r="P672" t="n">
        <v>0</v>
      </c>
      <c r="Q672" t="n">
        <v>0</v>
      </c>
      <c r="R672" s="2" t="inlineStr"/>
    </row>
    <row r="673" ht="15" customHeight="1">
      <c r="A673" t="inlineStr">
        <is>
          <t>A 7306-2024</t>
        </is>
      </c>
      <c r="B673" s="1" t="n">
        <v>45344</v>
      </c>
      <c r="C673" s="1" t="n">
        <v>46033</v>
      </c>
      <c r="D673" t="inlineStr">
        <is>
          <t>NORRBOTTENS LÄN</t>
        </is>
      </c>
      <c r="E673" t="inlineStr">
        <is>
          <t>LULEÅ</t>
        </is>
      </c>
      <c r="G673" t="n">
        <v>29.2</v>
      </c>
      <c r="H673" t="n">
        <v>0</v>
      </c>
      <c r="I673" t="n">
        <v>0</v>
      </c>
      <c r="J673" t="n">
        <v>0</v>
      </c>
      <c r="K673" t="n">
        <v>0</v>
      </c>
      <c r="L673" t="n">
        <v>0</v>
      </c>
      <c r="M673" t="n">
        <v>0</v>
      </c>
      <c r="N673" t="n">
        <v>0</v>
      </c>
      <c r="O673" t="n">
        <v>0</v>
      </c>
      <c r="P673" t="n">
        <v>0</v>
      </c>
      <c r="Q673" t="n">
        <v>0</v>
      </c>
      <c r="R673" s="2" t="inlineStr"/>
    </row>
    <row r="674" ht="15" customHeight="1">
      <c r="A674" t="inlineStr">
        <is>
          <t>A 10183-2025</t>
        </is>
      </c>
      <c r="B674" s="1" t="n">
        <v>45719</v>
      </c>
      <c r="C674" s="1" t="n">
        <v>46033</v>
      </c>
      <c r="D674" t="inlineStr">
        <is>
          <t>NORRBOTTENS LÄN</t>
        </is>
      </c>
      <c r="E674" t="inlineStr">
        <is>
          <t>LULEÅ</t>
        </is>
      </c>
      <c r="G674" t="n">
        <v>2.4</v>
      </c>
      <c r="H674" t="n">
        <v>0</v>
      </c>
      <c r="I674" t="n">
        <v>0</v>
      </c>
      <c r="J674" t="n">
        <v>0</v>
      </c>
      <c r="K674" t="n">
        <v>0</v>
      </c>
      <c r="L674" t="n">
        <v>0</v>
      </c>
      <c r="M674" t="n">
        <v>0</v>
      </c>
      <c r="N674" t="n">
        <v>0</v>
      </c>
      <c r="O674" t="n">
        <v>0</v>
      </c>
      <c r="P674" t="n">
        <v>0</v>
      </c>
      <c r="Q674" t="n">
        <v>0</v>
      </c>
      <c r="R674" s="2" t="inlineStr"/>
    </row>
    <row r="675" ht="15" customHeight="1">
      <c r="A675" t="inlineStr">
        <is>
          <t>A 61866-2023</t>
        </is>
      </c>
      <c r="B675" s="1" t="n">
        <v>45264</v>
      </c>
      <c r="C675" s="1" t="n">
        <v>46033</v>
      </c>
      <c r="D675" t="inlineStr">
        <is>
          <t>NORRBOTTENS LÄN</t>
        </is>
      </c>
      <c r="E675" t="inlineStr">
        <is>
          <t>LULEÅ</t>
        </is>
      </c>
      <c r="G675" t="n">
        <v>0.8</v>
      </c>
      <c r="H675" t="n">
        <v>0</v>
      </c>
      <c r="I675" t="n">
        <v>0</v>
      </c>
      <c r="J675" t="n">
        <v>0</v>
      </c>
      <c r="K675" t="n">
        <v>0</v>
      </c>
      <c r="L675" t="n">
        <v>0</v>
      </c>
      <c r="M675" t="n">
        <v>0</v>
      </c>
      <c r="N675" t="n">
        <v>0</v>
      </c>
      <c r="O675" t="n">
        <v>0</v>
      </c>
      <c r="P675" t="n">
        <v>0</v>
      </c>
      <c r="Q675" t="n">
        <v>0</v>
      </c>
      <c r="R675" s="2" t="inlineStr"/>
    </row>
    <row r="676" ht="15" customHeight="1">
      <c r="A676" t="inlineStr">
        <is>
          <t>A 3693-2025</t>
        </is>
      </c>
      <c r="B676" s="1" t="n">
        <v>45681.46563657407</v>
      </c>
      <c r="C676" s="1" t="n">
        <v>46033</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23819-2023</t>
        </is>
      </c>
      <c r="B677" s="1" t="n">
        <v>45075</v>
      </c>
      <c r="C677" s="1" t="n">
        <v>46033</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14447-2023</t>
        </is>
      </c>
      <c r="B678" s="1" t="n">
        <v>45012</v>
      </c>
      <c r="C678" s="1" t="n">
        <v>46033</v>
      </c>
      <c r="D678" t="inlineStr">
        <is>
          <t>NORRBOTTENS LÄN</t>
        </is>
      </c>
      <c r="E678" t="inlineStr">
        <is>
          <t>LULEÅ</t>
        </is>
      </c>
      <c r="G678" t="n">
        <v>0.6</v>
      </c>
      <c r="H678" t="n">
        <v>0</v>
      </c>
      <c r="I678" t="n">
        <v>0</v>
      </c>
      <c r="J678" t="n">
        <v>0</v>
      </c>
      <c r="K678" t="n">
        <v>0</v>
      </c>
      <c r="L678" t="n">
        <v>0</v>
      </c>
      <c r="M678" t="n">
        <v>0</v>
      </c>
      <c r="N678" t="n">
        <v>0</v>
      </c>
      <c r="O678" t="n">
        <v>0</v>
      </c>
      <c r="P678" t="n">
        <v>0</v>
      </c>
      <c r="Q678" t="n">
        <v>0</v>
      </c>
      <c r="R678" s="2" t="inlineStr"/>
    </row>
    <row r="679" ht="15" customHeight="1">
      <c r="A679" t="inlineStr">
        <is>
          <t>A 17304-2025</t>
        </is>
      </c>
      <c r="B679" s="1" t="n">
        <v>45756</v>
      </c>
      <c r="C679" s="1" t="n">
        <v>46033</v>
      </c>
      <c r="D679" t="inlineStr">
        <is>
          <t>NORRBOTTENS LÄN</t>
        </is>
      </c>
      <c r="E679" t="inlineStr">
        <is>
          <t>LULEÅ</t>
        </is>
      </c>
      <c r="G679" t="n">
        <v>2.8</v>
      </c>
      <c r="H679" t="n">
        <v>0</v>
      </c>
      <c r="I679" t="n">
        <v>0</v>
      </c>
      <c r="J679" t="n">
        <v>0</v>
      </c>
      <c r="K679" t="n">
        <v>0</v>
      </c>
      <c r="L679" t="n">
        <v>0</v>
      </c>
      <c r="M679" t="n">
        <v>0</v>
      </c>
      <c r="N679" t="n">
        <v>0</v>
      </c>
      <c r="O679" t="n">
        <v>0</v>
      </c>
      <c r="P679" t="n">
        <v>0</v>
      </c>
      <c r="Q679" t="n">
        <v>0</v>
      </c>
      <c r="R679" s="2" t="inlineStr"/>
    </row>
    <row r="680" ht="15" customHeight="1">
      <c r="A680" t="inlineStr">
        <is>
          <t>A 17306-2025</t>
        </is>
      </c>
      <c r="B680" s="1" t="n">
        <v>45756.60434027778</v>
      </c>
      <c r="C680" s="1" t="n">
        <v>46033</v>
      </c>
      <c r="D680" t="inlineStr">
        <is>
          <t>NORRBOTTENS LÄN</t>
        </is>
      </c>
      <c r="E680" t="inlineStr">
        <is>
          <t>LULEÅ</t>
        </is>
      </c>
      <c r="G680" t="n">
        <v>0.8</v>
      </c>
      <c r="H680" t="n">
        <v>0</v>
      </c>
      <c r="I680" t="n">
        <v>0</v>
      </c>
      <c r="J680" t="n">
        <v>0</v>
      </c>
      <c r="K680" t="n">
        <v>0</v>
      </c>
      <c r="L680" t="n">
        <v>0</v>
      </c>
      <c r="M680" t="n">
        <v>0</v>
      </c>
      <c r="N680" t="n">
        <v>0</v>
      </c>
      <c r="O680" t="n">
        <v>0</v>
      </c>
      <c r="P680" t="n">
        <v>0</v>
      </c>
      <c r="Q680" t="n">
        <v>0</v>
      </c>
      <c r="R680" s="2" t="inlineStr"/>
    </row>
    <row r="681" ht="15" customHeight="1">
      <c r="A681" t="inlineStr">
        <is>
          <t>A 57826-2022</t>
        </is>
      </c>
      <c r="B681" s="1" t="n">
        <v>44897</v>
      </c>
      <c r="C681" s="1" t="n">
        <v>46033</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42102-2024</t>
        </is>
      </c>
      <c r="B682" s="1" t="n">
        <v>45562.35875</v>
      </c>
      <c r="C682" s="1" t="n">
        <v>46033</v>
      </c>
      <c r="D682" t="inlineStr">
        <is>
          <t>NORRBOTTENS LÄN</t>
        </is>
      </c>
      <c r="E682" t="inlineStr">
        <is>
          <t>LULEÅ</t>
        </is>
      </c>
      <c r="G682" t="n">
        <v>0.8</v>
      </c>
      <c r="H682" t="n">
        <v>0</v>
      </c>
      <c r="I682" t="n">
        <v>0</v>
      </c>
      <c r="J682" t="n">
        <v>0</v>
      </c>
      <c r="K682" t="n">
        <v>0</v>
      </c>
      <c r="L682" t="n">
        <v>0</v>
      </c>
      <c r="M682" t="n">
        <v>0</v>
      </c>
      <c r="N682" t="n">
        <v>0</v>
      </c>
      <c r="O682" t="n">
        <v>0</v>
      </c>
      <c r="P682" t="n">
        <v>0</v>
      </c>
      <c r="Q682" t="n">
        <v>0</v>
      </c>
      <c r="R682" s="2" t="inlineStr"/>
    </row>
    <row r="683" ht="15" customHeight="1">
      <c r="A683" t="inlineStr">
        <is>
          <t>A 23744-2023</t>
        </is>
      </c>
      <c r="B683" s="1" t="n">
        <v>45077.82532407407</v>
      </c>
      <c r="C683" s="1" t="n">
        <v>46033</v>
      </c>
      <c r="D683" t="inlineStr">
        <is>
          <t>NORRBOTTENS LÄN</t>
        </is>
      </c>
      <c r="E683" t="inlineStr">
        <is>
          <t>LULEÅ</t>
        </is>
      </c>
      <c r="G683" t="n">
        <v>3.9</v>
      </c>
      <c r="H683" t="n">
        <v>0</v>
      </c>
      <c r="I683" t="n">
        <v>0</v>
      </c>
      <c r="J683" t="n">
        <v>0</v>
      </c>
      <c r="K683" t="n">
        <v>0</v>
      </c>
      <c r="L683" t="n">
        <v>0</v>
      </c>
      <c r="M683" t="n">
        <v>0</v>
      </c>
      <c r="N683" t="n">
        <v>0</v>
      </c>
      <c r="O683" t="n">
        <v>0</v>
      </c>
      <c r="P683" t="n">
        <v>0</v>
      </c>
      <c r="Q683" t="n">
        <v>0</v>
      </c>
      <c r="R683" s="2" t="inlineStr"/>
    </row>
    <row r="684" ht="15" customHeight="1">
      <c r="A684" t="inlineStr">
        <is>
          <t>A 1572-2025</t>
        </is>
      </c>
      <c r="B684" s="1" t="n">
        <v>45670.55724537037</v>
      </c>
      <c r="C684" s="1" t="n">
        <v>46033</v>
      </c>
      <c r="D684" t="inlineStr">
        <is>
          <t>NORRBOTTENS LÄN</t>
        </is>
      </c>
      <c r="E684" t="inlineStr">
        <is>
          <t>LULEÅ</t>
        </is>
      </c>
      <c r="G684" t="n">
        <v>5.2</v>
      </c>
      <c r="H684" t="n">
        <v>0</v>
      </c>
      <c r="I684" t="n">
        <v>0</v>
      </c>
      <c r="J684" t="n">
        <v>0</v>
      </c>
      <c r="K684" t="n">
        <v>0</v>
      </c>
      <c r="L684" t="n">
        <v>0</v>
      </c>
      <c r="M684" t="n">
        <v>0</v>
      </c>
      <c r="N684" t="n">
        <v>0</v>
      </c>
      <c r="O684" t="n">
        <v>0</v>
      </c>
      <c r="P684" t="n">
        <v>0</v>
      </c>
      <c r="Q684" t="n">
        <v>0</v>
      </c>
      <c r="R684" s="2" t="inlineStr"/>
    </row>
    <row r="685" ht="15" customHeight="1">
      <c r="A685" t="inlineStr">
        <is>
          <t>A 4940-2025</t>
        </is>
      </c>
      <c r="B685" s="1" t="n">
        <v>45688.69949074074</v>
      </c>
      <c r="C685" s="1" t="n">
        <v>46033</v>
      </c>
      <c r="D685" t="inlineStr">
        <is>
          <t>NORRBOTTENS LÄN</t>
        </is>
      </c>
      <c r="E685" t="inlineStr">
        <is>
          <t>LULEÅ</t>
        </is>
      </c>
      <c r="G685" t="n">
        <v>1.8</v>
      </c>
      <c r="H685" t="n">
        <v>0</v>
      </c>
      <c r="I685" t="n">
        <v>0</v>
      </c>
      <c r="J685" t="n">
        <v>0</v>
      </c>
      <c r="K685" t="n">
        <v>0</v>
      </c>
      <c r="L685" t="n">
        <v>0</v>
      </c>
      <c r="M685" t="n">
        <v>0</v>
      </c>
      <c r="N685" t="n">
        <v>0</v>
      </c>
      <c r="O685" t="n">
        <v>0</v>
      </c>
      <c r="P685" t="n">
        <v>0</v>
      </c>
      <c r="Q685" t="n">
        <v>0</v>
      </c>
      <c r="R685" s="2" t="inlineStr"/>
    </row>
    <row r="686" ht="15" customHeight="1">
      <c r="A686" t="inlineStr">
        <is>
          <t>A 59681-2023</t>
        </is>
      </c>
      <c r="B686" s="1" t="n">
        <v>45255</v>
      </c>
      <c r="C686" s="1" t="n">
        <v>46033</v>
      </c>
      <c r="D686" t="inlineStr">
        <is>
          <t>NORRBOTTENS LÄN</t>
        </is>
      </c>
      <c r="E686" t="inlineStr">
        <is>
          <t>LULEÅ</t>
        </is>
      </c>
      <c r="G686" t="n">
        <v>0.6</v>
      </c>
      <c r="H686" t="n">
        <v>0</v>
      </c>
      <c r="I686" t="n">
        <v>0</v>
      </c>
      <c r="J686" t="n">
        <v>0</v>
      </c>
      <c r="K686" t="n">
        <v>0</v>
      </c>
      <c r="L686" t="n">
        <v>0</v>
      </c>
      <c r="M686" t="n">
        <v>0</v>
      </c>
      <c r="N686" t="n">
        <v>0</v>
      </c>
      <c r="O686" t="n">
        <v>0</v>
      </c>
      <c r="P686" t="n">
        <v>0</v>
      </c>
      <c r="Q686" t="n">
        <v>0</v>
      </c>
      <c r="R686" s="2" t="inlineStr"/>
    </row>
    <row r="687" ht="15" customHeight="1">
      <c r="A687" t="inlineStr">
        <is>
          <t>A 49648-2024</t>
        </is>
      </c>
      <c r="B687" s="1" t="n">
        <v>45596</v>
      </c>
      <c r="C687" s="1" t="n">
        <v>46033</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1017-2025</t>
        </is>
      </c>
      <c r="B688" s="1" t="n">
        <v>45665</v>
      </c>
      <c r="C688" s="1" t="n">
        <v>46033</v>
      </c>
      <c r="D688" t="inlineStr">
        <is>
          <t>NORRBOTTENS LÄN</t>
        </is>
      </c>
      <c r="E688" t="inlineStr">
        <is>
          <t>LULEÅ</t>
        </is>
      </c>
      <c r="G688" t="n">
        <v>0.6</v>
      </c>
      <c r="H688" t="n">
        <v>0</v>
      </c>
      <c r="I688" t="n">
        <v>0</v>
      </c>
      <c r="J688" t="n">
        <v>0</v>
      </c>
      <c r="K688" t="n">
        <v>0</v>
      </c>
      <c r="L688" t="n">
        <v>0</v>
      </c>
      <c r="M688" t="n">
        <v>0</v>
      </c>
      <c r="N688" t="n">
        <v>0</v>
      </c>
      <c r="O688" t="n">
        <v>0</v>
      </c>
      <c r="P688" t="n">
        <v>0</v>
      </c>
      <c r="Q688" t="n">
        <v>0</v>
      </c>
      <c r="R688" s="2" t="inlineStr"/>
    </row>
    <row r="689" ht="15" customHeight="1">
      <c r="A689" t="inlineStr">
        <is>
          <t>A 12282-2024</t>
        </is>
      </c>
      <c r="B689" s="1" t="n">
        <v>45378</v>
      </c>
      <c r="C689" s="1" t="n">
        <v>46033</v>
      </c>
      <c r="D689" t="inlineStr">
        <is>
          <t>NORRBOTTENS LÄN</t>
        </is>
      </c>
      <c r="E689" t="inlineStr">
        <is>
          <t>LULEÅ</t>
        </is>
      </c>
      <c r="G689" t="n">
        <v>1.9</v>
      </c>
      <c r="H689" t="n">
        <v>0</v>
      </c>
      <c r="I689" t="n">
        <v>0</v>
      </c>
      <c r="J689" t="n">
        <v>0</v>
      </c>
      <c r="K689" t="n">
        <v>0</v>
      </c>
      <c r="L689" t="n">
        <v>0</v>
      </c>
      <c r="M689" t="n">
        <v>0</v>
      </c>
      <c r="N689" t="n">
        <v>0</v>
      </c>
      <c r="O689" t="n">
        <v>0</v>
      </c>
      <c r="P689" t="n">
        <v>0</v>
      </c>
      <c r="Q689" t="n">
        <v>0</v>
      </c>
      <c r="R689" s="2" t="inlineStr"/>
    </row>
    <row r="690" ht="15" customHeight="1">
      <c r="A690" t="inlineStr">
        <is>
          <t>A 12551-2024</t>
        </is>
      </c>
      <c r="B690" s="1" t="n">
        <v>45379</v>
      </c>
      <c r="C690" s="1" t="n">
        <v>46033</v>
      </c>
      <c r="D690" t="inlineStr">
        <is>
          <t>NORRBOTTENS LÄN</t>
        </is>
      </c>
      <c r="E690" t="inlineStr">
        <is>
          <t>LULEÅ</t>
        </is>
      </c>
      <c r="G690" t="n">
        <v>0.6</v>
      </c>
      <c r="H690" t="n">
        <v>0</v>
      </c>
      <c r="I690" t="n">
        <v>0</v>
      </c>
      <c r="J690" t="n">
        <v>0</v>
      </c>
      <c r="K690" t="n">
        <v>0</v>
      </c>
      <c r="L690" t="n">
        <v>0</v>
      </c>
      <c r="M690" t="n">
        <v>0</v>
      </c>
      <c r="N690" t="n">
        <v>0</v>
      </c>
      <c r="O690" t="n">
        <v>0</v>
      </c>
      <c r="P690" t="n">
        <v>0</v>
      </c>
      <c r="Q690" t="n">
        <v>0</v>
      </c>
      <c r="R690" s="2" t="inlineStr"/>
    </row>
    <row r="691" ht="15" customHeight="1">
      <c r="A691" t="inlineStr">
        <is>
          <t>A 17175-2024</t>
        </is>
      </c>
      <c r="B691" s="1" t="n">
        <v>45412</v>
      </c>
      <c r="C691" s="1" t="n">
        <v>46033</v>
      </c>
      <c r="D691" t="inlineStr">
        <is>
          <t>NORRBOTTENS LÄN</t>
        </is>
      </c>
      <c r="E691" t="inlineStr">
        <is>
          <t>LULEÅ</t>
        </is>
      </c>
      <c r="F691" t="inlineStr">
        <is>
          <t>SCA</t>
        </is>
      </c>
      <c r="G691" t="n">
        <v>18.5</v>
      </c>
      <c r="H691" t="n">
        <v>0</v>
      </c>
      <c r="I691" t="n">
        <v>0</v>
      </c>
      <c r="J691" t="n">
        <v>0</v>
      </c>
      <c r="K691" t="n">
        <v>0</v>
      </c>
      <c r="L691" t="n">
        <v>0</v>
      </c>
      <c r="M691" t="n">
        <v>0</v>
      </c>
      <c r="N691" t="n">
        <v>0</v>
      </c>
      <c r="O691" t="n">
        <v>0</v>
      </c>
      <c r="P691" t="n">
        <v>0</v>
      </c>
      <c r="Q691" t="n">
        <v>0</v>
      </c>
      <c r="R691" s="2" t="inlineStr"/>
    </row>
    <row r="692" ht="15" customHeight="1">
      <c r="A692" t="inlineStr">
        <is>
          <t>A 35234-2021</t>
        </is>
      </c>
      <c r="B692" s="1" t="n">
        <v>44384</v>
      </c>
      <c r="C692" s="1" t="n">
        <v>46033</v>
      </c>
      <c r="D692" t="inlineStr">
        <is>
          <t>NORRBOTTENS LÄN</t>
        </is>
      </c>
      <c r="E692" t="inlineStr">
        <is>
          <t>LULEÅ</t>
        </is>
      </c>
      <c r="G692" t="n">
        <v>1.4</v>
      </c>
      <c r="H692" t="n">
        <v>0</v>
      </c>
      <c r="I692" t="n">
        <v>0</v>
      </c>
      <c r="J692" t="n">
        <v>0</v>
      </c>
      <c r="K692" t="n">
        <v>0</v>
      </c>
      <c r="L692" t="n">
        <v>0</v>
      </c>
      <c r="M692" t="n">
        <v>0</v>
      </c>
      <c r="N692" t="n">
        <v>0</v>
      </c>
      <c r="O692" t="n">
        <v>0</v>
      </c>
      <c r="P692" t="n">
        <v>0</v>
      </c>
      <c r="Q692" t="n">
        <v>0</v>
      </c>
      <c r="R692" s="2" t="inlineStr"/>
    </row>
    <row r="693" ht="15" customHeight="1">
      <c r="A693" t="inlineStr">
        <is>
          <t>A 54213-2023</t>
        </is>
      </c>
      <c r="B693" s="1" t="n">
        <v>45232</v>
      </c>
      <c r="C693" s="1" t="n">
        <v>46033</v>
      </c>
      <c r="D693" t="inlineStr">
        <is>
          <t>NORRBOTTENS LÄN</t>
        </is>
      </c>
      <c r="E693" t="inlineStr">
        <is>
          <t>LULEÅ</t>
        </is>
      </c>
      <c r="G693" t="n">
        <v>0.2</v>
      </c>
      <c r="H693" t="n">
        <v>0</v>
      </c>
      <c r="I693" t="n">
        <v>0</v>
      </c>
      <c r="J693" t="n">
        <v>0</v>
      </c>
      <c r="K693" t="n">
        <v>0</v>
      </c>
      <c r="L693" t="n">
        <v>0</v>
      </c>
      <c r="M693" t="n">
        <v>0</v>
      </c>
      <c r="N693" t="n">
        <v>0</v>
      </c>
      <c r="O693" t="n">
        <v>0</v>
      </c>
      <c r="P693" t="n">
        <v>0</v>
      </c>
      <c r="Q693" t="n">
        <v>0</v>
      </c>
      <c r="R693" s="2" t="inlineStr"/>
    </row>
    <row r="694" ht="15" customHeight="1">
      <c r="A694" t="inlineStr">
        <is>
          <t>A 11135-2025</t>
        </is>
      </c>
      <c r="B694" s="1" t="n">
        <v>45723.65663194445</v>
      </c>
      <c r="C694" s="1" t="n">
        <v>46033</v>
      </c>
      <c r="D694" t="inlineStr">
        <is>
          <t>NORRBOTTENS LÄN</t>
        </is>
      </c>
      <c r="E694" t="inlineStr">
        <is>
          <t>LULEÅ</t>
        </is>
      </c>
      <c r="G694" t="n">
        <v>16.7</v>
      </c>
      <c r="H694" t="n">
        <v>0</v>
      </c>
      <c r="I694" t="n">
        <v>0</v>
      </c>
      <c r="J694" t="n">
        <v>0</v>
      </c>
      <c r="K694" t="n">
        <v>0</v>
      </c>
      <c r="L694" t="n">
        <v>0</v>
      </c>
      <c r="M694" t="n">
        <v>0</v>
      </c>
      <c r="N694" t="n">
        <v>0</v>
      </c>
      <c r="O694" t="n">
        <v>0</v>
      </c>
      <c r="P694" t="n">
        <v>0</v>
      </c>
      <c r="Q694" t="n">
        <v>0</v>
      </c>
      <c r="R694" s="2" t="inlineStr"/>
    </row>
    <row r="695" ht="15" customHeight="1">
      <c r="A695" t="inlineStr">
        <is>
          <t>A 60954-2021</t>
        </is>
      </c>
      <c r="B695" s="1" t="n">
        <v>44496</v>
      </c>
      <c r="C695" s="1" t="n">
        <v>46033</v>
      </c>
      <c r="D695" t="inlineStr">
        <is>
          <t>NORRBOTTENS LÄN</t>
        </is>
      </c>
      <c r="E695" t="inlineStr">
        <is>
          <t>LULEÅ</t>
        </is>
      </c>
      <c r="G695" t="n">
        <v>1.9</v>
      </c>
      <c r="H695" t="n">
        <v>0</v>
      </c>
      <c r="I695" t="n">
        <v>0</v>
      </c>
      <c r="J695" t="n">
        <v>0</v>
      </c>
      <c r="K695" t="n">
        <v>0</v>
      </c>
      <c r="L695" t="n">
        <v>0</v>
      </c>
      <c r="M695" t="n">
        <v>0</v>
      </c>
      <c r="N695" t="n">
        <v>0</v>
      </c>
      <c r="O695" t="n">
        <v>0</v>
      </c>
      <c r="P695" t="n">
        <v>0</v>
      </c>
      <c r="Q695" t="n">
        <v>0</v>
      </c>
      <c r="R695" s="2" t="inlineStr"/>
    </row>
    <row r="696" ht="15" customHeight="1">
      <c r="A696" t="inlineStr">
        <is>
          <t>A 20063-2023</t>
        </is>
      </c>
      <c r="B696" s="1" t="n">
        <v>45054</v>
      </c>
      <c r="C696" s="1" t="n">
        <v>46033</v>
      </c>
      <c r="D696" t="inlineStr">
        <is>
          <t>NORRBOTTENS LÄN</t>
        </is>
      </c>
      <c r="E696" t="inlineStr">
        <is>
          <t>LULEÅ</t>
        </is>
      </c>
      <c r="G696" t="n">
        <v>2.2</v>
      </c>
      <c r="H696" t="n">
        <v>0</v>
      </c>
      <c r="I696" t="n">
        <v>0</v>
      </c>
      <c r="J696" t="n">
        <v>0</v>
      </c>
      <c r="K696" t="n">
        <v>0</v>
      </c>
      <c r="L696" t="n">
        <v>0</v>
      </c>
      <c r="M696" t="n">
        <v>0</v>
      </c>
      <c r="N696" t="n">
        <v>0</v>
      </c>
      <c r="O696" t="n">
        <v>0</v>
      </c>
      <c r="P696" t="n">
        <v>0</v>
      </c>
      <c r="Q696" t="n">
        <v>0</v>
      </c>
      <c r="R696" s="2" t="inlineStr"/>
    </row>
    <row r="697" ht="15" customHeight="1">
      <c r="A697" t="inlineStr">
        <is>
          <t>A 26253-2023</t>
        </is>
      </c>
      <c r="B697" s="1" t="n">
        <v>45091</v>
      </c>
      <c r="C697" s="1" t="n">
        <v>46033</v>
      </c>
      <c r="D697" t="inlineStr">
        <is>
          <t>NORRBOTTENS LÄN</t>
        </is>
      </c>
      <c r="E697" t="inlineStr">
        <is>
          <t>LULEÅ</t>
        </is>
      </c>
      <c r="G697" t="n">
        <v>4.9</v>
      </c>
      <c r="H697" t="n">
        <v>0</v>
      </c>
      <c r="I697" t="n">
        <v>0</v>
      </c>
      <c r="J697" t="n">
        <v>0</v>
      </c>
      <c r="K697" t="n">
        <v>0</v>
      </c>
      <c r="L697" t="n">
        <v>0</v>
      </c>
      <c r="M697" t="n">
        <v>0</v>
      </c>
      <c r="N697" t="n">
        <v>0</v>
      </c>
      <c r="O697" t="n">
        <v>0</v>
      </c>
      <c r="P697" t="n">
        <v>0</v>
      </c>
      <c r="Q697" t="n">
        <v>0</v>
      </c>
      <c r="R697" s="2" t="inlineStr"/>
    </row>
    <row r="698" ht="15" customHeight="1">
      <c r="A698" t="inlineStr">
        <is>
          <t>A 49857-2023</t>
        </is>
      </c>
      <c r="B698" s="1" t="n">
        <v>45212</v>
      </c>
      <c r="C698" s="1" t="n">
        <v>46033</v>
      </c>
      <c r="D698" t="inlineStr">
        <is>
          <t>NORRBOTTENS LÄN</t>
        </is>
      </c>
      <c r="E698" t="inlineStr">
        <is>
          <t>LULEÅ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49858-2023</t>
        </is>
      </c>
      <c r="B699" s="1" t="n">
        <v>45212.95483796296</v>
      </c>
      <c r="C699" s="1" t="n">
        <v>46033</v>
      </c>
      <c r="D699" t="inlineStr">
        <is>
          <t>NORRBOTTENS LÄN</t>
        </is>
      </c>
      <c r="E699" t="inlineStr">
        <is>
          <t>LULEÅ</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44330-2024</t>
        </is>
      </c>
      <c r="B700" s="1" t="n">
        <v>45573.60027777778</v>
      </c>
      <c r="C700" s="1" t="n">
        <v>46033</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42103-2024</t>
        </is>
      </c>
      <c r="B701" s="1" t="n">
        <v>45562</v>
      </c>
      <c r="C701" s="1" t="n">
        <v>46033</v>
      </c>
      <c r="D701" t="inlineStr">
        <is>
          <t>NORRBOTTENS LÄN</t>
        </is>
      </c>
      <c r="E701" t="inlineStr">
        <is>
          <t>LULEÅ</t>
        </is>
      </c>
      <c r="G701" t="n">
        <v>1.5</v>
      </c>
      <c r="H701" t="n">
        <v>0</v>
      </c>
      <c r="I701" t="n">
        <v>0</v>
      </c>
      <c r="J701" t="n">
        <v>0</v>
      </c>
      <c r="K701" t="n">
        <v>0</v>
      </c>
      <c r="L701" t="n">
        <v>0</v>
      </c>
      <c r="M701" t="n">
        <v>0</v>
      </c>
      <c r="N701" t="n">
        <v>0</v>
      </c>
      <c r="O701" t="n">
        <v>0</v>
      </c>
      <c r="P701" t="n">
        <v>0</v>
      </c>
      <c r="Q701" t="n">
        <v>0</v>
      </c>
      <c r="R701" s="2" t="inlineStr"/>
    </row>
    <row r="702" ht="15" customHeight="1">
      <c r="A702" t="inlineStr">
        <is>
          <t>A 18208-2023</t>
        </is>
      </c>
      <c r="B702" s="1" t="n">
        <v>45040</v>
      </c>
      <c r="C702" s="1" t="n">
        <v>46033</v>
      </c>
      <c r="D702" t="inlineStr">
        <is>
          <t>NORRBOTTENS LÄN</t>
        </is>
      </c>
      <c r="E702" t="inlineStr">
        <is>
          <t>LULEÅ</t>
        </is>
      </c>
      <c r="G702" t="n">
        <v>2.6</v>
      </c>
      <c r="H702" t="n">
        <v>0</v>
      </c>
      <c r="I702" t="n">
        <v>0</v>
      </c>
      <c r="J702" t="n">
        <v>0</v>
      </c>
      <c r="K702" t="n">
        <v>0</v>
      </c>
      <c r="L702" t="n">
        <v>0</v>
      </c>
      <c r="M702" t="n">
        <v>0</v>
      </c>
      <c r="N702" t="n">
        <v>0</v>
      </c>
      <c r="O702" t="n">
        <v>0</v>
      </c>
      <c r="P702" t="n">
        <v>0</v>
      </c>
      <c r="Q702" t="n">
        <v>0</v>
      </c>
      <c r="R702" s="2" t="inlineStr"/>
    </row>
    <row r="703" ht="15" customHeight="1">
      <c r="A703" t="inlineStr">
        <is>
          <t>A 704-2025</t>
        </is>
      </c>
      <c r="B703" s="1" t="n">
        <v>45663</v>
      </c>
      <c r="C703" s="1" t="n">
        <v>46033</v>
      </c>
      <c r="D703" t="inlineStr">
        <is>
          <t>NORRBOTTENS LÄN</t>
        </is>
      </c>
      <c r="E703" t="inlineStr">
        <is>
          <t>LULEÅ</t>
        </is>
      </c>
      <c r="G703" t="n">
        <v>1.6</v>
      </c>
      <c r="H703" t="n">
        <v>0</v>
      </c>
      <c r="I703" t="n">
        <v>0</v>
      </c>
      <c r="J703" t="n">
        <v>0</v>
      </c>
      <c r="K703" t="n">
        <v>0</v>
      </c>
      <c r="L703" t="n">
        <v>0</v>
      </c>
      <c r="M703" t="n">
        <v>0</v>
      </c>
      <c r="N703" t="n">
        <v>0</v>
      </c>
      <c r="O703" t="n">
        <v>0</v>
      </c>
      <c r="P703" t="n">
        <v>0</v>
      </c>
      <c r="Q703" t="n">
        <v>0</v>
      </c>
      <c r="R703" s="2" t="inlineStr"/>
    </row>
    <row r="704" ht="15" customHeight="1">
      <c r="A704" t="inlineStr">
        <is>
          <t>A 731-2025</t>
        </is>
      </c>
      <c r="B704" s="1" t="n">
        <v>45664</v>
      </c>
      <c r="C704" s="1" t="n">
        <v>46033</v>
      </c>
      <c r="D704" t="inlineStr">
        <is>
          <t>NORRBOTTENS LÄN</t>
        </is>
      </c>
      <c r="E704" t="inlineStr">
        <is>
          <t>LULEÅ</t>
        </is>
      </c>
      <c r="G704" t="n">
        <v>0.4</v>
      </c>
      <c r="H704" t="n">
        <v>0</v>
      </c>
      <c r="I704" t="n">
        <v>0</v>
      </c>
      <c r="J704" t="n">
        <v>0</v>
      </c>
      <c r="K704" t="n">
        <v>0</v>
      </c>
      <c r="L704" t="n">
        <v>0</v>
      </c>
      <c r="M704" t="n">
        <v>0</v>
      </c>
      <c r="N704" t="n">
        <v>0</v>
      </c>
      <c r="O704" t="n">
        <v>0</v>
      </c>
      <c r="P704" t="n">
        <v>0</v>
      </c>
      <c r="Q704" t="n">
        <v>0</v>
      </c>
      <c r="R704" s="2" t="inlineStr"/>
    </row>
    <row r="705" ht="15" customHeight="1">
      <c r="A705" t="inlineStr">
        <is>
          <t>A 23730-2023</t>
        </is>
      </c>
      <c r="B705" s="1" t="n">
        <v>45077</v>
      </c>
      <c r="C705" s="1" t="n">
        <v>46033</v>
      </c>
      <c r="D705" t="inlineStr">
        <is>
          <t>NORRBOTTENS LÄN</t>
        </is>
      </c>
      <c r="E705" t="inlineStr">
        <is>
          <t>LULEÅ</t>
        </is>
      </c>
      <c r="G705" t="n">
        <v>2.1</v>
      </c>
      <c r="H705" t="n">
        <v>0</v>
      </c>
      <c r="I705" t="n">
        <v>0</v>
      </c>
      <c r="J705" t="n">
        <v>0</v>
      </c>
      <c r="K705" t="n">
        <v>0</v>
      </c>
      <c r="L705" t="n">
        <v>0</v>
      </c>
      <c r="M705" t="n">
        <v>0</v>
      </c>
      <c r="N705" t="n">
        <v>0</v>
      </c>
      <c r="O705" t="n">
        <v>0</v>
      </c>
      <c r="P705" t="n">
        <v>0</v>
      </c>
      <c r="Q705" t="n">
        <v>0</v>
      </c>
      <c r="R705" s="2" t="inlineStr"/>
    </row>
    <row r="706" ht="15" customHeight="1">
      <c r="A706" t="inlineStr">
        <is>
          <t>A 53985-2023</t>
        </is>
      </c>
      <c r="B706" s="1" t="n">
        <v>45225</v>
      </c>
      <c r="C706" s="1" t="n">
        <v>46033</v>
      </c>
      <c r="D706" t="inlineStr">
        <is>
          <t>NORRBOTTENS LÄN</t>
        </is>
      </c>
      <c r="E706" t="inlineStr">
        <is>
          <t>LULEÅ</t>
        </is>
      </c>
      <c r="G706" t="n">
        <v>3.2</v>
      </c>
      <c r="H706" t="n">
        <v>0</v>
      </c>
      <c r="I706" t="n">
        <v>0</v>
      </c>
      <c r="J706" t="n">
        <v>0</v>
      </c>
      <c r="K706" t="n">
        <v>0</v>
      </c>
      <c r="L706" t="n">
        <v>0</v>
      </c>
      <c r="M706" t="n">
        <v>0</v>
      </c>
      <c r="N706" t="n">
        <v>0</v>
      </c>
      <c r="O706" t="n">
        <v>0</v>
      </c>
      <c r="P706" t="n">
        <v>0</v>
      </c>
      <c r="Q706" t="n">
        <v>0</v>
      </c>
      <c r="R706" s="2" t="inlineStr"/>
    </row>
    <row r="707" ht="15" customHeight="1">
      <c r="A707" t="inlineStr">
        <is>
          <t>A 58831-2024</t>
        </is>
      </c>
      <c r="B707" s="1" t="n">
        <v>45635</v>
      </c>
      <c r="C707" s="1" t="n">
        <v>46033</v>
      </c>
      <c r="D707" t="inlineStr">
        <is>
          <t>NORRBOTTENS LÄN</t>
        </is>
      </c>
      <c r="E707" t="inlineStr">
        <is>
          <t>LULEÅ</t>
        </is>
      </c>
      <c r="G707" t="n">
        <v>0.3</v>
      </c>
      <c r="H707" t="n">
        <v>0</v>
      </c>
      <c r="I707" t="n">
        <v>0</v>
      </c>
      <c r="J707" t="n">
        <v>0</v>
      </c>
      <c r="K707" t="n">
        <v>0</v>
      </c>
      <c r="L707" t="n">
        <v>0</v>
      </c>
      <c r="M707" t="n">
        <v>0</v>
      </c>
      <c r="N707" t="n">
        <v>0</v>
      </c>
      <c r="O707" t="n">
        <v>0</v>
      </c>
      <c r="P707" t="n">
        <v>0</v>
      </c>
      <c r="Q707" t="n">
        <v>0</v>
      </c>
      <c r="R707" s="2" t="inlineStr"/>
    </row>
    <row r="708" ht="15" customHeight="1">
      <c r="A708" t="inlineStr">
        <is>
          <t>A 2561-2022</t>
        </is>
      </c>
      <c r="B708" s="1" t="n">
        <v>44579</v>
      </c>
      <c r="C708" s="1" t="n">
        <v>46033</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48059-2023</t>
        </is>
      </c>
      <c r="B709" s="1" t="n">
        <v>45204</v>
      </c>
      <c r="C709" s="1" t="n">
        <v>46033</v>
      </c>
      <c r="D709" t="inlineStr">
        <is>
          <t>NORRBOTTENS LÄN</t>
        </is>
      </c>
      <c r="E709" t="inlineStr">
        <is>
          <t>LULEÅ</t>
        </is>
      </c>
      <c r="G709" t="n">
        <v>2</v>
      </c>
      <c r="H709" t="n">
        <v>0</v>
      </c>
      <c r="I709" t="n">
        <v>0</v>
      </c>
      <c r="J709" t="n">
        <v>0</v>
      </c>
      <c r="K709" t="n">
        <v>0</v>
      </c>
      <c r="L709" t="n">
        <v>0</v>
      </c>
      <c r="M709" t="n">
        <v>0</v>
      </c>
      <c r="N709" t="n">
        <v>0</v>
      </c>
      <c r="O709" t="n">
        <v>0</v>
      </c>
      <c r="P709" t="n">
        <v>0</v>
      </c>
      <c r="Q709" t="n">
        <v>0</v>
      </c>
      <c r="R709" s="2" t="inlineStr"/>
    </row>
    <row r="710" ht="15" customHeight="1">
      <c r="A710" t="inlineStr">
        <is>
          <t>A 61891-2023</t>
        </is>
      </c>
      <c r="B710" s="1" t="n">
        <v>45264</v>
      </c>
      <c r="C710" s="1" t="n">
        <v>46033</v>
      </c>
      <c r="D710" t="inlineStr">
        <is>
          <t>NORRBOTTENS LÄN</t>
        </is>
      </c>
      <c r="E710" t="inlineStr">
        <is>
          <t>LULEÅ</t>
        </is>
      </c>
      <c r="G710" t="n">
        <v>1.7</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46033</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29457-2023</t>
        </is>
      </c>
      <c r="B712" s="1" t="n">
        <v>45106</v>
      </c>
      <c r="C712" s="1" t="n">
        <v>46033</v>
      </c>
      <c r="D712" t="inlineStr">
        <is>
          <t>NORRBOTTENS LÄN</t>
        </is>
      </c>
      <c r="E712" t="inlineStr">
        <is>
          <t>LULEÅ</t>
        </is>
      </c>
      <c r="G712" t="n">
        <v>7</v>
      </c>
      <c r="H712" t="n">
        <v>0</v>
      </c>
      <c r="I712" t="n">
        <v>0</v>
      </c>
      <c r="J712" t="n">
        <v>0</v>
      </c>
      <c r="K712" t="n">
        <v>0</v>
      </c>
      <c r="L712" t="n">
        <v>0</v>
      </c>
      <c r="M712" t="n">
        <v>0</v>
      </c>
      <c r="N712" t="n">
        <v>0</v>
      </c>
      <c r="O712" t="n">
        <v>0</v>
      </c>
      <c r="P712" t="n">
        <v>0</v>
      </c>
      <c r="Q712" t="n">
        <v>0</v>
      </c>
      <c r="R712" s="2" t="inlineStr"/>
    </row>
    <row r="713" ht="15" customHeight="1">
      <c r="A713" t="inlineStr">
        <is>
          <t>A 6739-2024</t>
        </is>
      </c>
      <c r="B713" s="1" t="n">
        <v>45342</v>
      </c>
      <c r="C713" s="1" t="n">
        <v>46033</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15127-2023</t>
        </is>
      </c>
      <c r="B714" s="1" t="n">
        <v>45016</v>
      </c>
      <c r="C714" s="1" t="n">
        <v>46033</v>
      </c>
      <c r="D714" t="inlineStr">
        <is>
          <t>NORRBOTTENS LÄN</t>
        </is>
      </c>
      <c r="E714" t="inlineStr">
        <is>
          <t>LULEÅ</t>
        </is>
      </c>
      <c r="G714" t="n">
        <v>1.5</v>
      </c>
      <c r="H714" t="n">
        <v>0</v>
      </c>
      <c r="I714" t="n">
        <v>0</v>
      </c>
      <c r="J714" t="n">
        <v>0</v>
      </c>
      <c r="K714" t="n">
        <v>0</v>
      </c>
      <c r="L714" t="n">
        <v>0</v>
      </c>
      <c r="M714" t="n">
        <v>0</v>
      </c>
      <c r="N714" t="n">
        <v>0</v>
      </c>
      <c r="O714" t="n">
        <v>0</v>
      </c>
      <c r="P714" t="n">
        <v>0</v>
      </c>
      <c r="Q714" t="n">
        <v>0</v>
      </c>
      <c r="R714" s="2" t="inlineStr"/>
    </row>
    <row r="715" ht="15" customHeight="1">
      <c r="A715" t="inlineStr">
        <is>
          <t>A 72752-2021</t>
        </is>
      </c>
      <c r="B715" s="1" t="n">
        <v>44546.92262731482</v>
      </c>
      <c r="C715" s="1" t="n">
        <v>46033</v>
      </c>
      <c r="D715" t="inlineStr">
        <is>
          <t>NORRBOTTENS LÄN</t>
        </is>
      </c>
      <c r="E715" t="inlineStr">
        <is>
          <t>LULEÅ</t>
        </is>
      </c>
      <c r="G715" t="n">
        <v>1.8</v>
      </c>
      <c r="H715" t="n">
        <v>0</v>
      </c>
      <c r="I715" t="n">
        <v>0</v>
      </c>
      <c r="J715" t="n">
        <v>0</v>
      </c>
      <c r="K715" t="n">
        <v>0</v>
      </c>
      <c r="L715" t="n">
        <v>0</v>
      </c>
      <c r="M715" t="n">
        <v>0</v>
      </c>
      <c r="N715" t="n">
        <v>0</v>
      </c>
      <c r="O715" t="n">
        <v>0</v>
      </c>
      <c r="P715" t="n">
        <v>0</v>
      </c>
      <c r="Q715" t="n">
        <v>0</v>
      </c>
      <c r="R715" s="2" t="inlineStr"/>
    </row>
    <row r="716" ht="15" customHeight="1">
      <c r="A716" t="inlineStr">
        <is>
          <t>A 50642-2024</t>
        </is>
      </c>
      <c r="B716" s="1" t="n">
        <v>45601.68076388889</v>
      </c>
      <c r="C716" s="1" t="n">
        <v>46033</v>
      </c>
      <c r="D716" t="inlineStr">
        <is>
          <t>NORRBOTTENS LÄN</t>
        </is>
      </c>
      <c r="E716" t="inlineStr">
        <is>
          <t>LULEÅ</t>
        </is>
      </c>
      <c r="G716" t="n">
        <v>1.5</v>
      </c>
      <c r="H716" t="n">
        <v>0</v>
      </c>
      <c r="I716" t="n">
        <v>0</v>
      </c>
      <c r="J716" t="n">
        <v>0</v>
      </c>
      <c r="K716" t="n">
        <v>0</v>
      </c>
      <c r="L716" t="n">
        <v>0</v>
      </c>
      <c r="M716" t="n">
        <v>0</v>
      </c>
      <c r="N716" t="n">
        <v>0</v>
      </c>
      <c r="O716" t="n">
        <v>0</v>
      </c>
      <c r="P716" t="n">
        <v>0</v>
      </c>
      <c r="Q716" t="n">
        <v>0</v>
      </c>
      <c r="R716" s="2" t="inlineStr"/>
    </row>
    <row r="717" ht="15" customHeight="1">
      <c r="A717" t="inlineStr">
        <is>
          <t>A 50645-2024</t>
        </is>
      </c>
      <c r="B717" s="1" t="n">
        <v>45601.68283564815</v>
      </c>
      <c r="C717" s="1" t="n">
        <v>46033</v>
      </c>
      <c r="D717" t="inlineStr">
        <is>
          <t>NORRBOTTENS LÄN</t>
        </is>
      </c>
      <c r="E717" t="inlineStr">
        <is>
          <t>LULEÅ</t>
        </is>
      </c>
      <c r="G717" t="n">
        <v>3.8</v>
      </c>
      <c r="H717" t="n">
        <v>0</v>
      </c>
      <c r="I717" t="n">
        <v>0</v>
      </c>
      <c r="J717" t="n">
        <v>0</v>
      </c>
      <c r="K717" t="n">
        <v>0</v>
      </c>
      <c r="L717" t="n">
        <v>0</v>
      </c>
      <c r="M717" t="n">
        <v>0</v>
      </c>
      <c r="N717" t="n">
        <v>0</v>
      </c>
      <c r="O717" t="n">
        <v>0</v>
      </c>
      <c r="P717" t="n">
        <v>0</v>
      </c>
      <c r="Q717" t="n">
        <v>0</v>
      </c>
      <c r="R717" s="2" t="inlineStr"/>
    </row>
    <row r="718" ht="15" customHeight="1">
      <c r="A718" t="inlineStr">
        <is>
          <t>A 25791-2024</t>
        </is>
      </c>
      <c r="B718" s="1" t="n">
        <v>45463</v>
      </c>
      <c r="C718" s="1" t="n">
        <v>46033</v>
      </c>
      <c r="D718" t="inlineStr">
        <is>
          <t>NORRBOTTENS LÄN</t>
        </is>
      </c>
      <c r="E718" t="inlineStr">
        <is>
          <t>LULEÅ</t>
        </is>
      </c>
      <c r="G718" t="n">
        <v>3.6</v>
      </c>
      <c r="H718" t="n">
        <v>0</v>
      </c>
      <c r="I718" t="n">
        <v>0</v>
      </c>
      <c r="J718" t="n">
        <v>0</v>
      </c>
      <c r="K718" t="n">
        <v>0</v>
      </c>
      <c r="L718" t="n">
        <v>0</v>
      </c>
      <c r="M718" t="n">
        <v>0</v>
      </c>
      <c r="N718" t="n">
        <v>0</v>
      </c>
      <c r="O718" t="n">
        <v>0</v>
      </c>
      <c r="P718" t="n">
        <v>0</v>
      </c>
      <c r="Q718" t="n">
        <v>0</v>
      </c>
      <c r="R718" s="2" t="inlineStr"/>
    </row>
    <row r="719" ht="15" customHeight="1">
      <c r="A719" t="inlineStr">
        <is>
          <t>A 9250-2025</t>
        </is>
      </c>
      <c r="B719" s="1" t="n">
        <v>45714</v>
      </c>
      <c r="C719" s="1" t="n">
        <v>46033</v>
      </c>
      <c r="D719" t="inlineStr">
        <is>
          <t>NORRBOTTENS LÄN</t>
        </is>
      </c>
      <c r="E719" t="inlineStr">
        <is>
          <t>LULEÅ</t>
        </is>
      </c>
      <c r="G719" t="n">
        <v>2.1</v>
      </c>
      <c r="H719" t="n">
        <v>0</v>
      </c>
      <c r="I719" t="n">
        <v>0</v>
      </c>
      <c r="J719" t="n">
        <v>0</v>
      </c>
      <c r="K719" t="n">
        <v>0</v>
      </c>
      <c r="L719" t="n">
        <v>0</v>
      </c>
      <c r="M719" t="n">
        <v>0</v>
      </c>
      <c r="N719" t="n">
        <v>0</v>
      </c>
      <c r="O719" t="n">
        <v>0</v>
      </c>
      <c r="P719" t="n">
        <v>0</v>
      </c>
      <c r="Q719" t="n">
        <v>0</v>
      </c>
      <c r="R719" s="2" t="inlineStr"/>
    </row>
    <row r="720" ht="15" customHeight="1">
      <c r="A720" t="inlineStr">
        <is>
          <t>A 37935-2024</t>
        </is>
      </c>
      <c r="B720" s="1" t="n">
        <v>45544</v>
      </c>
      <c r="C720" s="1" t="n">
        <v>46033</v>
      </c>
      <c r="D720" t="inlineStr">
        <is>
          <t>NORRBOTTENS LÄN</t>
        </is>
      </c>
      <c r="E720" t="inlineStr">
        <is>
          <t>LULEÅ</t>
        </is>
      </c>
      <c r="G720" t="n">
        <v>3.3</v>
      </c>
      <c r="H720" t="n">
        <v>0</v>
      </c>
      <c r="I720" t="n">
        <v>0</v>
      </c>
      <c r="J720" t="n">
        <v>0</v>
      </c>
      <c r="K720" t="n">
        <v>0</v>
      </c>
      <c r="L720" t="n">
        <v>0</v>
      </c>
      <c r="M720" t="n">
        <v>0</v>
      </c>
      <c r="N720" t="n">
        <v>0</v>
      </c>
      <c r="O720" t="n">
        <v>0</v>
      </c>
      <c r="P720" t="n">
        <v>0</v>
      </c>
      <c r="Q720" t="n">
        <v>0</v>
      </c>
      <c r="R720" s="2" t="inlineStr"/>
    </row>
    <row r="721" ht="15" customHeight="1">
      <c r="A721" t="inlineStr">
        <is>
          <t>A 23632-2021</t>
        </is>
      </c>
      <c r="B721" s="1" t="n">
        <v>44334</v>
      </c>
      <c r="C721" s="1" t="n">
        <v>46033</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19986-2025</t>
        </is>
      </c>
      <c r="B722" s="1" t="n">
        <v>45771.71979166667</v>
      </c>
      <c r="C722" s="1" t="n">
        <v>46033</v>
      </c>
      <c r="D722" t="inlineStr">
        <is>
          <t>NORRBOTTENS LÄN</t>
        </is>
      </c>
      <c r="E722" t="inlineStr">
        <is>
          <t>LULEÅ</t>
        </is>
      </c>
      <c r="F722" t="inlineStr">
        <is>
          <t>Naturvårdsverket</t>
        </is>
      </c>
      <c r="G722" t="n">
        <v>1.3</v>
      </c>
      <c r="H722" t="n">
        <v>0</v>
      </c>
      <c r="I722" t="n">
        <v>0</v>
      </c>
      <c r="J722" t="n">
        <v>0</v>
      </c>
      <c r="K722" t="n">
        <v>0</v>
      </c>
      <c r="L722" t="n">
        <v>0</v>
      </c>
      <c r="M722" t="n">
        <v>0</v>
      </c>
      <c r="N722" t="n">
        <v>0</v>
      </c>
      <c r="O722" t="n">
        <v>0</v>
      </c>
      <c r="P722" t="n">
        <v>0</v>
      </c>
      <c r="Q722" t="n">
        <v>0</v>
      </c>
      <c r="R722" s="2" t="inlineStr"/>
    </row>
    <row r="723" ht="15" customHeight="1">
      <c r="A723" t="inlineStr">
        <is>
          <t>A 5688-2023</t>
        </is>
      </c>
      <c r="B723" s="1" t="n">
        <v>44960.92371527778</v>
      </c>
      <c r="C723" s="1" t="n">
        <v>46033</v>
      </c>
      <c r="D723" t="inlineStr">
        <is>
          <t>NORRBOTTENS LÄN</t>
        </is>
      </c>
      <c r="E723" t="inlineStr">
        <is>
          <t>LULEÅ</t>
        </is>
      </c>
      <c r="G723" t="n">
        <v>5.9</v>
      </c>
      <c r="H723" t="n">
        <v>0</v>
      </c>
      <c r="I723" t="n">
        <v>0</v>
      </c>
      <c r="J723" t="n">
        <v>0</v>
      </c>
      <c r="K723" t="n">
        <v>0</v>
      </c>
      <c r="L723" t="n">
        <v>0</v>
      </c>
      <c r="M723" t="n">
        <v>0</v>
      </c>
      <c r="N723" t="n">
        <v>0</v>
      </c>
      <c r="O723" t="n">
        <v>0</v>
      </c>
      <c r="P723" t="n">
        <v>0</v>
      </c>
      <c r="Q723" t="n">
        <v>0</v>
      </c>
      <c r="R723" s="2" t="inlineStr"/>
    </row>
    <row r="724" ht="15" customHeight="1">
      <c r="A724" t="inlineStr">
        <is>
          <t>A 6269-2023</t>
        </is>
      </c>
      <c r="B724" s="1" t="n">
        <v>44960</v>
      </c>
      <c r="C724" s="1" t="n">
        <v>46033</v>
      </c>
      <c r="D724" t="inlineStr">
        <is>
          <t>NORRBOTTENS LÄN</t>
        </is>
      </c>
      <c r="E724" t="inlineStr">
        <is>
          <t>LULEÅ</t>
        </is>
      </c>
      <c r="G724" t="n">
        <v>2.6</v>
      </c>
      <c r="H724" t="n">
        <v>0</v>
      </c>
      <c r="I724" t="n">
        <v>0</v>
      </c>
      <c r="J724" t="n">
        <v>0</v>
      </c>
      <c r="K724" t="n">
        <v>0</v>
      </c>
      <c r="L724" t="n">
        <v>0</v>
      </c>
      <c r="M724" t="n">
        <v>0</v>
      </c>
      <c r="N724" t="n">
        <v>0</v>
      </c>
      <c r="O724" t="n">
        <v>0</v>
      </c>
      <c r="P724" t="n">
        <v>0</v>
      </c>
      <c r="Q724" t="n">
        <v>0</v>
      </c>
      <c r="R724" s="2" t="inlineStr"/>
    </row>
    <row r="725" ht="15" customHeight="1">
      <c r="A725" t="inlineStr">
        <is>
          <t>A 43765-2023</t>
        </is>
      </c>
      <c r="B725" s="1" t="n">
        <v>45187</v>
      </c>
      <c r="C725" s="1" t="n">
        <v>46033</v>
      </c>
      <c r="D725" t="inlineStr">
        <is>
          <t>NORRBOTTENS LÄN</t>
        </is>
      </c>
      <c r="E725" t="inlineStr">
        <is>
          <t>LULEÅ</t>
        </is>
      </c>
      <c r="G725" t="n">
        <v>13.7</v>
      </c>
      <c r="H725" t="n">
        <v>0</v>
      </c>
      <c r="I725" t="n">
        <v>0</v>
      </c>
      <c r="J725" t="n">
        <v>0</v>
      </c>
      <c r="K725" t="n">
        <v>0</v>
      </c>
      <c r="L725" t="n">
        <v>0</v>
      </c>
      <c r="M725" t="n">
        <v>0</v>
      </c>
      <c r="N725" t="n">
        <v>0</v>
      </c>
      <c r="O725" t="n">
        <v>0</v>
      </c>
      <c r="P725" t="n">
        <v>0</v>
      </c>
      <c r="Q725" t="n">
        <v>0</v>
      </c>
      <c r="R725" s="2" t="inlineStr"/>
    </row>
    <row r="726" ht="15" customHeight="1">
      <c r="A726" t="inlineStr">
        <is>
          <t>A 55747-2023</t>
        </is>
      </c>
      <c r="B726" s="1" t="n">
        <v>45232</v>
      </c>
      <c r="C726" s="1" t="n">
        <v>46033</v>
      </c>
      <c r="D726" t="inlineStr">
        <is>
          <t>NORRBOTTENS LÄN</t>
        </is>
      </c>
      <c r="E726" t="inlineStr">
        <is>
          <t>LULEÅ</t>
        </is>
      </c>
      <c r="G726" t="n">
        <v>1.1</v>
      </c>
      <c r="H726" t="n">
        <v>0</v>
      </c>
      <c r="I726" t="n">
        <v>0</v>
      </c>
      <c r="J726" t="n">
        <v>0</v>
      </c>
      <c r="K726" t="n">
        <v>0</v>
      </c>
      <c r="L726" t="n">
        <v>0</v>
      </c>
      <c r="M726" t="n">
        <v>0</v>
      </c>
      <c r="N726" t="n">
        <v>0</v>
      </c>
      <c r="O726" t="n">
        <v>0</v>
      </c>
      <c r="P726" t="n">
        <v>0</v>
      </c>
      <c r="Q726" t="n">
        <v>0</v>
      </c>
      <c r="R726" s="2" t="inlineStr"/>
    </row>
    <row r="727" ht="15" customHeight="1">
      <c r="A727" t="inlineStr">
        <is>
          <t>A 46547-2021</t>
        </is>
      </c>
      <c r="B727" s="1" t="n">
        <v>44445</v>
      </c>
      <c r="C727" s="1" t="n">
        <v>46033</v>
      </c>
      <c r="D727" t="inlineStr">
        <is>
          <t>NORRBOTTENS LÄN</t>
        </is>
      </c>
      <c r="E727" t="inlineStr">
        <is>
          <t>LULEÅ</t>
        </is>
      </c>
      <c r="G727" t="n">
        <v>1.7</v>
      </c>
      <c r="H727" t="n">
        <v>0</v>
      </c>
      <c r="I727" t="n">
        <v>0</v>
      </c>
      <c r="J727" t="n">
        <v>0</v>
      </c>
      <c r="K727" t="n">
        <v>0</v>
      </c>
      <c r="L727" t="n">
        <v>0</v>
      </c>
      <c r="M727" t="n">
        <v>0</v>
      </c>
      <c r="N727" t="n">
        <v>0</v>
      </c>
      <c r="O727" t="n">
        <v>0</v>
      </c>
      <c r="P727" t="n">
        <v>0</v>
      </c>
      <c r="Q727" t="n">
        <v>0</v>
      </c>
      <c r="R727" s="2" t="inlineStr"/>
    </row>
    <row r="728" ht="15" customHeight="1">
      <c r="A728" t="inlineStr">
        <is>
          <t>A 23884-2022</t>
        </is>
      </c>
      <c r="B728" s="1" t="n">
        <v>44722.57129629629</v>
      </c>
      <c r="C728" s="1" t="n">
        <v>46033</v>
      </c>
      <c r="D728" t="inlineStr">
        <is>
          <t>NORRBOTTENS LÄN</t>
        </is>
      </c>
      <c r="E728" t="inlineStr">
        <is>
          <t>LULEÅ</t>
        </is>
      </c>
      <c r="G728" t="n">
        <v>2.1</v>
      </c>
      <c r="H728" t="n">
        <v>0</v>
      </c>
      <c r="I728" t="n">
        <v>0</v>
      </c>
      <c r="J728" t="n">
        <v>0</v>
      </c>
      <c r="K728" t="n">
        <v>0</v>
      </c>
      <c r="L728" t="n">
        <v>0</v>
      </c>
      <c r="M728" t="n">
        <v>0</v>
      </c>
      <c r="N728" t="n">
        <v>0</v>
      </c>
      <c r="O728" t="n">
        <v>0</v>
      </c>
      <c r="P728" t="n">
        <v>0</v>
      </c>
      <c r="Q728" t="n">
        <v>0</v>
      </c>
      <c r="R728" s="2" t="inlineStr"/>
    </row>
    <row r="729" ht="15" customHeight="1">
      <c r="A729" t="inlineStr">
        <is>
          <t>A 52854-2022</t>
        </is>
      </c>
      <c r="B729" s="1" t="n">
        <v>44872</v>
      </c>
      <c r="C729" s="1" t="n">
        <v>46033</v>
      </c>
      <c r="D729" t="inlineStr">
        <is>
          <t>NORRBOTTENS LÄN</t>
        </is>
      </c>
      <c r="E729" t="inlineStr">
        <is>
          <t>LULEÅ</t>
        </is>
      </c>
      <c r="G729" t="n">
        <v>1.6</v>
      </c>
      <c r="H729" t="n">
        <v>0</v>
      </c>
      <c r="I729" t="n">
        <v>0</v>
      </c>
      <c r="J729" t="n">
        <v>0</v>
      </c>
      <c r="K729" t="n">
        <v>0</v>
      </c>
      <c r="L729" t="n">
        <v>0</v>
      </c>
      <c r="M729" t="n">
        <v>0</v>
      </c>
      <c r="N729" t="n">
        <v>0</v>
      </c>
      <c r="O729" t="n">
        <v>0</v>
      </c>
      <c r="P729" t="n">
        <v>0</v>
      </c>
      <c r="Q729" t="n">
        <v>0</v>
      </c>
      <c r="R729" s="2" t="inlineStr"/>
    </row>
    <row r="730" ht="15" customHeight="1">
      <c r="A730" t="inlineStr">
        <is>
          <t>A 10903-2023</t>
        </is>
      </c>
      <c r="B730" s="1" t="n">
        <v>44985</v>
      </c>
      <c r="C730" s="1" t="n">
        <v>46033</v>
      </c>
      <c r="D730" t="inlineStr">
        <is>
          <t>NORRBOTTENS LÄN</t>
        </is>
      </c>
      <c r="E730" t="inlineStr">
        <is>
          <t>LULEÅ</t>
        </is>
      </c>
      <c r="G730" t="n">
        <v>0.6</v>
      </c>
      <c r="H730" t="n">
        <v>0</v>
      </c>
      <c r="I730" t="n">
        <v>0</v>
      </c>
      <c r="J730" t="n">
        <v>0</v>
      </c>
      <c r="K730" t="n">
        <v>0</v>
      </c>
      <c r="L730" t="n">
        <v>0</v>
      </c>
      <c r="M730" t="n">
        <v>0</v>
      </c>
      <c r="N730" t="n">
        <v>0</v>
      </c>
      <c r="O730" t="n">
        <v>0</v>
      </c>
      <c r="P730" t="n">
        <v>0</v>
      </c>
      <c r="Q730" t="n">
        <v>0</v>
      </c>
      <c r="R730" s="2" t="inlineStr"/>
    </row>
    <row r="731" ht="15" customHeight="1">
      <c r="A731" t="inlineStr">
        <is>
          <t>A 6018-2021</t>
        </is>
      </c>
      <c r="B731" s="1" t="n">
        <v>44231.9415625</v>
      </c>
      <c r="C731" s="1" t="n">
        <v>46033</v>
      </c>
      <c r="D731" t="inlineStr">
        <is>
          <t>NORRBOTTENS LÄN</t>
        </is>
      </c>
      <c r="E731" t="inlineStr">
        <is>
          <t>LULEÅ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62701-2022</t>
        </is>
      </c>
      <c r="B732" s="1" t="n">
        <v>44917</v>
      </c>
      <c r="C732" s="1" t="n">
        <v>46033</v>
      </c>
      <c r="D732" t="inlineStr">
        <is>
          <t>NORRBOTTENS LÄN</t>
        </is>
      </c>
      <c r="E732" t="inlineStr">
        <is>
          <t>LULEÅ</t>
        </is>
      </c>
      <c r="G732" t="n">
        <v>0.5</v>
      </c>
      <c r="H732" t="n">
        <v>0</v>
      </c>
      <c r="I732" t="n">
        <v>0</v>
      </c>
      <c r="J732" t="n">
        <v>0</v>
      </c>
      <c r="K732" t="n">
        <v>0</v>
      </c>
      <c r="L732" t="n">
        <v>0</v>
      </c>
      <c r="M732" t="n">
        <v>0</v>
      </c>
      <c r="N732" t="n">
        <v>0</v>
      </c>
      <c r="O732" t="n">
        <v>0</v>
      </c>
      <c r="P732" t="n">
        <v>0</v>
      </c>
      <c r="Q732" t="n">
        <v>0</v>
      </c>
      <c r="R732" s="2" t="inlineStr"/>
    </row>
    <row r="733" ht="15" customHeight="1">
      <c r="A733" t="inlineStr">
        <is>
          <t>A 2748-2022</t>
        </is>
      </c>
      <c r="B733" s="1" t="n">
        <v>44580</v>
      </c>
      <c r="C733" s="1" t="n">
        <v>46033</v>
      </c>
      <c r="D733" t="inlineStr">
        <is>
          <t>NORRBOTTENS LÄN</t>
        </is>
      </c>
      <c r="E733" t="inlineStr">
        <is>
          <t>LULEÅ</t>
        </is>
      </c>
      <c r="G733" t="n">
        <v>4.7</v>
      </c>
      <c r="H733" t="n">
        <v>0</v>
      </c>
      <c r="I733" t="n">
        <v>0</v>
      </c>
      <c r="J733" t="n">
        <v>0</v>
      </c>
      <c r="K733" t="n">
        <v>0</v>
      </c>
      <c r="L733" t="n">
        <v>0</v>
      </c>
      <c r="M733" t="n">
        <v>0</v>
      </c>
      <c r="N733" t="n">
        <v>0</v>
      </c>
      <c r="O733" t="n">
        <v>0</v>
      </c>
      <c r="P733" t="n">
        <v>0</v>
      </c>
      <c r="Q733" t="n">
        <v>0</v>
      </c>
      <c r="R733" s="2" t="inlineStr"/>
    </row>
    <row r="734" ht="15" customHeight="1">
      <c r="A734" t="inlineStr">
        <is>
          <t>A 705-2025</t>
        </is>
      </c>
      <c r="B734" s="1" t="n">
        <v>45663</v>
      </c>
      <c r="C734" s="1" t="n">
        <v>46033</v>
      </c>
      <c r="D734" t="inlineStr">
        <is>
          <t>NORRBOTTENS LÄN</t>
        </is>
      </c>
      <c r="E734" t="inlineStr">
        <is>
          <t>LULEÅ</t>
        </is>
      </c>
      <c r="G734" t="n">
        <v>1.6</v>
      </c>
      <c r="H734" t="n">
        <v>0</v>
      </c>
      <c r="I734" t="n">
        <v>0</v>
      </c>
      <c r="J734" t="n">
        <v>0</v>
      </c>
      <c r="K734" t="n">
        <v>0</v>
      </c>
      <c r="L734" t="n">
        <v>0</v>
      </c>
      <c r="M734" t="n">
        <v>0</v>
      </c>
      <c r="N734" t="n">
        <v>0</v>
      </c>
      <c r="O734" t="n">
        <v>0</v>
      </c>
      <c r="P734" t="n">
        <v>0</v>
      </c>
      <c r="Q734" t="n">
        <v>0</v>
      </c>
      <c r="R734" s="2" t="inlineStr"/>
    </row>
    <row r="735" ht="15" customHeight="1">
      <c r="A735" t="inlineStr">
        <is>
          <t>A 2208-2024</t>
        </is>
      </c>
      <c r="B735" s="1" t="n">
        <v>45309</v>
      </c>
      <c r="C735" s="1" t="n">
        <v>46033</v>
      </c>
      <c r="D735" t="inlineStr">
        <is>
          <t>NORRBOTTENS LÄN</t>
        </is>
      </c>
      <c r="E735" t="inlineStr">
        <is>
          <t>LULEÅ</t>
        </is>
      </c>
      <c r="G735" t="n">
        <v>1</v>
      </c>
      <c r="H735" t="n">
        <v>0</v>
      </c>
      <c r="I735" t="n">
        <v>0</v>
      </c>
      <c r="J735" t="n">
        <v>0</v>
      </c>
      <c r="K735" t="n">
        <v>0</v>
      </c>
      <c r="L735" t="n">
        <v>0</v>
      </c>
      <c r="M735" t="n">
        <v>0</v>
      </c>
      <c r="N735" t="n">
        <v>0</v>
      </c>
      <c r="O735" t="n">
        <v>0</v>
      </c>
      <c r="P735" t="n">
        <v>0</v>
      </c>
      <c r="Q735" t="n">
        <v>0</v>
      </c>
      <c r="R735" s="2" t="inlineStr"/>
    </row>
    <row r="736" ht="15" customHeight="1">
      <c r="A736" t="inlineStr">
        <is>
          <t>A 29537-2023</t>
        </is>
      </c>
      <c r="B736" s="1" t="n">
        <v>45098</v>
      </c>
      <c r="C736" s="1" t="n">
        <v>46033</v>
      </c>
      <c r="D736" t="inlineStr">
        <is>
          <t>NORRBOTTENS LÄN</t>
        </is>
      </c>
      <c r="E736" t="inlineStr">
        <is>
          <t>LULEÅ</t>
        </is>
      </c>
      <c r="G736" t="n">
        <v>0.3</v>
      </c>
      <c r="H736" t="n">
        <v>0</v>
      </c>
      <c r="I736" t="n">
        <v>0</v>
      </c>
      <c r="J736" t="n">
        <v>0</v>
      </c>
      <c r="K736" t="n">
        <v>0</v>
      </c>
      <c r="L736" t="n">
        <v>0</v>
      </c>
      <c r="M736" t="n">
        <v>0</v>
      </c>
      <c r="N736" t="n">
        <v>0</v>
      </c>
      <c r="O736" t="n">
        <v>0</v>
      </c>
      <c r="P736" t="n">
        <v>0</v>
      </c>
      <c r="Q736" t="n">
        <v>0</v>
      </c>
      <c r="R736" s="2" t="inlineStr"/>
    </row>
    <row r="737" ht="15" customHeight="1">
      <c r="A737" t="inlineStr">
        <is>
          <t>A 49018-2023</t>
        </is>
      </c>
      <c r="B737" s="1" t="n">
        <v>45204</v>
      </c>
      <c r="C737" s="1" t="n">
        <v>46033</v>
      </c>
      <c r="D737" t="inlineStr">
        <is>
          <t>NORRBOTTENS LÄN</t>
        </is>
      </c>
      <c r="E737" t="inlineStr">
        <is>
          <t>LULEÅ</t>
        </is>
      </c>
      <c r="G737" t="n">
        <v>2.8</v>
      </c>
      <c r="H737" t="n">
        <v>0</v>
      </c>
      <c r="I737" t="n">
        <v>0</v>
      </c>
      <c r="J737" t="n">
        <v>0</v>
      </c>
      <c r="K737" t="n">
        <v>0</v>
      </c>
      <c r="L737" t="n">
        <v>0</v>
      </c>
      <c r="M737" t="n">
        <v>0</v>
      </c>
      <c r="N737" t="n">
        <v>0</v>
      </c>
      <c r="O737" t="n">
        <v>0</v>
      </c>
      <c r="P737" t="n">
        <v>0</v>
      </c>
      <c r="Q737" t="n">
        <v>0</v>
      </c>
      <c r="R737" s="2" t="inlineStr"/>
    </row>
    <row r="738" ht="15" customHeight="1">
      <c r="A738" t="inlineStr">
        <is>
          <t>A 59682-2023</t>
        </is>
      </c>
      <c r="B738" s="1" t="n">
        <v>45255</v>
      </c>
      <c r="C738" s="1" t="n">
        <v>46033</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35158-2024</t>
        </is>
      </c>
      <c r="B739" s="1" t="n">
        <v>45530.39005787037</v>
      </c>
      <c r="C739" s="1" t="n">
        <v>46033</v>
      </c>
      <c r="D739" t="inlineStr">
        <is>
          <t>NORRBOTTENS LÄN</t>
        </is>
      </c>
      <c r="E739" t="inlineStr">
        <is>
          <t>LULEÅ</t>
        </is>
      </c>
      <c r="G739" t="n">
        <v>2.1</v>
      </c>
      <c r="H739" t="n">
        <v>0</v>
      </c>
      <c r="I739" t="n">
        <v>0</v>
      </c>
      <c r="J739" t="n">
        <v>0</v>
      </c>
      <c r="K739" t="n">
        <v>0</v>
      </c>
      <c r="L739" t="n">
        <v>0</v>
      </c>
      <c r="M739" t="n">
        <v>0</v>
      </c>
      <c r="N739" t="n">
        <v>0</v>
      </c>
      <c r="O739" t="n">
        <v>0</v>
      </c>
      <c r="P739" t="n">
        <v>0</v>
      </c>
      <c r="Q739" t="n">
        <v>0</v>
      </c>
      <c r="R739" s="2" t="inlineStr"/>
    </row>
    <row r="740" ht="15" customHeight="1">
      <c r="A740" t="inlineStr">
        <is>
          <t>A 17020-2024</t>
        </is>
      </c>
      <c r="B740" s="1" t="n">
        <v>45411</v>
      </c>
      <c r="C740" s="1" t="n">
        <v>46033</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17031-2024</t>
        </is>
      </c>
      <c r="B741" s="1" t="n">
        <v>45411</v>
      </c>
      <c r="C741" s="1" t="n">
        <v>46033</v>
      </c>
      <c r="D741" t="inlineStr">
        <is>
          <t>NORRBOTTENS LÄN</t>
        </is>
      </c>
      <c r="E741" t="inlineStr">
        <is>
          <t>LULEÅ</t>
        </is>
      </c>
      <c r="G741" t="n">
        <v>4.6</v>
      </c>
      <c r="H741" t="n">
        <v>0</v>
      </c>
      <c r="I741" t="n">
        <v>0</v>
      </c>
      <c r="J741" t="n">
        <v>0</v>
      </c>
      <c r="K741" t="n">
        <v>0</v>
      </c>
      <c r="L741" t="n">
        <v>0</v>
      </c>
      <c r="M741" t="n">
        <v>0</v>
      </c>
      <c r="N741" t="n">
        <v>0</v>
      </c>
      <c r="O741" t="n">
        <v>0</v>
      </c>
      <c r="P741" t="n">
        <v>0</v>
      </c>
      <c r="Q741" t="n">
        <v>0</v>
      </c>
      <c r="R741" s="2" t="inlineStr"/>
    </row>
    <row r="742" ht="15" customHeight="1">
      <c r="A742" t="inlineStr">
        <is>
          <t>A 40899-2024</t>
        </is>
      </c>
      <c r="B742" s="1" t="n">
        <v>45558.62070601852</v>
      </c>
      <c r="C742" s="1" t="n">
        <v>46033</v>
      </c>
      <c r="D742" t="inlineStr">
        <is>
          <t>NORRBOTTENS LÄN</t>
        </is>
      </c>
      <c r="E742" t="inlineStr">
        <is>
          <t>LULEÅ</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31347-2023</t>
        </is>
      </c>
      <c r="B743" s="1" t="n">
        <v>45104</v>
      </c>
      <c r="C743" s="1" t="n">
        <v>46033</v>
      </c>
      <c r="D743" t="inlineStr">
        <is>
          <t>NORRBOTTENS LÄN</t>
        </is>
      </c>
      <c r="E743" t="inlineStr">
        <is>
          <t>LULEÅ</t>
        </is>
      </c>
      <c r="G743" t="n">
        <v>1.4</v>
      </c>
      <c r="H743" t="n">
        <v>0</v>
      </c>
      <c r="I743" t="n">
        <v>0</v>
      </c>
      <c r="J743" t="n">
        <v>0</v>
      </c>
      <c r="K743" t="n">
        <v>0</v>
      </c>
      <c r="L743" t="n">
        <v>0</v>
      </c>
      <c r="M743" t="n">
        <v>0</v>
      </c>
      <c r="N743" t="n">
        <v>0</v>
      </c>
      <c r="O743" t="n">
        <v>0</v>
      </c>
      <c r="P743" t="n">
        <v>0</v>
      </c>
      <c r="Q743" t="n">
        <v>0</v>
      </c>
      <c r="R743" s="2" t="inlineStr"/>
    </row>
    <row r="744" ht="15" customHeight="1">
      <c r="A744" t="inlineStr">
        <is>
          <t>A 11242-2021</t>
        </is>
      </c>
      <c r="B744" s="1" t="n">
        <v>44263.39423611111</v>
      </c>
      <c r="C744" s="1" t="n">
        <v>46033</v>
      </c>
      <c r="D744" t="inlineStr">
        <is>
          <t>NORRBOTTENS LÄN</t>
        </is>
      </c>
      <c r="E744" t="inlineStr">
        <is>
          <t>LULEÅ</t>
        </is>
      </c>
      <c r="G744" t="n">
        <v>1</v>
      </c>
      <c r="H744" t="n">
        <v>0</v>
      </c>
      <c r="I744" t="n">
        <v>0</v>
      </c>
      <c r="J744" t="n">
        <v>0</v>
      </c>
      <c r="K744" t="n">
        <v>0</v>
      </c>
      <c r="L744" t="n">
        <v>0</v>
      </c>
      <c r="M744" t="n">
        <v>0</v>
      </c>
      <c r="N744" t="n">
        <v>0</v>
      </c>
      <c r="O744" t="n">
        <v>0</v>
      </c>
      <c r="P744" t="n">
        <v>0</v>
      </c>
      <c r="Q744" t="n">
        <v>0</v>
      </c>
      <c r="R744" s="2" t="inlineStr"/>
    </row>
    <row r="745" ht="15" customHeight="1">
      <c r="A745" t="inlineStr">
        <is>
          <t>A 4123-2024</t>
        </is>
      </c>
      <c r="B745" s="1" t="n">
        <v>45323</v>
      </c>
      <c r="C745" s="1" t="n">
        <v>46033</v>
      </c>
      <c r="D745" t="inlineStr">
        <is>
          <t>NORRBOTTENS LÄN</t>
        </is>
      </c>
      <c r="E745" t="inlineStr">
        <is>
          <t>LULEÅ</t>
        </is>
      </c>
      <c r="G745" t="n">
        <v>5.3</v>
      </c>
      <c r="H745" t="n">
        <v>0</v>
      </c>
      <c r="I745" t="n">
        <v>0</v>
      </c>
      <c r="J745" t="n">
        <v>0</v>
      </c>
      <c r="K745" t="n">
        <v>0</v>
      </c>
      <c r="L745" t="n">
        <v>0</v>
      </c>
      <c r="M745" t="n">
        <v>0</v>
      </c>
      <c r="N745" t="n">
        <v>0</v>
      </c>
      <c r="O745" t="n">
        <v>0</v>
      </c>
      <c r="P745" t="n">
        <v>0</v>
      </c>
      <c r="Q745" t="n">
        <v>0</v>
      </c>
      <c r="R745" s="2" t="inlineStr"/>
    </row>
    <row r="746" ht="15" customHeight="1">
      <c r="A746" t="inlineStr">
        <is>
          <t>A 57815-2022</t>
        </is>
      </c>
      <c r="B746" s="1" t="n">
        <v>44897.92459490741</v>
      </c>
      <c r="C746" s="1" t="n">
        <v>46033</v>
      </c>
      <c r="D746" t="inlineStr">
        <is>
          <t>NORRBOTTENS LÄN</t>
        </is>
      </c>
      <c r="E746" t="inlineStr">
        <is>
          <t>LULEÅ</t>
        </is>
      </c>
      <c r="G746" t="n">
        <v>2.4</v>
      </c>
      <c r="H746" t="n">
        <v>0</v>
      </c>
      <c r="I746" t="n">
        <v>0</v>
      </c>
      <c r="J746" t="n">
        <v>0</v>
      </c>
      <c r="K746" t="n">
        <v>0</v>
      </c>
      <c r="L746" t="n">
        <v>0</v>
      </c>
      <c r="M746" t="n">
        <v>0</v>
      </c>
      <c r="N746" t="n">
        <v>0</v>
      </c>
      <c r="O746" t="n">
        <v>0</v>
      </c>
      <c r="P746" t="n">
        <v>0</v>
      </c>
      <c r="Q746" t="n">
        <v>0</v>
      </c>
      <c r="R746" s="2" t="inlineStr"/>
    </row>
    <row r="747" ht="15" customHeight="1">
      <c r="A747" t="inlineStr">
        <is>
          <t>A 17425-2023</t>
        </is>
      </c>
      <c r="B747" s="1" t="n">
        <v>45035</v>
      </c>
      <c r="C747" s="1" t="n">
        <v>46033</v>
      </c>
      <c r="D747" t="inlineStr">
        <is>
          <t>NORRBOTTENS LÄN</t>
        </is>
      </c>
      <c r="E747" t="inlineStr">
        <is>
          <t>LULEÅ</t>
        </is>
      </c>
      <c r="G747" t="n">
        <v>2.7</v>
      </c>
      <c r="H747" t="n">
        <v>0</v>
      </c>
      <c r="I747" t="n">
        <v>0</v>
      </c>
      <c r="J747" t="n">
        <v>0</v>
      </c>
      <c r="K747" t="n">
        <v>0</v>
      </c>
      <c r="L747" t="n">
        <v>0</v>
      </c>
      <c r="M747" t="n">
        <v>0</v>
      </c>
      <c r="N747" t="n">
        <v>0</v>
      </c>
      <c r="O747" t="n">
        <v>0</v>
      </c>
      <c r="P747" t="n">
        <v>0</v>
      </c>
      <c r="Q747" t="n">
        <v>0</v>
      </c>
      <c r="R747" s="2" t="inlineStr"/>
    </row>
    <row r="748" ht="15" customHeight="1">
      <c r="A748" t="inlineStr">
        <is>
          <t>A 6986-2025</t>
        </is>
      </c>
      <c r="B748" s="1" t="n">
        <v>45701</v>
      </c>
      <c r="C748" s="1" t="n">
        <v>46033</v>
      </c>
      <c r="D748" t="inlineStr">
        <is>
          <t>NORRBOTTENS LÄN</t>
        </is>
      </c>
      <c r="E748" t="inlineStr">
        <is>
          <t>LULEÅ</t>
        </is>
      </c>
      <c r="G748" t="n">
        <v>2</v>
      </c>
      <c r="H748" t="n">
        <v>0</v>
      </c>
      <c r="I748" t="n">
        <v>0</v>
      </c>
      <c r="J748" t="n">
        <v>0</v>
      </c>
      <c r="K748" t="n">
        <v>0</v>
      </c>
      <c r="L748" t="n">
        <v>0</v>
      </c>
      <c r="M748" t="n">
        <v>0</v>
      </c>
      <c r="N748" t="n">
        <v>0</v>
      </c>
      <c r="O748" t="n">
        <v>0</v>
      </c>
      <c r="P748" t="n">
        <v>0</v>
      </c>
      <c r="Q748" t="n">
        <v>0</v>
      </c>
      <c r="R748" s="2" t="inlineStr"/>
    </row>
    <row r="749" ht="15" customHeight="1">
      <c r="A749" t="inlineStr">
        <is>
          <t>A 54769-2024</t>
        </is>
      </c>
      <c r="B749" s="1" t="n">
        <v>45618.47244212963</v>
      </c>
      <c r="C749" s="1" t="n">
        <v>46033</v>
      </c>
      <c r="D749" t="inlineStr">
        <is>
          <t>NORRBOTTENS LÄN</t>
        </is>
      </c>
      <c r="E749" t="inlineStr">
        <is>
          <t>LULEÅ</t>
        </is>
      </c>
      <c r="G749" t="n">
        <v>8.4</v>
      </c>
      <c r="H749" t="n">
        <v>0</v>
      </c>
      <c r="I749" t="n">
        <v>0</v>
      </c>
      <c r="J749" t="n">
        <v>0</v>
      </c>
      <c r="K749" t="n">
        <v>0</v>
      </c>
      <c r="L749" t="n">
        <v>0</v>
      </c>
      <c r="M749" t="n">
        <v>0</v>
      </c>
      <c r="N749" t="n">
        <v>0</v>
      </c>
      <c r="O749" t="n">
        <v>0</v>
      </c>
      <c r="P749" t="n">
        <v>0</v>
      </c>
      <c r="Q749" t="n">
        <v>0</v>
      </c>
      <c r="R749" s="2" t="inlineStr"/>
    </row>
    <row r="750" ht="15" customHeight="1">
      <c r="A750" t="inlineStr">
        <is>
          <t>A 4558-2024</t>
        </is>
      </c>
      <c r="B750" s="1" t="n">
        <v>45327</v>
      </c>
      <c r="C750" s="1" t="n">
        <v>46033</v>
      </c>
      <c r="D750" t="inlineStr">
        <is>
          <t>NORRBOTTENS LÄN</t>
        </is>
      </c>
      <c r="E750" t="inlineStr">
        <is>
          <t>LULEÅ</t>
        </is>
      </c>
      <c r="G750" t="n">
        <v>2.4</v>
      </c>
      <c r="H750" t="n">
        <v>0</v>
      </c>
      <c r="I750" t="n">
        <v>0</v>
      </c>
      <c r="J750" t="n">
        <v>0</v>
      </c>
      <c r="K750" t="n">
        <v>0</v>
      </c>
      <c r="L750" t="n">
        <v>0</v>
      </c>
      <c r="M750" t="n">
        <v>0</v>
      </c>
      <c r="N750" t="n">
        <v>0</v>
      </c>
      <c r="O750" t="n">
        <v>0</v>
      </c>
      <c r="P750" t="n">
        <v>0</v>
      </c>
      <c r="Q750" t="n">
        <v>0</v>
      </c>
      <c r="R750" s="2" t="inlineStr"/>
    </row>
    <row r="751" ht="15" customHeight="1">
      <c r="A751" t="inlineStr">
        <is>
          <t>A 31039-2024</t>
        </is>
      </c>
      <c r="B751" s="1" t="n">
        <v>45501.91951388889</v>
      </c>
      <c r="C751" s="1" t="n">
        <v>46033</v>
      </c>
      <c r="D751" t="inlineStr">
        <is>
          <t>NORRBOTTENS LÄN</t>
        </is>
      </c>
      <c r="E751" t="inlineStr">
        <is>
          <t>LULEÅ</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700-2025</t>
        </is>
      </c>
      <c r="B752" s="1" t="n">
        <v>45663</v>
      </c>
      <c r="C752" s="1" t="n">
        <v>46033</v>
      </c>
      <c r="D752" t="inlineStr">
        <is>
          <t>NORRBOTTENS LÄN</t>
        </is>
      </c>
      <c r="E752" t="inlineStr">
        <is>
          <t>LULEÅ</t>
        </is>
      </c>
      <c r="G752" t="n">
        <v>0.8</v>
      </c>
      <c r="H752" t="n">
        <v>0</v>
      </c>
      <c r="I752" t="n">
        <v>0</v>
      </c>
      <c r="J752" t="n">
        <v>0</v>
      </c>
      <c r="K752" t="n">
        <v>0</v>
      </c>
      <c r="L752" t="n">
        <v>0</v>
      </c>
      <c r="M752" t="n">
        <v>0</v>
      </c>
      <c r="N752" t="n">
        <v>0</v>
      </c>
      <c r="O752" t="n">
        <v>0</v>
      </c>
      <c r="P752" t="n">
        <v>0</v>
      </c>
      <c r="Q752" t="n">
        <v>0</v>
      </c>
      <c r="R752" s="2" t="inlineStr"/>
    </row>
    <row r="753" ht="15" customHeight="1">
      <c r="A753" t="inlineStr">
        <is>
          <t>A 10377-2025</t>
        </is>
      </c>
      <c r="B753" s="1" t="n">
        <v>45720.5630787037</v>
      </c>
      <c r="C753" s="1" t="n">
        <v>46033</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16052-2025</t>
        </is>
      </c>
      <c r="B754" s="1" t="n">
        <v>45749.64261574074</v>
      </c>
      <c r="C754" s="1" t="n">
        <v>46033</v>
      </c>
      <c r="D754" t="inlineStr">
        <is>
          <t>NORRBOTTENS LÄN</t>
        </is>
      </c>
      <c r="E754" t="inlineStr">
        <is>
          <t>LULEÅ</t>
        </is>
      </c>
      <c r="G754" t="n">
        <v>4.3</v>
      </c>
      <c r="H754" t="n">
        <v>0</v>
      </c>
      <c r="I754" t="n">
        <v>0</v>
      </c>
      <c r="J754" t="n">
        <v>0</v>
      </c>
      <c r="K754" t="n">
        <v>0</v>
      </c>
      <c r="L754" t="n">
        <v>0</v>
      </c>
      <c r="M754" t="n">
        <v>0</v>
      </c>
      <c r="N754" t="n">
        <v>0</v>
      </c>
      <c r="O754" t="n">
        <v>0</v>
      </c>
      <c r="P754" t="n">
        <v>0</v>
      </c>
      <c r="Q754" t="n">
        <v>0</v>
      </c>
      <c r="R754" s="2" t="inlineStr"/>
    </row>
    <row r="755" ht="15" customHeight="1">
      <c r="A755" t="inlineStr">
        <is>
          <t>A 49746-2022</t>
        </is>
      </c>
      <c r="B755" s="1" t="n">
        <v>44859</v>
      </c>
      <c r="C755" s="1" t="n">
        <v>46033</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8521-2022</t>
        </is>
      </c>
      <c r="B756" s="1" t="n">
        <v>44610</v>
      </c>
      <c r="C756" s="1" t="n">
        <v>46033</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45392.92930555555</v>
      </c>
      <c r="C757" s="1" t="n">
        <v>46033</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54879-2021</t>
        </is>
      </c>
      <c r="B758" s="1" t="n">
        <v>44473</v>
      </c>
      <c r="C758" s="1" t="n">
        <v>46033</v>
      </c>
      <c r="D758" t="inlineStr">
        <is>
          <t>NORRBOTTENS LÄN</t>
        </is>
      </c>
      <c r="E758" t="inlineStr">
        <is>
          <t>LULEÅ</t>
        </is>
      </c>
      <c r="G758" t="n">
        <v>1.2</v>
      </c>
      <c r="H758" t="n">
        <v>0</v>
      </c>
      <c r="I758" t="n">
        <v>0</v>
      </c>
      <c r="J758" t="n">
        <v>0</v>
      </c>
      <c r="K758" t="n">
        <v>0</v>
      </c>
      <c r="L758" t="n">
        <v>0</v>
      </c>
      <c r="M758" t="n">
        <v>0</v>
      </c>
      <c r="N758" t="n">
        <v>0</v>
      </c>
      <c r="O758" t="n">
        <v>0</v>
      </c>
      <c r="P758" t="n">
        <v>0</v>
      </c>
      <c r="Q758" t="n">
        <v>0</v>
      </c>
      <c r="R758" s="2" t="inlineStr"/>
    </row>
    <row r="759" ht="15" customHeight="1">
      <c r="A759" t="inlineStr">
        <is>
          <t>A 57816-2022</t>
        </is>
      </c>
      <c r="B759" s="1" t="n">
        <v>44897.92487268519</v>
      </c>
      <c r="C759" s="1" t="n">
        <v>46033</v>
      </c>
      <c r="D759" t="inlineStr">
        <is>
          <t>NORRBOTTENS LÄN</t>
        </is>
      </c>
      <c r="E759" t="inlineStr">
        <is>
          <t>LULEÅ</t>
        </is>
      </c>
      <c r="G759" t="n">
        <v>3.4</v>
      </c>
      <c r="H759" t="n">
        <v>0</v>
      </c>
      <c r="I759" t="n">
        <v>0</v>
      </c>
      <c r="J759" t="n">
        <v>0</v>
      </c>
      <c r="K759" t="n">
        <v>0</v>
      </c>
      <c r="L759" t="n">
        <v>0</v>
      </c>
      <c r="M759" t="n">
        <v>0</v>
      </c>
      <c r="N759" t="n">
        <v>0</v>
      </c>
      <c r="O759" t="n">
        <v>0</v>
      </c>
      <c r="P759" t="n">
        <v>0</v>
      </c>
      <c r="Q759" t="n">
        <v>0</v>
      </c>
      <c r="R759" s="2" t="inlineStr"/>
    </row>
    <row r="760" ht="15" customHeight="1">
      <c r="A760" t="inlineStr">
        <is>
          <t>A 7390-2023</t>
        </is>
      </c>
      <c r="B760" s="1" t="n">
        <v>44966</v>
      </c>
      <c r="C760" s="1" t="n">
        <v>46033</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12552-2024</t>
        </is>
      </c>
      <c r="B761" s="1" t="n">
        <v>45379</v>
      </c>
      <c r="C761" s="1" t="n">
        <v>46033</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8903-2025</t>
        </is>
      </c>
      <c r="B762" s="1" t="n">
        <v>45712</v>
      </c>
      <c r="C762" s="1" t="n">
        <v>46033</v>
      </c>
      <c r="D762" t="inlineStr">
        <is>
          <t>NORRBOTTENS LÄN</t>
        </is>
      </c>
      <c r="E762" t="inlineStr">
        <is>
          <t>LULEÅ</t>
        </is>
      </c>
      <c r="G762" t="n">
        <v>1.8</v>
      </c>
      <c r="H762" t="n">
        <v>0</v>
      </c>
      <c r="I762" t="n">
        <v>0</v>
      </c>
      <c r="J762" t="n">
        <v>0</v>
      </c>
      <c r="K762" t="n">
        <v>0</v>
      </c>
      <c r="L762" t="n">
        <v>0</v>
      </c>
      <c r="M762" t="n">
        <v>0</v>
      </c>
      <c r="N762" t="n">
        <v>0</v>
      </c>
      <c r="O762" t="n">
        <v>0</v>
      </c>
      <c r="P762" t="n">
        <v>0</v>
      </c>
      <c r="Q762" t="n">
        <v>0</v>
      </c>
      <c r="R762" s="2" t="inlineStr"/>
    </row>
    <row r="763" ht="15" customHeight="1">
      <c r="A763" t="inlineStr">
        <is>
          <t>A 14803-2023</t>
        </is>
      </c>
      <c r="B763" s="1" t="n">
        <v>45013</v>
      </c>
      <c r="C763" s="1" t="n">
        <v>46033</v>
      </c>
      <c r="D763" t="inlineStr">
        <is>
          <t>NORRBOTTENS LÄN</t>
        </is>
      </c>
      <c r="E763" t="inlineStr">
        <is>
          <t>LULEÅ</t>
        </is>
      </c>
      <c r="G763" t="n">
        <v>2.3</v>
      </c>
      <c r="H763" t="n">
        <v>0</v>
      </c>
      <c r="I763" t="n">
        <v>0</v>
      </c>
      <c r="J763" t="n">
        <v>0</v>
      </c>
      <c r="K763" t="n">
        <v>0</v>
      </c>
      <c r="L763" t="n">
        <v>0</v>
      </c>
      <c r="M763" t="n">
        <v>0</v>
      </c>
      <c r="N763" t="n">
        <v>0</v>
      </c>
      <c r="O763" t="n">
        <v>0</v>
      </c>
      <c r="P763" t="n">
        <v>0</v>
      </c>
      <c r="Q763" t="n">
        <v>0</v>
      </c>
      <c r="R763" s="2" t="inlineStr"/>
    </row>
    <row r="764" ht="15" customHeight="1">
      <c r="A764" t="inlineStr">
        <is>
          <t>A 2659-2025</t>
        </is>
      </c>
      <c r="B764" s="1" t="n">
        <v>45676.8134375</v>
      </c>
      <c r="C764" s="1" t="n">
        <v>46033</v>
      </c>
      <c r="D764" t="inlineStr">
        <is>
          <t>NORRBOTTENS LÄN</t>
        </is>
      </c>
      <c r="E764" t="inlineStr">
        <is>
          <t>LULEÅ</t>
        </is>
      </c>
      <c r="G764" t="n">
        <v>1.2</v>
      </c>
      <c r="H764" t="n">
        <v>0</v>
      </c>
      <c r="I764" t="n">
        <v>0</v>
      </c>
      <c r="J764" t="n">
        <v>0</v>
      </c>
      <c r="K764" t="n">
        <v>0</v>
      </c>
      <c r="L764" t="n">
        <v>0</v>
      </c>
      <c r="M764" t="n">
        <v>0</v>
      </c>
      <c r="N764" t="n">
        <v>0</v>
      </c>
      <c r="O764" t="n">
        <v>0</v>
      </c>
      <c r="P764" t="n">
        <v>0</v>
      </c>
      <c r="Q764" t="n">
        <v>0</v>
      </c>
      <c r="R764" s="2" t="inlineStr"/>
    </row>
    <row r="765" ht="15" customHeight="1">
      <c r="A765" t="inlineStr">
        <is>
          <t>A 8928-2025</t>
        </is>
      </c>
      <c r="B765" s="1" t="n">
        <v>45712</v>
      </c>
      <c r="C765" s="1" t="n">
        <v>46033</v>
      </c>
      <c r="D765" t="inlineStr">
        <is>
          <t>NORRBOTTENS LÄN</t>
        </is>
      </c>
      <c r="E765" t="inlineStr">
        <is>
          <t>LULEÅ</t>
        </is>
      </c>
      <c r="G765" t="n">
        <v>3.3</v>
      </c>
      <c r="H765" t="n">
        <v>0</v>
      </c>
      <c r="I765" t="n">
        <v>0</v>
      </c>
      <c r="J765" t="n">
        <v>0</v>
      </c>
      <c r="K765" t="n">
        <v>0</v>
      </c>
      <c r="L765" t="n">
        <v>0</v>
      </c>
      <c r="M765" t="n">
        <v>0</v>
      </c>
      <c r="N765" t="n">
        <v>0</v>
      </c>
      <c r="O765" t="n">
        <v>0</v>
      </c>
      <c r="P765" t="n">
        <v>0</v>
      </c>
      <c r="Q765" t="n">
        <v>0</v>
      </c>
      <c r="R765" s="2" t="inlineStr"/>
    </row>
    <row r="766" ht="15" customHeight="1">
      <c r="A766" t="inlineStr">
        <is>
          <t>A 61942-2024</t>
        </is>
      </c>
      <c r="B766" s="1" t="n">
        <v>45653.48405092592</v>
      </c>
      <c r="C766" s="1" t="n">
        <v>46033</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11845-2025</t>
        </is>
      </c>
      <c r="B767" s="1" t="n">
        <v>45727</v>
      </c>
      <c r="C767" s="1" t="n">
        <v>46033</v>
      </c>
      <c r="D767" t="inlineStr">
        <is>
          <t>NORRBOTTENS LÄN</t>
        </is>
      </c>
      <c r="E767" t="inlineStr">
        <is>
          <t>LULEÅ</t>
        </is>
      </c>
      <c r="G767" t="n">
        <v>9.6</v>
      </c>
      <c r="H767" t="n">
        <v>0</v>
      </c>
      <c r="I767" t="n">
        <v>0</v>
      </c>
      <c r="J767" t="n">
        <v>0</v>
      </c>
      <c r="K767" t="n">
        <v>0</v>
      </c>
      <c r="L767" t="n">
        <v>0</v>
      </c>
      <c r="M767" t="n">
        <v>0</v>
      </c>
      <c r="N767" t="n">
        <v>0</v>
      </c>
      <c r="O767" t="n">
        <v>0</v>
      </c>
      <c r="P767" t="n">
        <v>0</v>
      </c>
      <c r="Q767" t="n">
        <v>0</v>
      </c>
      <c r="R767" s="2" t="inlineStr"/>
    </row>
    <row r="768" ht="15" customHeight="1">
      <c r="A768" t="inlineStr">
        <is>
          <t>A 4771-2024</t>
        </is>
      </c>
      <c r="B768" s="1" t="n">
        <v>45328</v>
      </c>
      <c r="C768" s="1" t="n">
        <v>46033</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21597-2024</t>
        </is>
      </c>
      <c r="B769" s="1" t="n">
        <v>45441.9291087963</v>
      </c>
      <c r="C769" s="1" t="n">
        <v>46033</v>
      </c>
      <c r="D769" t="inlineStr">
        <is>
          <t>NORRBOTTENS LÄN</t>
        </is>
      </c>
      <c r="E769" t="inlineStr">
        <is>
          <t>LULEÅ</t>
        </is>
      </c>
      <c r="G769" t="n">
        <v>3.7</v>
      </c>
      <c r="H769" t="n">
        <v>0</v>
      </c>
      <c r="I769" t="n">
        <v>0</v>
      </c>
      <c r="J769" t="n">
        <v>0</v>
      </c>
      <c r="K769" t="n">
        <v>0</v>
      </c>
      <c r="L769" t="n">
        <v>0</v>
      </c>
      <c r="M769" t="n">
        <v>0</v>
      </c>
      <c r="N769" t="n">
        <v>0</v>
      </c>
      <c r="O769" t="n">
        <v>0</v>
      </c>
      <c r="P769" t="n">
        <v>0</v>
      </c>
      <c r="Q769" t="n">
        <v>0</v>
      </c>
      <c r="R769" s="2" t="inlineStr"/>
    </row>
    <row r="770" ht="15" customHeight="1">
      <c r="A770" t="inlineStr">
        <is>
          <t>A 59656-2024</t>
        </is>
      </c>
      <c r="B770" s="1" t="n">
        <v>45639</v>
      </c>
      <c r="C770" s="1" t="n">
        <v>46033</v>
      </c>
      <c r="D770" t="inlineStr">
        <is>
          <t>NORRBOTTENS LÄN</t>
        </is>
      </c>
      <c r="E770" t="inlineStr">
        <is>
          <t>LULEÅ</t>
        </is>
      </c>
      <c r="G770" t="n">
        <v>4.3</v>
      </c>
      <c r="H770" t="n">
        <v>0</v>
      </c>
      <c r="I770" t="n">
        <v>0</v>
      </c>
      <c r="J770" t="n">
        <v>0</v>
      </c>
      <c r="K770" t="n">
        <v>0</v>
      </c>
      <c r="L770" t="n">
        <v>0</v>
      </c>
      <c r="M770" t="n">
        <v>0</v>
      </c>
      <c r="N770" t="n">
        <v>0</v>
      </c>
      <c r="O770" t="n">
        <v>0</v>
      </c>
      <c r="P770" t="n">
        <v>0</v>
      </c>
      <c r="Q770" t="n">
        <v>0</v>
      </c>
      <c r="R770" s="2" t="inlineStr"/>
    </row>
    <row r="771" ht="15" customHeight="1">
      <c r="A771" t="inlineStr">
        <is>
          <t>A 20340-2023</t>
        </is>
      </c>
      <c r="B771" s="1" t="n">
        <v>45054</v>
      </c>
      <c r="C771" s="1" t="n">
        <v>46033</v>
      </c>
      <c r="D771" t="inlineStr">
        <is>
          <t>NORRBOTTENS LÄN</t>
        </is>
      </c>
      <c r="E771" t="inlineStr">
        <is>
          <t>LULEÅ</t>
        </is>
      </c>
      <c r="G771" t="n">
        <v>65</v>
      </c>
      <c r="H771" t="n">
        <v>0</v>
      </c>
      <c r="I771" t="n">
        <v>0</v>
      </c>
      <c r="J771" t="n">
        <v>0</v>
      </c>
      <c r="K771" t="n">
        <v>0</v>
      </c>
      <c r="L771" t="n">
        <v>0</v>
      </c>
      <c r="M771" t="n">
        <v>0</v>
      </c>
      <c r="N771" t="n">
        <v>0</v>
      </c>
      <c r="O771" t="n">
        <v>0</v>
      </c>
      <c r="P771" t="n">
        <v>0</v>
      </c>
      <c r="Q771" t="n">
        <v>0</v>
      </c>
      <c r="R771" s="2" t="inlineStr"/>
    </row>
    <row r="772" ht="15" customHeight="1">
      <c r="A772" t="inlineStr">
        <is>
          <t>A 45940-2021</t>
        </is>
      </c>
      <c r="B772" s="1" t="n">
        <v>44441</v>
      </c>
      <c r="C772" s="1" t="n">
        <v>46033</v>
      </c>
      <c r="D772" t="inlineStr">
        <is>
          <t>NORRBOTTENS LÄN</t>
        </is>
      </c>
      <c r="E772" t="inlineStr">
        <is>
          <t>LULEÅ</t>
        </is>
      </c>
      <c r="G772" t="n">
        <v>15.2</v>
      </c>
      <c r="H772" t="n">
        <v>0</v>
      </c>
      <c r="I772" t="n">
        <v>0</v>
      </c>
      <c r="J772" t="n">
        <v>0</v>
      </c>
      <c r="K772" t="n">
        <v>0</v>
      </c>
      <c r="L772" t="n">
        <v>0</v>
      </c>
      <c r="M772" t="n">
        <v>0</v>
      </c>
      <c r="N772" t="n">
        <v>0</v>
      </c>
      <c r="O772" t="n">
        <v>0</v>
      </c>
      <c r="P772" t="n">
        <v>0</v>
      </c>
      <c r="Q772" t="n">
        <v>0</v>
      </c>
      <c r="R772" s="2" t="inlineStr"/>
    </row>
    <row r="773" ht="15" customHeight="1">
      <c r="A773" t="inlineStr">
        <is>
          <t>A 57115-2024</t>
        </is>
      </c>
      <c r="B773" s="1" t="n">
        <v>45629.36509259259</v>
      </c>
      <c r="C773" s="1" t="n">
        <v>46033</v>
      </c>
      <c r="D773" t="inlineStr">
        <is>
          <t>NORRBOTTENS LÄN</t>
        </is>
      </c>
      <c r="E773" t="inlineStr">
        <is>
          <t>LULEÅ</t>
        </is>
      </c>
      <c r="G773" t="n">
        <v>10.4</v>
      </c>
      <c r="H773" t="n">
        <v>0</v>
      </c>
      <c r="I773" t="n">
        <v>0</v>
      </c>
      <c r="J773" t="n">
        <v>0</v>
      </c>
      <c r="K773" t="n">
        <v>0</v>
      </c>
      <c r="L773" t="n">
        <v>0</v>
      </c>
      <c r="M773" t="n">
        <v>0</v>
      </c>
      <c r="N773" t="n">
        <v>0</v>
      </c>
      <c r="O773" t="n">
        <v>0</v>
      </c>
      <c r="P773" t="n">
        <v>0</v>
      </c>
      <c r="Q773" t="n">
        <v>0</v>
      </c>
      <c r="R773" s="2" t="inlineStr"/>
    </row>
    <row r="774" ht="15" customHeight="1">
      <c r="A774" t="inlineStr">
        <is>
          <t>A 11853-2025</t>
        </is>
      </c>
      <c r="B774" s="1" t="n">
        <v>45727</v>
      </c>
      <c r="C774" s="1" t="n">
        <v>46033</v>
      </c>
      <c r="D774" t="inlineStr">
        <is>
          <t>NORRBOTTENS LÄN</t>
        </is>
      </c>
      <c r="E774" t="inlineStr">
        <is>
          <t>LULEÅ</t>
        </is>
      </c>
      <c r="G774" t="n">
        <v>6</v>
      </c>
      <c r="H774" t="n">
        <v>0</v>
      </c>
      <c r="I774" t="n">
        <v>0</v>
      </c>
      <c r="J774" t="n">
        <v>0</v>
      </c>
      <c r="K774" t="n">
        <v>0</v>
      </c>
      <c r="L774" t="n">
        <v>0</v>
      </c>
      <c r="M774" t="n">
        <v>0</v>
      </c>
      <c r="N774" t="n">
        <v>0</v>
      </c>
      <c r="O774" t="n">
        <v>0</v>
      </c>
      <c r="P774" t="n">
        <v>0</v>
      </c>
      <c r="Q774" t="n">
        <v>0</v>
      </c>
      <c r="R774" s="2" t="inlineStr"/>
    </row>
    <row r="775" ht="15" customHeight="1">
      <c r="A775" t="inlineStr">
        <is>
          <t>A 12323-2023</t>
        </is>
      </c>
      <c r="B775" s="1" t="n">
        <v>44995</v>
      </c>
      <c r="C775" s="1" t="n">
        <v>46033</v>
      </c>
      <c r="D775" t="inlineStr">
        <is>
          <t>NORRBOTTENS LÄN</t>
        </is>
      </c>
      <c r="E775" t="inlineStr">
        <is>
          <t>LULEÅ</t>
        </is>
      </c>
      <c r="G775" t="n">
        <v>1</v>
      </c>
      <c r="H775" t="n">
        <v>0</v>
      </c>
      <c r="I775" t="n">
        <v>0</v>
      </c>
      <c r="J775" t="n">
        <v>0</v>
      </c>
      <c r="K775" t="n">
        <v>0</v>
      </c>
      <c r="L775" t="n">
        <v>0</v>
      </c>
      <c r="M775" t="n">
        <v>0</v>
      </c>
      <c r="N775" t="n">
        <v>0</v>
      </c>
      <c r="O775" t="n">
        <v>0</v>
      </c>
      <c r="P775" t="n">
        <v>0</v>
      </c>
      <c r="Q775" t="n">
        <v>0</v>
      </c>
      <c r="R775" s="2" t="inlineStr"/>
    </row>
    <row r="776" ht="15" customHeight="1">
      <c r="A776" t="inlineStr">
        <is>
          <t>A 5342-2025</t>
        </is>
      </c>
      <c r="B776" s="1" t="n">
        <v>45692.55262731481</v>
      </c>
      <c r="C776" s="1" t="n">
        <v>46033</v>
      </c>
      <c r="D776" t="inlineStr">
        <is>
          <t>NORRBOTTENS LÄN</t>
        </is>
      </c>
      <c r="E776" t="inlineStr">
        <is>
          <t>LULEÅ</t>
        </is>
      </c>
      <c r="G776" t="n">
        <v>2.3</v>
      </c>
      <c r="H776" t="n">
        <v>0</v>
      </c>
      <c r="I776" t="n">
        <v>0</v>
      </c>
      <c r="J776" t="n">
        <v>0</v>
      </c>
      <c r="K776" t="n">
        <v>0</v>
      </c>
      <c r="L776" t="n">
        <v>0</v>
      </c>
      <c r="M776" t="n">
        <v>0</v>
      </c>
      <c r="N776" t="n">
        <v>0</v>
      </c>
      <c r="O776" t="n">
        <v>0</v>
      </c>
      <c r="P776" t="n">
        <v>0</v>
      </c>
      <c r="Q776" t="n">
        <v>0</v>
      </c>
      <c r="R776" s="2" t="inlineStr"/>
    </row>
    <row r="777">
      <c r="A777" t="inlineStr">
        <is>
          <t>A 24979-2024</t>
        </is>
      </c>
      <c r="B777" s="1" t="n">
        <v>45461</v>
      </c>
      <c r="C777" s="1" t="n">
        <v>46033</v>
      </c>
      <c r="D777" t="inlineStr">
        <is>
          <t>NORRBOTTENS LÄN</t>
        </is>
      </c>
      <c r="E777" t="inlineStr">
        <is>
          <t>LULEÅ</t>
        </is>
      </c>
      <c r="G777" t="n">
        <v>16.3</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2026-01-11T10:51:11Z</dcterms:created>
  <dcterms:modified xmlns:dcterms="http://purl.org/dc/terms/" xmlns:xsi="http://www.w3.org/2001/XMLSchema-instance" xsi:type="dcterms:W3CDTF">2026-01-11T10:51:12Z</dcterms:modified>
</cp:coreProperties>
</file>