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46131</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46131</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46131</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46131</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46131</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5924-2026</t>
        </is>
      </c>
      <c r="B11" s="1" t="n">
        <v>46052</v>
      </c>
      <c r="C11" s="1" t="n">
        <v>46131</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11851-2024</t>
        </is>
      </c>
      <c r="B12" s="1" t="n">
        <v>45376</v>
      </c>
      <c r="C12" s="1" t="n">
        <v>46131</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46131</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46131</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46131</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46131</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46131</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46131</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46131</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46131</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46131</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46131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46131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46131</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29381-2025</t>
        </is>
      </c>
      <c r="B25" s="1" t="n">
        <v>45824.59027777778</v>
      </c>
      <c r="C25" s="1" t="n">
        <v>46131</v>
      </c>
      <c r="D25" t="inlineStr">
        <is>
          <t>NORRBOTTENS LÄN</t>
        </is>
      </c>
      <c r="E25" t="inlineStr">
        <is>
          <t>LULEÅ</t>
        </is>
      </c>
      <c r="G25" t="n">
        <v>1.5</v>
      </c>
      <c r="H25" t="n">
        <v>2</v>
      </c>
      <c r="I25" t="n">
        <v>0</v>
      </c>
      <c r="J25" t="n">
        <v>1</v>
      </c>
      <c r="K25" t="n">
        <v>0</v>
      </c>
      <c r="L25" t="n">
        <v>0</v>
      </c>
      <c r="M25" t="n">
        <v>0</v>
      </c>
      <c r="N25" t="n">
        <v>0</v>
      </c>
      <c r="O25" t="n">
        <v>1</v>
      </c>
      <c r="P25" t="n">
        <v>0</v>
      </c>
      <c r="Q25" t="n">
        <v>2</v>
      </c>
      <c r="R25" s="2" t="inlineStr">
        <is>
          <t>Havsörn
Bivråk</t>
        </is>
      </c>
      <c r="S25">
        <f>HYPERLINK("https://klasma.github.io/Logging_2580/artfynd/A 29381-2025 artfynd.xlsx", "A 29381-2025")</f>
        <v/>
      </c>
      <c r="T25">
        <f>HYPERLINK("https://klasma.github.io/Logging_2580/kartor/A 29381-2025 karta.png", "A 29381-2025")</f>
        <v/>
      </c>
      <c r="V25">
        <f>HYPERLINK("https://klasma.github.io/Logging_2580/klagomål/A 29381-2025 FSC-klagomål.docx", "A 29381-2025")</f>
        <v/>
      </c>
      <c r="W25">
        <f>HYPERLINK("https://klasma.github.io/Logging_2580/klagomålsmail/A 29381-2025 FSC-klagomål mail.docx", "A 29381-2025")</f>
        <v/>
      </c>
      <c r="X25">
        <f>HYPERLINK("https://klasma.github.io/Logging_2580/tillsyn/A 29381-2025 tillsynsbegäran.docx", "A 29381-2025")</f>
        <v/>
      </c>
      <c r="Y25">
        <f>HYPERLINK("https://klasma.github.io/Logging_2580/tillsynsmail/A 29381-2025 tillsynsbegäran mail.docx", "A 29381-2025")</f>
        <v/>
      </c>
      <c r="Z25">
        <f>HYPERLINK("https://klasma.github.io/Logging_2580/fåglar/A 29381-2025 prioriterade fågelarter.docx", "A 29381-2025")</f>
        <v/>
      </c>
    </row>
    <row r="26" ht="15" customHeight="1">
      <c r="A26" t="inlineStr">
        <is>
          <t>A 49421-2025</t>
        </is>
      </c>
      <c r="B26" s="1" t="n">
        <v>45938.72043981482</v>
      </c>
      <c r="C26" s="1" t="n">
        <v>46131</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46131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55908-2023</t>
        </is>
      </c>
      <c r="B28" s="1" t="n">
        <v>45239</v>
      </c>
      <c r="C28" s="1" t="n">
        <v>46131</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14221-2026</t>
        </is>
      </c>
      <c r="B29" s="1" t="n">
        <v>46099.57332175926</v>
      </c>
      <c r="C29" s="1" t="n">
        <v>46131</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46131</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46131</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46131</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46131</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46131</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46131</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46131</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52680-2025</t>
        </is>
      </c>
      <c r="B37" s="1" t="n">
        <v>45956.34488425926</v>
      </c>
      <c r="C37" s="1" t="n">
        <v>46131</v>
      </c>
      <c r="D37" t="inlineStr">
        <is>
          <t>NORRBOTTENS LÄN</t>
        </is>
      </c>
      <c r="E37" t="inlineStr">
        <is>
          <t>LULEÅ</t>
        </is>
      </c>
      <c r="F37" t="inlineStr">
        <is>
          <t>SCA</t>
        </is>
      </c>
      <c r="G37" t="n">
        <v>1.8</v>
      </c>
      <c r="H37" t="n">
        <v>1</v>
      </c>
      <c r="I37" t="n">
        <v>0</v>
      </c>
      <c r="J37" t="n">
        <v>0</v>
      </c>
      <c r="K37" t="n">
        <v>0</v>
      </c>
      <c r="L37" t="n">
        <v>0</v>
      </c>
      <c r="M37" t="n">
        <v>0</v>
      </c>
      <c r="N37" t="n">
        <v>0</v>
      </c>
      <c r="O37" t="n">
        <v>0</v>
      </c>
      <c r="P37" t="n">
        <v>0</v>
      </c>
      <c r="Q37" t="n">
        <v>1</v>
      </c>
      <c r="R37" s="2" t="inlineStr">
        <is>
          <t>Fläcknycklar</t>
        </is>
      </c>
      <c r="S37">
        <f>HYPERLINK("https://klasma.github.io/Logging_2580/artfynd/A 52680-2025 artfynd.xlsx", "A 52680-2025")</f>
        <v/>
      </c>
      <c r="T37">
        <f>HYPERLINK("https://klasma.github.io/Logging_2580/kartor/A 52680-2025 karta.png", "A 52680-2025")</f>
        <v/>
      </c>
      <c r="V37">
        <f>HYPERLINK("https://klasma.github.io/Logging_2580/klagomål/A 52680-2025 FSC-klagomål.docx", "A 52680-2025")</f>
        <v/>
      </c>
      <c r="W37">
        <f>HYPERLINK("https://klasma.github.io/Logging_2580/klagomålsmail/A 52680-2025 FSC-klagomål mail.docx", "A 52680-2025")</f>
        <v/>
      </c>
      <c r="X37">
        <f>HYPERLINK("https://klasma.github.io/Logging_2580/tillsyn/A 52680-2025 tillsynsbegäran.docx", "A 52680-2025")</f>
        <v/>
      </c>
      <c r="Y37">
        <f>HYPERLINK("https://klasma.github.io/Logging_2580/tillsynsmail/A 52680-2025 tillsynsbegäran mail.docx", "A 52680-2025")</f>
        <v/>
      </c>
    </row>
    <row r="38" ht="15" customHeight="1">
      <c r="A38" t="inlineStr">
        <is>
          <t>A 38333-2024</t>
        </is>
      </c>
      <c r="B38" s="1" t="n">
        <v>45545</v>
      </c>
      <c r="C38" s="1" t="n">
        <v>46131</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52681-2025</t>
        </is>
      </c>
      <c r="B39" s="1" t="n">
        <v>45956.34490740741</v>
      </c>
      <c r="C39" s="1" t="n">
        <v>46131</v>
      </c>
      <c r="D39" t="inlineStr">
        <is>
          <t>NORRBOTTENS LÄN</t>
        </is>
      </c>
      <c r="E39" t="inlineStr">
        <is>
          <t>LULEÅ</t>
        </is>
      </c>
      <c r="F39" t="inlineStr">
        <is>
          <t>SCA</t>
        </is>
      </c>
      <c r="G39" t="n">
        <v>0.7</v>
      </c>
      <c r="H39" t="n">
        <v>1</v>
      </c>
      <c r="I39" t="n">
        <v>0</v>
      </c>
      <c r="J39" t="n">
        <v>0</v>
      </c>
      <c r="K39" t="n">
        <v>0</v>
      </c>
      <c r="L39" t="n">
        <v>0</v>
      </c>
      <c r="M39" t="n">
        <v>0</v>
      </c>
      <c r="N39" t="n">
        <v>0</v>
      </c>
      <c r="O39" t="n">
        <v>0</v>
      </c>
      <c r="P39" t="n">
        <v>0</v>
      </c>
      <c r="Q39" t="n">
        <v>1</v>
      </c>
      <c r="R39" s="2" t="inlineStr">
        <is>
          <t>Fläcknycklar</t>
        </is>
      </c>
      <c r="S39">
        <f>HYPERLINK("https://klasma.github.io/Logging_2580/artfynd/A 52681-2025 artfynd.xlsx", "A 52681-2025")</f>
        <v/>
      </c>
      <c r="T39">
        <f>HYPERLINK("https://klasma.github.io/Logging_2580/kartor/A 52681-2025 karta.png", "A 52681-2025")</f>
        <v/>
      </c>
      <c r="V39">
        <f>HYPERLINK("https://klasma.github.io/Logging_2580/klagomål/A 52681-2025 FSC-klagomål.docx", "A 52681-2025")</f>
        <v/>
      </c>
      <c r="W39">
        <f>HYPERLINK("https://klasma.github.io/Logging_2580/klagomålsmail/A 52681-2025 FSC-klagomål mail.docx", "A 52681-2025")</f>
        <v/>
      </c>
      <c r="X39">
        <f>HYPERLINK("https://klasma.github.io/Logging_2580/tillsyn/A 52681-2025 tillsynsbegäran.docx", "A 52681-2025")</f>
        <v/>
      </c>
      <c r="Y39">
        <f>HYPERLINK("https://klasma.github.io/Logging_2580/tillsynsmail/A 52681-2025 tillsynsbegäran mail.docx", "A 52681-2025")</f>
        <v/>
      </c>
    </row>
    <row r="40" ht="15" customHeight="1">
      <c r="A40" t="inlineStr">
        <is>
          <t>A 60585-2024</t>
        </is>
      </c>
      <c r="B40" s="1" t="n">
        <v>45644</v>
      </c>
      <c r="C40" s="1" t="n">
        <v>46131</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43978-2025</t>
        </is>
      </c>
      <c r="B41" s="1" t="n">
        <v>45915</v>
      </c>
      <c r="C41" s="1" t="n">
        <v>46131</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46131</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31900-2025</t>
        </is>
      </c>
      <c r="B43" s="1" t="n">
        <v>45834</v>
      </c>
      <c r="C43" s="1" t="n">
        <v>46131</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4561-2023</t>
        </is>
      </c>
      <c r="B44" s="1" t="n">
        <v>44951</v>
      </c>
      <c r="C44" s="1" t="n">
        <v>46131</v>
      </c>
      <c r="D44" t="inlineStr">
        <is>
          <t>NORRBOTTENS LÄN</t>
        </is>
      </c>
      <c r="E44" t="inlineStr">
        <is>
          <t>LULEÅ</t>
        </is>
      </c>
      <c r="G44" t="n">
        <v>4.1</v>
      </c>
      <c r="H44" t="n">
        <v>1</v>
      </c>
      <c r="I44" t="n">
        <v>0</v>
      </c>
      <c r="J44" t="n">
        <v>0</v>
      </c>
      <c r="K44" t="n">
        <v>1</v>
      </c>
      <c r="L44" t="n">
        <v>0</v>
      </c>
      <c r="M44" t="n">
        <v>0</v>
      </c>
      <c r="N44" t="n">
        <v>0</v>
      </c>
      <c r="O44" t="n">
        <v>1</v>
      </c>
      <c r="P44" t="n">
        <v>1</v>
      </c>
      <c r="Q44" t="n">
        <v>1</v>
      </c>
      <c r="R44" s="2" t="inlineStr">
        <is>
          <t>Topplåsbräken</t>
        </is>
      </c>
      <c r="S44">
        <f>HYPERLINK("https://klasma.github.io/Logging_2580/artfynd/A 4561-2023 artfynd.xlsx", "A 4561-2023")</f>
        <v/>
      </c>
      <c r="T44">
        <f>HYPERLINK("https://klasma.github.io/Logging_2580/kartor/A 4561-2023 karta.png", "A 4561-2023")</f>
        <v/>
      </c>
      <c r="V44">
        <f>HYPERLINK("https://klasma.github.io/Logging_2580/klagomål/A 4561-2023 FSC-klagomål.docx", "A 4561-2023")</f>
        <v/>
      </c>
      <c r="W44">
        <f>HYPERLINK("https://klasma.github.io/Logging_2580/klagomålsmail/A 4561-2023 FSC-klagomål mail.docx", "A 4561-2023")</f>
        <v/>
      </c>
      <c r="X44">
        <f>HYPERLINK("https://klasma.github.io/Logging_2580/tillsyn/A 4561-2023 tillsynsbegäran.docx", "A 4561-2023")</f>
        <v/>
      </c>
      <c r="Y44">
        <f>HYPERLINK("https://klasma.github.io/Logging_2580/tillsynsmail/A 4561-2023 tillsynsbegäran mail.docx", "A 4561-2023")</f>
        <v/>
      </c>
    </row>
    <row r="45" ht="15" customHeight="1">
      <c r="A45" t="inlineStr">
        <is>
          <t>A 32148-2025</t>
        </is>
      </c>
      <c r="B45" s="1" t="n">
        <v>45835.52969907408</v>
      </c>
      <c r="C45" s="1" t="n">
        <v>46131</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46131</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59395-2024</t>
        </is>
      </c>
      <c r="B47" s="1" t="n">
        <v>45638</v>
      </c>
      <c r="C47" s="1" t="n">
        <v>46131</v>
      </c>
      <c r="D47" t="inlineStr">
        <is>
          <t>NORRBOTTENS LÄN</t>
        </is>
      </c>
      <c r="E47" t="inlineStr">
        <is>
          <t>LULEÅ</t>
        </is>
      </c>
      <c r="F47" t="inlineStr">
        <is>
          <t>Sveaskog</t>
        </is>
      </c>
      <c r="G47" t="n">
        <v>18.3</v>
      </c>
      <c r="H47" t="n">
        <v>0</v>
      </c>
      <c r="I47" t="n">
        <v>1</v>
      </c>
      <c r="J47" t="n">
        <v>0</v>
      </c>
      <c r="K47" t="n">
        <v>0</v>
      </c>
      <c r="L47" t="n">
        <v>0</v>
      </c>
      <c r="M47" t="n">
        <v>0</v>
      </c>
      <c r="N47" t="n">
        <v>0</v>
      </c>
      <c r="O47" t="n">
        <v>0</v>
      </c>
      <c r="P47" t="n">
        <v>0</v>
      </c>
      <c r="Q47" t="n">
        <v>1</v>
      </c>
      <c r="R47" s="2" t="inlineStr">
        <is>
          <t>Stuplav</t>
        </is>
      </c>
      <c r="S47">
        <f>HYPERLINK("https://klasma.github.io/Logging_2580/artfynd/A 59395-2024 artfynd.xlsx", "A 59395-2024")</f>
        <v/>
      </c>
      <c r="T47">
        <f>HYPERLINK("https://klasma.github.io/Logging_2580/kartor/A 59395-2024 karta.png", "A 59395-2024")</f>
        <v/>
      </c>
      <c r="V47">
        <f>HYPERLINK("https://klasma.github.io/Logging_2580/klagomål/A 59395-2024 FSC-klagomål.docx", "A 59395-2024")</f>
        <v/>
      </c>
      <c r="W47">
        <f>HYPERLINK("https://klasma.github.io/Logging_2580/klagomålsmail/A 59395-2024 FSC-klagomål mail.docx", "A 59395-2024")</f>
        <v/>
      </c>
      <c r="X47">
        <f>HYPERLINK("https://klasma.github.io/Logging_2580/tillsyn/A 59395-2024 tillsynsbegäran.docx", "A 59395-2024")</f>
        <v/>
      </c>
      <c r="Y47">
        <f>HYPERLINK("https://klasma.github.io/Logging_2580/tillsynsmail/A 59395-2024 tillsynsbegäran mail.docx", "A 59395-2024")</f>
        <v/>
      </c>
    </row>
    <row r="48" ht="15" customHeight="1">
      <c r="A48" t="inlineStr">
        <is>
          <t>A 11855-2025</t>
        </is>
      </c>
      <c r="B48" s="1" t="n">
        <v>45727</v>
      </c>
      <c r="C48" s="1" t="n">
        <v>46131</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62753-2025</t>
        </is>
      </c>
      <c r="B49" s="1" t="n">
        <v>46008.58657407408</v>
      </c>
      <c r="C49" s="1" t="n">
        <v>46131</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20340-2023</t>
        </is>
      </c>
      <c r="B50" s="1" t="n">
        <v>45054</v>
      </c>
      <c r="C50" s="1" t="n">
        <v>46131</v>
      </c>
      <c r="D50" t="inlineStr">
        <is>
          <t>NORRBOTTENS LÄN</t>
        </is>
      </c>
      <c r="E50" t="inlineStr">
        <is>
          <t>LULEÅ</t>
        </is>
      </c>
      <c r="G50" t="n">
        <v>65</v>
      </c>
      <c r="H50" t="n">
        <v>0</v>
      </c>
      <c r="I50" t="n">
        <v>0</v>
      </c>
      <c r="J50" t="n">
        <v>0</v>
      </c>
      <c r="K50" t="n">
        <v>1</v>
      </c>
      <c r="L50" t="n">
        <v>0</v>
      </c>
      <c r="M50" t="n">
        <v>0</v>
      </c>
      <c r="N50" t="n">
        <v>0</v>
      </c>
      <c r="O50" t="n">
        <v>1</v>
      </c>
      <c r="P50" t="n">
        <v>1</v>
      </c>
      <c r="Q50" t="n">
        <v>1</v>
      </c>
      <c r="R50" s="2" t="inlineStr">
        <is>
          <t>Borsttagging</t>
        </is>
      </c>
      <c r="S50">
        <f>HYPERLINK("https://klasma.github.io/Logging_2580/artfynd/A 20340-2023 artfynd.xlsx", "A 20340-2023")</f>
        <v/>
      </c>
      <c r="T50">
        <f>HYPERLINK("https://klasma.github.io/Logging_2580/kartor/A 20340-2023 karta.png", "A 20340-2023")</f>
        <v/>
      </c>
      <c r="V50">
        <f>HYPERLINK("https://klasma.github.io/Logging_2580/klagomål/A 20340-2023 FSC-klagomål.docx", "A 20340-2023")</f>
        <v/>
      </c>
      <c r="W50">
        <f>HYPERLINK("https://klasma.github.io/Logging_2580/klagomålsmail/A 20340-2023 FSC-klagomål mail.docx", "A 20340-2023")</f>
        <v/>
      </c>
      <c r="X50">
        <f>HYPERLINK("https://klasma.github.io/Logging_2580/tillsyn/A 20340-2023 tillsynsbegäran.docx", "A 20340-2023")</f>
        <v/>
      </c>
      <c r="Y50">
        <f>HYPERLINK("https://klasma.github.io/Logging_2580/tillsynsmail/A 20340-2023 tillsynsbegäran mail.docx", "A 20340-2023")</f>
        <v/>
      </c>
    </row>
    <row r="51" ht="15" customHeight="1">
      <c r="A51" t="inlineStr">
        <is>
          <t>A 216-2026</t>
        </is>
      </c>
      <c r="B51" s="1" t="n">
        <v>46026.65243055556</v>
      </c>
      <c r="C51" s="1" t="n">
        <v>46131</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60002-2024</t>
        </is>
      </c>
      <c r="B52" s="1" t="n">
        <v>45642.41423611111</v>
      </c>
      <c r="C52" s="1" t="n">
        <v>46131</v>
      </c>
      <c r="D52" t="inlineStr">
        <is>
          <t>NORRBOTTENS LÄN</t>
        </is>
      </c>
      <c r="E52" t="inlineStr">
        <is>
          <t>LULEÅ</t>
        </is>
      </c>
      <c r="G52" t="n">
        <v>5</v>
      </c>
      <c r="H52" t="n">
        <v>1</v>
      </c>
      <c r="I52" t="n">
        <v>0</v>
      </c>
      <c r="J52" t="n">
        <v>0</v>
      </c>
      <c r="K52" t="n">
        <v>0</v>
      </c>
      <c r="L52" t="n">
        <v>0</v>
      </c>
      <c r="M52" t="n">
        <v>0</v>
      </c>
      <c r="N52" t="n">
        <v>0</v>
      </c>
      <c r="O52" t="n">
        <v>0</v>
      </c>
      <c r="P52" t="n">
        <v>0</v>
      </c>
      <c r="Q52" t="n">
        <v>1</v>
      </c>
      <c r="R52" s="2" t="inlineStr">
        <is>
          <t>Fläcknycklar</t>
        </is>
      </c>
      <c r="S52">
        <f>HYPERLINK("https://klasma.github.io/Logging_2580/artfynd/A 60002-2024 artfynd.xlsx", "A 60002-2024")</f>
        <v/>
      </c>
      <c r="T52">
        <f>HYPERLINK("https://klasma.github.io/Logging_2580/kartor/A 60002-2024 karta.png", "A 60002-2024")</f>
        <v/>
      </c>
      <c r="V52">
        <f>HYPERLINK("https://klasma.github.io/Logging_2580/klagomål/A 60002-2024 FSC-klagomål.docx", "A 60002-2024")</f>
        <v/>
      </c>
      <c r="W52">
        <f>HYPERLINK("https://klasma.github.io/Logging_2580/klagomålsmail/A 60002-2024 FSC-klagomål mail.docx", "A 60002-2024")</f>
        <v/>
      </c>
      <c r="X52">
        <f>HYPERLINK("https://klasma.github.io/Logging_2580/tillsyn/A 60002-2024 tillsynsbegäran.docx", "A 60002-2024")</f>
        <v/>
      </c>
      <c r="Y52">
        <f>HYPERLINK("https://klasma.github.io/Logging_2580/tillsynsmail/A 60002-2024 tillsynsbegäran mail.docx", "A 60002-2024")</f>
        <v/>
      </c>
    </row>
    <row r="53" ht="15" customHeight="1">
      <c r="A53" t="inlineStr">
        <is>
          <t>A 51900-2025</t>
        </is>
      </c>
      <c r="B53" s="1" t="n">
        <v>45952</v>
      </c>
      <c r="C53" s="1" t="n">
        <v>46131</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2650-2026</t>
        </is>
      </c>
      <c r="B54" s="1" t="n">
        <v>46037.62674768519</v>
      </c>
      <c r="C54" s="1" t="n">
        <v>46131</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25528-2024</t>
        </is>
      </c>
      <c r="B55" s="1" t="n">
        <v>45463</v>
      </c>
      <c r="C55" s="1" t="n">
        <v>46131</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55720-2024</t>
        </is>
      </c>
      <c r="B56" s="1" t="n">
        <v>45622.7453125</v>
      </c>
      <c r="C56" s="1" t="n">
        <v>46131</v>
      </c>
      <c r="D56" t="inlineStr">
        <is>
          <t>NORRBOTTENS LÄN</t>
        </is>
      </c>
      <c r="E56" t="inlineStr">
        <is>
          <t>LULEÅ</t>
        </is>
      </c>
      <c r="G56" t="n">
        <v>11.6</v>
      </c>
      <c r="H56" t="n">
        <v>0</v>
      </c>
      <c r="I56" t="n">
        <v>0</v>
      </c>
      <c r="J56" t="n">
        <v>1</v>
      </c>
      <c r="K56" t="n">
        <v>0</v>
      </c>
      <c r="L56" t="n">
        <v>0</v>
      </c>
      <c r="M56" t="n">
        <v>0</v>
      </c>
      <c r="N56" t="n">
        <v>0</v>
      </c>
      <c r="O56" t="n">
        <v>1</v>
      </c>
      <c r="P56" t="n">
        <v>0</v>
      </c>
      <c r="Q56" t="n">
        <v>1</v>
      </c>
      <c r="R56" s="2" t="inlineStr">
        <is>
          <t>Igelkott</t>
        </is>
      </c>
      <c r="S56">
        <f>HYPERLINK("https://klasma.github.io/Logging_2580/artfynd/A 55720-2024 artfynd.xlsx", "A 55720-2024")</f>
        <v/>
      </c>
      <c r="T56">
        <f>HYPERLINK("https://klasma.github.io/Logging_2580/kartor/A 55720-2024 karta.png", "A 55720-2024")</f>
        <v/>
      </c>
      <c r="V56">
        <f>HYPERLINK("https://klasma.github.io/Logging_2580/klagomål/A 55720-2024 FSC-klagomål.docx", "A 55720-2024")</f>
        <v/>
      </c>
      <c r="W56">
        <f>HYPERLINK("https://klasma.github.io/Logging_2580/klagomålsmail/A 55720-2024 FSC-klagomål mail.docx", "A 55720-2024")</f>
        <v/>
      </c>
      <c r="X56">
        <f>HYPERLINK("https://klasma.github.io/Logging_2580/tillsyn/A 55720-2024 tillsynsbegäran.docx", "A 55720-2024")</f>
        <v/>
      </c>
      <c r="Y56">
        <f>HYPERLINK("https://klasma.github.io/Logging_2580/tillsynsmail/A 55720-2024 tillsynsbegäran mail.docx", "A 55720-2024")</f>
        <v/>
      </c>
    </row>
    <row r="57" ht="15" customHeight="1">
      <c r="A57" t="inlineStr">
        <is>
          <t>A 8990-2026</t>
        </is>
      </c>
      <c r="B57" s="1" t="n">
        <v>46069</v>
      </c>
      <c r="C57" s="1" t="n">
        <v>46131</v>
      </c>
      <c r="D57" t="inlineStr">
        <is>
          <t>NORRBOTTENS LÄN</t>
        </is>
      </c>
      <c r="E57" t="inlineStr">
        <is>
          <t>LULEÅ</t>
        </is>
      </c>
      <c r="G57" t="n">
        <v>30</v>
      </c>
      <c r="H57" t="n">
        <v>0</v>
      </c>
      <c r="I57" t="n">
        <v>0</v>
      </c>
      <c r="J57" t="n">
        <v>1</v>
      </c>
      <c r="K57" t="n">
        <v>0</v>
      </c>
      <c r="L57" t="n">
        <v>0</v>
      </c>
      <c r="M57" t="n">
        <v>0</v>
      </c>
      <c r="N57" t="n">
        <v>0</v>
      </c>
      <c r="O57" t="n">
        <v>1</v>
      </c>
      <c r="P57" t="n">
        <v>0</v>
      </c>
      <c r="Q57" t="n">
        <v>1</v>
      </c>
      <c r="R57" s="2" t="inlineStr">
        <is>
          <t>Blå taggsvamp</t>
        </is>
      </c>
      <c r="S57">
        <f>HYPERLINK("https://klasma.github.io/Logging_2580/artfynd/A 8990-2026 artfynd.xlsx", "A 8990-2026")</f>
        <v/>
      </c>
      <c r="T57">
        <f>HYPERLINK("https://klasma.github.io/Logging_2580/kartor/A 8990-2026 karta.png", "A 8990-2026")</f>
        <v/>
      </c>
      <c r="V57">
        <f>HYPERLINK("https://klasma.github.io/Logging_2580/klagomål/A 8990-2026 FSC-klagomål.docx", "A 8990-2026")</f>
        <v/>
      </c>
      <c r="W57">
        <f>HYPERLINK("https://klasma.github.io/Logging_2580/klagomålsmail/A 8990-2026 FSC-klagomål mail.docx", "A 8990-2026")</f>
        <v/>
      </c>
      <c r="X57">
        <f>HYPERLINK("https://klasma.github.io/Logging_2580/tillsyn/A 8990-2026 tillsynsbegäran.docx", "A 8990-2026")</f>
        <v/>
      </c>
      <c r="Y57">
        <f>HYPERLINK("https://klasma.github.io/Logging_2580/tillsynsmail/A 8990-2026 tillsynsbegäran mail.docx", "A 8990-2026")</f>
        <v/>
      </c>
    </row>
    <row r="58" ht="15" customHeight="1">
      <c r="A58" t="inlineStr">
        <is>
          <t>A 59466-2023</t>
        </is>
      </c>
      <c r="B58" s="1" t="n">
        <v>45254.4122337963</v>
      </c>
      <c r="C58" s="1" t="n">
        <v>46131</v>
      </c>
      <c r="D58" t="inlineStr">
        <is>
          <t>NORRBOTTENS LÄN</t>
        </is>
      </c>
      <c r="E58" t="inlineStr">
        <is>
          <t>LULEÅ</t>
        </is>
      </c>
      <c r="F58" t="inlineStr">
        <is>
          <t>Sveaskog</t>
        </is>
      </c>
      <c r="G58" t="n">
        <v>0.4</v>
      </c>
      <c r="H58" t="n">
        <v>0</v>
      </c>
      <c r="I58" t="n">
        <v>0</v>
      </c>
      <c r="J58" t="n">
        <v>1</v>
      </c>
      <c r="K58" t="n">
        <v>0</v>
      </c>
      <c r="L58" t="n">
        <v>0</v>
      </c>
      <c r="M58" t="n">
        <v>0</v>
      </c>
      <c r="N58" t="n">
        <v>0</v>
      </c>
      <c r="O58" t="n">
        <v>1</v>
      </c>
      <c r="P58" t="n">
        <v>0</v>
      </c>
      <c r="Q58" t="n">
        <v>1</v>
      </c>
      <c r="R58" s="2" t="inlineStr">
        <is>
          <t>Motaggsvamp</t>
        </is>
      </c>
      <c r="S58">
        <f>HYPERLINK("https://klasma.github.io/Logging_2580/artfynd/A 59466-2023 artfynd.xlsx", "A 59466-2023")</f>
        <v/>
      </c>
      <c r="T58">
        <f>HYPERLINK("https://klasma.github.io/Logging_2580/kartor/A 59466-2023 karta.png", "A 59466-2023")</f>
        <v/>
      </c>
      <c r="V58">
        <f>HYPERLINK("https://klasma.github.io/Logging_2580/klagomål/A 59466-2023 FSC-klagomål.docx", "A 59466-2023")</f>
        <v/>
      </c>
      <c r="W58">
        <f>HYPERLINK("https://klasma.github.io/Logging_2580/klagomålsmail/A 59466-2023 FSC-klagomål mail.docx", "A 59466-2023")</f>
        <v/>
      </c>
      <c r="X58">
        <f>HYPERLINK("https://klasma.github.io/Logging_2580/tillsyn/A 59466-2023 tillsynsbegäran.docx", "A 59466-2023")</f>
        <v/>
      </c>
      <c r="Y58">
        <f>HYPERLINK("https://klasma.github.io/Logging_2580/tillsynsmail/A 59466-2023 tillsynsbegäran mail.docx", "A 59466-2023")</f>
        <v/>
      </c>
    </row>
    <row r="59" ht="15" customHeight="1">
      <c r="A59" t="inlineStr">
        <is>
          <t>A 55734-2025</t>
        </is>
      </c>
      <c r="B59" s="1" t="n">
        <v>45972</v>
      </c>
      <c r="C59" s="1" t="n">
        <v>46131</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51641-2022</t>
        </is>
      </c>
      <c r="B60" s="1" t="n">
        <v>44867</v>
      </c>
      <c r="C60" s="1" t="n">
        <v>46131</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46131</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46131</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46131</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46131</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46131</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46131</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46131</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46131</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46131</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46131</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46131</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46131</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46131</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46131</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46131</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46131</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46131</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46131</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46131</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46131</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46131</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46131</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46131</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46131</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46131</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46131</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46131</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46131</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46131</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46131</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46131</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46131</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46131</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46131</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46131</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46131</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46131</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46131</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46131</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46131</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46131</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46131</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46131</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46131</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46131</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46131</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46131</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46131</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46131</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46131</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46131</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46131</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46131</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46131</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46131</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46131</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46131</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46131</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46131</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46131</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46131</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46131</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46131</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46131</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46131</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46131</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46131</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49742-2022</t>
        </is>
      </c>
      <c r="B132" s="1" t="n">
        <v>44859</v>
      </c>
      <c r="C132" s="1" t="n">
        <v>46131</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48412-2023</t>
        </is>
      </c>
      <c r="B133" s="1" t="n">
        <v>45205</v>
      </c>
      <c r="C133" s="1" t="n">
        <v>46131</v>
      </c>
      <c r="D133" t="inlineStr">
        <is>
          <t>NORRBOTTENS LÄN</t>
        </is>
      </c>
      <c r="E133" t="inlineStr">
        <is>
          <t>LULEÅ</t>
        </is>
      </c>
      <c r="G133" t="n">
        <v>45.8</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46131</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46131</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46131</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46131</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46131</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3693-2025</t>
        </is>
      </c>
      <c r="B139" s="1" t="n">
        <v>45681.46563657407</v>
      </c>
      <c r="C139" s="1" t="n">
        <v>46131</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55195-2022</t>
        </is>
      </c>
      <c r="B140" s="1" t="n">
        <v>44886</v>
      </c>
      <c r="C140" s="1" t="n">
        <v>46131</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51136-2025</t>
        </is>
      </c>
      <c r="B141" s="1" t="n">
        <v>45947.55820601852</v>
      </c>
      <c r="C141" s="1" t="n">
        <v>46131</v>
      </c>
      <c r="D141" t="inlineStr">
        <is>
          <t>NORRBOTTENS LÄN</t>
        </is>
      </c>
      <c r="E141" t="inlineStr">
        <is>
          <t>LULEÅ</t>
        </is>
      </c>
      <c r="G141" t="n">
        <v>3.3</v>
      </c>
      <c r="H141" t="n">
        <v>0</v>
      </c>
      <c r="I141" t="n">
        <v>0</v>
      </c>
      <c r="J141" t="n">
        <v>0</v>
      </c>
      <c r="K141" t="n">
        <v>0</v>
      </c>
      <c r="L141" t="n">
        <v>0</v>
      </c>
      <c r="M141" t="n">
        <v>0</v>
      </c>
      <c r="N141" t="n">
        <v>0</v>
      </c>
      <c r="O141" t="n">
        <v>0</v>
      </c>
      <c r="P141" t="n">
        <v>0</v>
      </c>
      <c r="Q141" t="n">
        <v>0</v>
      </c>
      <c r="R141" s="2" t="inlineStr"/>
    </row>
    <row r="142" ht="15" customHeight="1">
      <c r="A142" t="inlineStr">
        <is>
          <t>A 50988-2025</t>
        </is>
      </c>
      <c r="B142" s="1" t="n">
        <v>45947.34571759259</v>
      </c>
      <c r="C142" s="1" t="n">
        <v>46131</v>
      </c>
      <c r="D142" t="inlineStr">
        <is>
          <t>NORRBOTTENS LÄN</t>
        </is>
      </c>
      <c r="E142" t="inlineStr">
        <is>
          <t>LULEÅ</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13063-2024</t>
        </is>
      </c>
      <c r="B143" s="1" t="n">
        <v>45385</v>
      </c>
      <c r="C143" s="1" t="n">
        <v>46131</v>
      </c>
      <c r="D143" t="inlineStr">
        <is>
          <t>NORRBOTTENS LÄN</t>
        </is>
      </c>
      <c r="E143" t="inlineStr">
        <is>
          <t>LULEÅ</t>
        </is>
      </c>
      <c r="G143" t="n">
        <v>2.5</v>
      </c>
      <c r="H143" t="n">
        <v>0</v>
      </c>
      <c r="I143" t="n">
        <v>0</v>
      </c>
      <c r="J143" t="n">
        <v>0</v>
      </c>
      <c r="K143" t="n">
        <v>0</v>
      </c>
      <c r="L143" t="n">
        <v>0</v>
      </c>
      <c r="M143" t="n">
        <v>0</v>
      </c>
      <c r="N143" t="n">
        <v>0</v>
      </c>
      <c r="O143" t="n">
        <v>0</v>
      </c>
      <c r="P143" t="n">
        <v>0</v>
      </c>
      <c r="Q143" t="n">
        <v>0</v>
      </c>
      <c r="R143" s="2" t="inlineStr"/>
    </row>
    <row r="144" ht="15" customHeight="1">
      <c r="A144" t="inlineStr">
        <is>
          <t>A 13065-2024</t>
        </is>
      </c>
      <c r="B144" s="1" t="n">
        <v>45385</v>
      </c>
      <c r="C144" s="1" t="n">
        <v>46131</v>
      </c>
      <c r="D144" t="inlineStr">
        <is>
          <t>NORRBOTTENS LÄN</t>
        </is>
      </c>
      <c r="E144" t="inlineStr">
        <is>
          <t>LULEÅ</t>
        </is>
      </c>
      <c r="G144" t="n">
        <v>2.2</v>
      </c>
      <c r="H144" t="n">
        <v>0</v>
      </c>
      <c r="I144" t="n">
        <v>0</v>
      </c>
      <c r="J144" t="n">
        <v>0</v>
      </c>
      <c r="K144" t="n">
        <v>0</v>
      </c>
      <c r="L144" t="n">
        <v>0</v>
      </c>
      <c r="M144" t="n">
        <v>0</v>
      </c>
      <c r="N144" t="n">
        <v>0</v>
      </c>
      <c r="O144" t="n">
        <v>0</v>
      </c>
      <c r="P144" t="n">
        <v>0</v>
      </c>
      <c r="Q144" t="n">
        <v>0</v>
      </c>
      <c r="R144" s="2" t="inlineStr"/>
    </row>
    <row r="145" ht="15" customHeight="1">
      <c r="A145" t="inlineStr">
        <is>
          <t>A 19872-2024</t>
        </is>
      </c>
      <c r="B145" s="1" t="n">
        <v>45433.45890046296</v>
      </c>
      <c r="C145" s="1" t="n">
        <v>46131</v>
      </c>
      <c r="D145" t="inlineStr">
        <is>
          <t>NORRBOTTENS LÄN</t>
        </is>
      </c>
      <c r="E145" t="inlineStr">
        <is>
          <t>LULEÅ</t>
        </is>
      </c>
      <c r="G145" t="n">
        <v>3.3</v>
      </c>
      <c r="H145" t="n">
        <v>0</v>
      </c>
      <c r="I145" t="n">
        <v>0</v>
      </c>
      <c r="J145" t="n">
        <v>0</v>
      </c>
      <c r="K145" t="n">
        <v>0</v>
      </c>
      <c r="L145" t="n">
        <v>0</v>
      </c>
      <c r="M145" t="n">
        <v>0</v>
      </c>
      <c r="N145" t="n">
        <v>0</v>
      </c>
      <c r="O145" t="n">
        <v>0</v>
      </c>
      <c r="P145" t="n">
        <v>0</v>
      </c>
      <c r="Q145" t="n">
        <v>0</v>
      </c>
      <c r="R145" s="2" t="inlineStr"/>
    </row>
    <row r="146" ht="15" customHeight="1">
      <c r="A146" t="inlineStr">
        <is>
          <t>A 35090-2023</t>
        </is>
      </c>
      <c r="B146" s="1" t="n">
        <v>45145</v>
      </c>
      <c r="C146" s="1" t="n">
        <v>46131</v>
      </c>
      <c r="D146" t="inlineStr">
        <is>
          <t>NORRBOTTENS LÄN</t>
        </is>
      </c>
      <c r="E146" t="inlineStr">
        <is>
          <t>LULEÅ</t>
        </is>
      </c>
      <c r="G146" t="n">
        <v>3</v>
      </c>
      <c r="H146" t="n">
        <v>0</v>
      </c>
      <c r="I146" t="n">
        <v>0</v>
      </c>
      <c r="J146" t="n">
        <v>0</v>
      </c>
      <c r="K146" t="n">
        <v>0</v>
      </c>
      <c r="L146" t="n">
        <v>0</v>
      </c>
      <c r="M146" t="n">
        <v>0</v>
      </c>
      <c r="N146" t="n">
        <v>0</v>
      </c>
      <c r="O146" t="n">
        <v>0</v>
      </c>
      <c r="P146" t="n">
        <v>0</v>
      </c>
      <c r="Q146" t="n">
        <v>0</v>
      </c>
      <c r="R146" s="2" t="inlineStr"/>
    </row>
    <row r="147" ht="15" customHeight="1">
      <c r="A147" t="inlineStr">
        <is>
          <t>A 52444-2021</t>
        </is>
      </c>
      <c r="B147" s="1" t="n">
        <v>44463</v>
      </c>
      <c r="C147" s="1" t="n">
        <v>46131</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51465-2025</t>
        </is>
      </c>
      <c r="B148" s="1" t="n">
        <v>45950.61075231482</v>
      </c>
      <c r="C148" s="1" t="n">
        <v>46131</v>
      </c>
      <c r="D148" t="inlineStr">
        <is>
          <t>NORRBOTTENS LÄN</t>
        </is>
      </c>
      <c r="E148" t="inlineStr">
        <is>
          <t>LULEÅ</t>
        </is>
      </c>
      <c r="G148" t="n">
        <v>5.8</v>
      </c>
      <c r="H148" t="n">
        <v>0</v>
      </c>
      <c r="I148" t="n">
        <v>0</v>
      </c>
      <c r="J148" t="n">
        <v>0</v>
      </c>
      <c r="K148" t="n">
        <v>0</v>
      </c>
      <c r="L148" t="n">
        <v>0</v>
      </c>
      <c r="M148" t="n">
        <v>0</v>
      </c>
      <c r="N148" t="n">
        <v>0</v>
      </c>
      <c r="O148" t="n">
        <v>0</v>
      </c>
      <c r="P148" t="n">
        <v>0</v>
      </c>
      <c r="Q148" t="n">
        <v>0</v>
      </c>
      <c r="R148" s="2" t="inlineStr"/>
    </row>
    <row r="149" ht="15" customHeight="1">
      <c r="A149" t="inlineStr">
        <is>
          <t>A 14337-2024</t>
        </is>
      </c>
      <c r="B149" s="1" t="n">
        <v>45393</v>
      </c>
      <c r="C149" s="1" t="n">
        <v>46131</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44680-2021</t>
        </is>
      </c>
      <c r="B150" s="1" t="n">
        <v>44435</v>
      </c>
      <c r="C150" s="1" t="n">
        <v>46131</v>
      </c>
      <c r="D150" t="inlineStr">
        <is>
          <t>NORRBOTTENS LÄN</t>
        </is>
      </c>
      <c r="E150" t="inlineStr">
        <is>
          <t>LULEÅ</t>
        </is>
      </c>
      <c r="G150" t="n">
        <v>6.1</v>
      </c>
      <c r="H150" t="n">
        <v>0</v>
      </c>
      <c r="I150" t="n">
        <v>0</v>
      </c>
      <c r="J150" t="n">
        <v>0</v>
      </c>
      <c r="K150" t="n">
        <v>0</v>
      </c>
      <c r="L150" t="n">
        <v>0</v>
      </c>
      <c r="M150" t="n">
        <v>0</v>
      </c>
      <c r="N150" t="n">
        <v>0</v>
      </c>
      <c r="O150" t="n">
        <v>0</v>
      </c>
      <c r="P150" t="n">
        <v>0</v>
      </c>
      <c r="Q150" t="n">
        <v>0</v>
      </c>
      <c r="R150" s="2" t="inlineStr"/>
    </row>
    <row r="151" ht="15" customHeight="1">
      <c r="A151" t="inlineStr">
        <is>
          <t>A 51902-2025</t>
        </is>
      </c>
      <c r="B151" s="1" t="n">
        <v>45952.44763888889</v>
      </c>
      <c r="C151" s="1" t="n">
        <v>46131</v>
      </c>
      <c r="D151" t="inlineStr">
        <is>
          <t>NORRBOTTENS LÄN</t>
        </is>
      </c>
      <c r="E151" t="inlineStr">
        <is>
          <t>LULEÅ</t>
        </is>
      </c>
      <c r="G151" t="n">
        <v>2.9</v>
      </c>
      <c r="H151" t="n">
        <v>0</v>
      </c>
      <c r="I151" t="n">
        <v>0</v>
      </c>
      <c r="J151" t="n">
        <v>0</v>
      </c>
      <c r="K151" t="n">
        <v>0</v>
      </c>
      <c r="L151" t="n">
        <v>0</v>
      </c>
      <c r="M151" t="n">
        <v>0</v>
      </c>
      <c r="N151" t="n">
        <v>0</v>
      </c>
      <c r="O151" t="n">
        <v>0</v>
      </c>
      <c r="P151" t="n">
        <v>0</v>
      </c>
      <c r="Q151" t="n">
        <v>0</v>
      </c>
      <c r="R151" s="2" t="inlineStr"/>
    </row>
    <row r="152" ht="15" customHeight="1">
      <c r="A152" t="inlineStr">
        <is>
          <t>A 51981-2025</t>
        </is>
      </c>
      <c r="B152" s="1" t="n">
        <v>45952</v>
      </c>
      <c r="C152" s="1" t="n">
        <v>46131</v>
      </c>
      <c r="D152" t="inlineStr">
        <is>
          <t>NORRBOTTENS LÄN</t>
        </is>
      </c>
      <c r="E152" t="inlineStr">
        <is>
          <t>LULEÅ</t>
        </is>
      </c>
      <c r="G152" t="n">
        <v>2</v>
      </c>
      <c r="H152" t="n">
        <v>0</v>
      </c>
      <c r="I152" t="n">
        <v>0</v>
      </c>
      <c r="J152" t="n">
        <v>0</v>
      </c>
      <c r="K152" t="n">
        <v>0</v>
      </c>
      <c r="L152" t="n">
        <v>0</v>
      </c>
      <c r="M152" t="n">
        <v>0</v>
      </c>
      <c r="N152" t="n">
        <v>0</v>
      </c>
      <c r="O152" t="n">
        <v>0</v>
      </c>
      <c r="P152" t="n">
        <v>0</v>
      </c>
      <c r="Q152" t="n">
        <v>0</v>
      </c>
      <c r="R152" s="2" t="inlineStr"/>
    </row>
    <row r="153" ht="15" customHeight="1">
      <c r="A153" t="inlineStr">
        <is>
          <t>A 12539-2024</t>
        </is>
      </c>
      <c r="B153" s="1" t="n">
        <v>45379</v>
      </c>
      <c r="C153" s="1" t="n">
        <v>46131</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38683-2025</t>
        </is>
      </c>
      <c r="B154" s="1" t="n">
        <v>45884.65483796296</v>
      </c>
      <c r="C154" s="1" t="n">
        <v>46131</v>
      </c>
      <c r="D154" t="inlineStr">
        <is>
          <t>NORRBOTTENS LÄN</t>
        </is>
      </c>
      <c r="E154" t="inlineStr">
        <is>
          <t>LULEÅ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38434-2025</t>
        </is>
      </c>
      <c r="B155" s="1" t="n">
        <v>45883.64178240741</v>
      </c>
      <c r="C155" s="1" t="n">
        <v>46131</v>
      </c>
      <c r="D155" t="inlineStr">
        <is>
          <t>NORRBOTTENS LÄN</t>
        </is>
      </c>
      <c r="E155" t="inlineStr">
        <is>
          <t>LULEÅ</t>
        </is>
      </c>
      <c r="G155" t="n">
        <v>11.4</v>
      </c>
      <c r="H155" t="n">
        <v>0</v>
      </c>
      <c r="I155" t="n">
        <v>0</v>
      </c>
      <c r="J155" t="n">
        <v>0</v>
      </c>
      <c r="K155" t="n">
        <v>0</v>
      </c>
      <c r="L155" t="n">
        <v>0</v>
      </c>
      <c r="M155" t="n">
        <v>0</v>
      </c>
      <c r="N155" t="n">
        <v>0</v>
      </c>
      <c r="O155" t="n">
        <v>0</v>
      </c>
      <c r="P155" t="n">
        <v>0</v>
      </c>
      <c r="Q155" t="n">
        <v>0</v>
      </c>
      <c r="R155" s="2" t="inlineStr"/>
    </row>
    <row r="156" ht="15" customHeight="1">
      <c r="A156" t="inlineStr">
        <is>
          <t>A 52400-2023</t>
        </is>
      </c>
      <c r="B156" s="1" t="n">
        <v>45224</v>
      </c>
      <c r="C156" s="1" t="n">
        <v>46131</v>
      </c>
      <c r="D156" t="inlineStr">
        <is>
          <t>NORRBOTTENS LÄN</t>
        </is>
      </c>
      <c r="E156" t="inlineStr">
        <is>
          <t>LULEÅ</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29490-2023</t>
        </is>
      </c>
      <c r="B157" s="1" t="n">
        <v>45098</v>
      </c>
      <c r="C157" s="1" t="n">
        <v>46131</v>
      </c>
      <c r="D157" t="inlineStr">
        <is>
          <t>NORRBOTTENS LÄN</t>
        </is>
      </c>
      <c r="E157" t="inlineStr">
        <is>
          <t>LULEÅ</t>
        </is>
      </c>
      <c r="G157" t="n">
        <v>1.7</v>
      </c>
      <c r="H157" t="n">
        <v>0</v>
      </c>
      <c r="I157" t="n">
        <v>0</v>
      </c>
      <c r="J157" t="n">
        <v>0</v>
      </c>
      <c r="K157" t="n">
        <v>0</v>
      </c>
      <c r="L157" t="n">
        <v>0</v>
      </c>
      <c r="M157" t="n">
        <v>0</v>
      </c>
      <c r="N157" t="n">
        <v>0</v>
      </c>
      <c r="O157" t="n">
        <v>0</v>
      </c>
      <c r="P157" t="n">
        <v>0</v>
      </c>
      <c r="Q157" t="n">
        <v>0</v>
      </c>
      <c r="R157" s="2" t="inlineStr"/>
    </row>
    <row r="158" ht="15" customHeight="1">
      <c r="A158" t="inlineStr">
        <is>
          <t>A 29510-2023</t>
        </is>
      </c>
      <c r="B158" s="1" t="n">
        <v>45098</v>
      </c>
      <c r="C158" s="1" t="n">
        <v>46131</v>
      </c>
      <c r="D158" t="inlineStr">
        <is>
          <t>NORRBOTTENS LÄN</t>
        </is>
      </c>
      <c r="E158" t="inlineStr">
        <is>
          <t>LULEÅ</t>
        </is>
      </c>
      <c r="G158" t="n">
        <v>3.8</v>
      </c>
      <c r="H158" t="n">
        <v>0</v>
      </c>
      <c r="I158" t="n">
        <v>0</v>
      </c>
      <c r="J158" t="n">
        <v>0</v>
      </c>
      <c r="K158" t="n">
        <v>0</v>
      </c>
      <c r="L158" t="n">
        <v>0</v>
      </c>
      <c r="M158" t="n">
        <v>0</v>
      </c>
      <c r="N158" t="n">
        <v>0</v>
      </c>
      <c r="O158" t="n">
        <v>0</v>
      </c>
      <c r="P158" t="n">
        <v>0</v>
      </c>
      <c r="Q158" t="n">
        <v>0</v>
      </c>
      <c r="R158" s="2" t="inlineStr"/>
    </row>
    <row r="159" ht="15" customHeight="1">
      <c r="A159" t="inlineStr">
        <is>
          <t>A 38685-2025</t>
        </is>
      </c>
      <c r="B159" s="1" t="n">
        <v>45884.65607638889</v>
      </c>
      <c r="C159" s="1" t="n">
        <v>46131</v>
      </c>
      <c r="D159" t="inlineStr">
        <is>
          <t>NORRBOTTENS LÄN</t>
        </is>
      </c>
      <c r="E159" t="inlineStr">
        <is>
          <t>LULEÅ</t>
        </is>
      </c>
      <c r="G159" t="n">
        <v>1.2</v>
      </c>
      <c r="H159" t="n">
        <v>0</v>
      </c>
      <c r="I159" t="n">
        <v>0</v>
      </c>
      <c r="J159" t="n">
        <v>0</v>
      </c>
      <c r="K159" t="n">
        <v>0</v>
      </c>
      <c r="L159" t="n">
        <v>0</v>
      </c>
      <c r="M159" t="n">
        <v>0</v>
      </c>
      <c r="N159" t="n">
        <v>0</v>
      </c>
      <c r="O159" t="n">
        <v>0</v>
      </c>
      <c r="P159" t="n">
        <v>0</v>
      </c>
      <c r="Q159" t="n">
        <v>0</v>
      </c>
      <c r="R159" s="2" t="inlineStr"/>
    </row>
    <row r="160" ht="15" customHeight="1">
      <c r="A160" t="inlineStr">
        <is>
          <t>A 38936-2025</t>
        </is>
      </c>
      <c r="B160" s="1" t="n">
        <v>45884</v>
      </c>
      <c r="C160" s="1" t="n">
        <v>46131</v>
      </c>
      <c r="D160" t="inlineStr">
        <is>
          <t>NORRBOTTENS LÄN</t>
        </is>
      </c>
      <c r="E160" t="inlineStr">
        <is>
          <t>LULEÅ</t>
        </is>
      </c>
      <c r="G160" t="n">
        <v>2</v>
      </c>
      <c r="H160" t="n">
        <v>0</v>
      </c>
      <c r="I160" t="n">
        <v>0</v>
      </c>
      <c r="J160" t="n">
        <v>0</v>
      </c>
      <c r="K160" t="n">
        <v>0</v>
      </c>
      <c r="L160" t="n">
        <v>0</v>
      </c>
      <c r="M160" t="n">
        <v>0</v>
      </c>
      <c r="N160" t="n">
        <v>0</v>
      </c>
      <c r="O160" t="n">
        <v>0</v>
      </c>
      <c r="P160" t="n">
        <v>0</v>
      </c>
      <c r="Q160" t="n">
        <v>0</v>
      </c>
      <c r="R160" s="2" t="inlineStr"/>
    </row>
    <row r="161" ht="15" customHeight="1">
      <c r="A161" t="inlineStr">
        <is>
          <t>A 23534-2025</t>
        </is>
      </c>
      <c r="B161" s="1" t="n">
        <v>45792</v>
      </c>
      <c r="C161" s="1" t="n">
        <v>46131</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3895-2025</t>
        </is>
      </c>
      <c r="B162" s="1" t="n">
        <v>45683</v>
      </c>
      <c r="C162" s="1" t="n">
        <v>46131</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38714-2025</t>
        </is>
      </c>
      <c r="B163" s="1" t="n">
        <v>45886.34490740741</v>
      </c>
      <c r="C163" s="1" t="n">
        <v>46131</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62061-2022</t>
        </is>
      </c>
      <c r="B164" s="1" t="n">
        <v>44914</v>
      </c>
      <c r="C164" s="1" t="n">
        <v>46131</v>
      </c>
      <c r="D164" t="inlineStr">
        <is>
          <t>NORRBOTTENS LÄN</t>
        </is>
      </c>
      <c r="E164" t="inlineStr">
        <is>
          <t>LULEÅ</t>
        </is>
      </c>
      <c r="G164" t="n">
        <v>2.4</v>
      </c>
      <c r="H164" t="n">
        <v>0</v>
      </c>
      <c r="I164" t="n">
        <v>0</v>
      </c>
      <c r="J164" t="n">
        <v>0</v>
      </c>
      <c r="K164" t="n">
        <v>0</v>
      </c>
      <c r="L164" t="n">
        <v>0</v>
      </c>
      <c r="M164" t="n">
        <v>0</v>
      </c>
      <c r="N164" t="n">
        <v>0</v>
      </c>
      <c r="O164" t="n">
        <v>0</v>
      </c>
      <c r="P164" t="n">
        <v>0</v>
      </c>
      <c r="Q164" t="n">
        <v>0</v>
      </c>
      <c r="R164" s="2" t="inlineStr"/>
    </row>
    <row r="165" ht="15" customHeight="1">
      <c r="A165" t="inlineStr">
        <is>
          <t>A 46547-2021</t>
        </is>
      </c>
      <c r="B165" s="1" t="n">
        <v>44445</v>
      </c>
      <c r="C165" s="1" t="n">
        <v>46131</v>
      </c>
      <c r="D165" t="inlineStr">
        <is>
          <t>NORRBOTTENS LÄN</t>
        </is>
      </c>
      <c r="E165" t="inlineStr">
        <is>
          <t>LULEÅ</t>
        </is>
      </c>
      <c r="G165" t="n">
        <v>1.7</v>
      </c>
      <c r="H165" t="n">
        <v>0</v>
      </c>
      <c r="I165" t="n">
        <v>0</v>
      </c>
      <c r="J165" t="n">
        <v>0</v>
      </c>
      <c r="K165" t="n">
        <v>0</v>
      </c>
      <c r="L165" t="n">
        <v>0</v>
      </c>
      <c r="M165" t="n">
        <v>0</v>
      </c>
      <c r="N165" t="n">
        <v>0</v>
      </c>
      <c r="O165" t="n">
        <v>0</v>
      </c>
      <c r="P165" t="n">
        <v>0</v>
      </c>
      <c r="Q165" t="n">
        <v>0</v>
      </c>
      <c r="R165" s="2" t="inlineStr"/>
    </row>
    <row r="166" ht="15" customHeight="1">
      <c r="A166" t="inlineStr">
        <is>
          <t>A 56043-2021</t>
        </is>
      </c>
      <c r="B166" s="1" t="n">
        <v>44477</v>
      </c>
      <c r="C166" s="1" t="n">
        <v>46131</v>
      </c>
      <c r="D166" t="inlineStr">
        <is>
          <t>NORRBOTTENS LÄN</t>
        </is>
      </c>
      <c r="E166" t="inlineStr">
        <is>
          <t>LULEÅ</t>
        </is>
      </c>
      <c r="G166" t="n">
        <v>3.8</v>
      </c>
      <c r="H166" t="n">
        <v>0</v>
      </c>
      <c r="I166" t="n">
        <v>0</v>
      </c>
      <c r="J166" t="n">
        <v>0</v>
      </c>
      <c r="K166" t="n">
        <v>0</v>
      </c>
      <c r="L166" t="n">
        <v>0</v>
      </c>
      <c r="M166" t="n">
        <v>0</v>
      </c>
      <c r="N166" t="n">
        <v>0</v>
      </c>
      <c r="O166" t="n">
        <v>0</v>
      </c>
      <c r="P166" t="n">
        <v>0</v>
      </c>
      <c r="Q166" t="n">
        <v>0</v>
      </c>
      <c r="R166" s="2" t="inlineStr"/>
    </row>
    <row r="167" ht="15" customHeight="1">
      <c r="A167" t="inlineStr">
        <is>
          <t>A 56057-2021</t>
        </is>
      </c>
      <c r="B167" s="1" t="n">
        <v>44477</v>
      </c>
      <c r="C167" s="1" t="n">
        <v>46131</v>
      </c>
      <c r="D167" t="inlineStr">
        <is>
          <t>NORRBOTTENS LÄN</t>
        </is>
      </c>
      <c r="E167" t="inlineStr">
        <is>
          <t>LULEÅ</t>
        </is>
      </c>
      <c r="G167" t="n">
        <v>3.7</v>
      </c>
      <c r="H167" t="n">
        <v>0</v>
      </c>
      <c r="I167" t="n">
        <v>0</v>
      </c>
      <c r="J167" t="n">
        <v>0</v>
      </c>
      <c r="K167" t="n">
        <v>0</v>
      </c>
      <c r="L167" t="n">
        <v>0</v>
      </c>
      <c r="M167" t="n">
        <v>0</v>
      </c>
      <c r="N167" t="n">
        <v>0</v>
      </c>
      <c r="O167" t="n">
        <v>0</v>
      </c>
      <c r="P167" t="n">
        <v>0</v>
      </c>
      <c r="Q167" t="n">
        <v>0</v>
      </c>
      <c r="R167" s="2" t="inlineStr"/>
    </row>
    <row r="168" ht="15" customHeight="1">
      <c r="A168" t="inlineStr">
        <is>
          <t>A 29417-2025</t>
        </is>
      </c>
      <c r="B168" s="1" t="n">
        <v>45824.63576388889</v>
      </c>
      <c r="C168" s="1" t="n">
        <v>46131</v>
      </c>
      <c r="D168" t="inlineStr">
        <is>
          <t>NORRBOTTENS LÄN</t>
        </is>
      </c>
      <c r="E168" t="inlineStr">
        <is>
          <t>LULEÅ</t>
        </is>
      </c>
      <c r="G168" t="n">
        <v>1.9</v>
      </c>
      <c r="H168" t="n">
        <v>0</v>
      </c>
      <c r="I168" t="n">
        <v>0</v>
      </c>
      <c r="J168" t="n">
        <v>0</v>
      </c>
      <c r="K168" t="n">
        <v>0</v>
      </c>
      <c r="L168" t="n">
        <v>0</v>
      </c>
      <c r="M168" t="n">
        <v>0</v>
      </c>
      <c r="N168" t="n">
        <v>0</v>
      </c>
      <c r="O168" t="n">
        <v>0</v>
      </c>
      <c r="P168" t="n">
        <v>0</v>
      </c>
      <c r="Q168" t="n">
        <v>0</v>
      </c>
      <c r="R168" s="2" t="inlineStr"/>
    </row>
    <row r="169" ht="15" customHeight="1">
      <c r="A169" t="inlineStr">
        <is>
          <t>A 38712-2025</t>
        </is>
      </c>
      <c r="B169" s="1" t="n">
        <v>45886.34465277778</v>
      </c>
      <c r="C169" s="1" t="n">
        <v>46131</v>
      </c>
      <c r="D169" t="inlineStr">
        <is>
          <t>NORRBOTTENS LÄN</t>
        </is>
      </c>
      <c r="E169" t="inlineStr">
        <is>
          <t>LULEÅ</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8271-2025</t>
        </is>
      </c>
      <c r="B170" s="1" t="n">
        <v>45708</v>
      </c>
      <c r="C170" s="1" t="n">
        <v>46131</v>
      </c>
      <c r="D170" t="inlineStr">
        <is>
          <t>NORRBOTTENS LÄN</t>
        </is>
      </c>
      <c r="E170" t="inlineStr">
        <is>
          <t>LULEÅ</t>
        </is>
      </c>
      <c r="G170" t="n">
        <v>11.4</v>
      </c>
      <c r="H170" t="n">
        <v>0</v>
      </c>
      <c r="I170" t="n">
        <v>0</v>
      </c>
      <c r="J170" t="n">
        <v>0</v>
      </c>
      <c r="K170" t="n">
        <v>0</v>
      </c>
      <c r="L170" t="n">
        <v>0</v>
      </c>
      <c r="M170" t="n">
        <v>0</v>
      </c>
      <c r="N170" t="n">
        <v>0</v>
      </c>
      <c r="O170" t="n">
        <v>0</v>
      </c>
      <c r="P170" t="n">
        <v>0</v>
      </c>
      <c r="Q170" t="n">
        <v>0</v>
      </c>
      <c r="R170" s="2" t="inlineStr"/>
    </row>
    <row r="171" ht="15" customHeight="1">
      <c r="A171" t="inlineStr">
        <is>
          <t>A 38841-2025</t>
        </is>
      </c>
      <c r="B171" s="1" t="n">
        <v>45887.53751157408</v>
      </c>
      <c r="C171" s="1" t="n">
        <v>46131</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23505-2025</t>
        </is>
      </c>
      <c r="B172" s="1" t="n">
        <v>45792</v>
      </c>
      <c r="C172" s="1" t="n">
        <v>46131</v>
      </c>
      <c r="D172" t="inlineStr">
        <is>
          <t>NORRBOTTENS LÄN</t>
        </is>
      </c>
      <c r="E172" t="inlineStr">
        <is>
          <t>LULEÅ</t>
        </is>
      </c>
      <c r="G172" t="n">
        <v>4.6</v>
      </c>
      <c r="H172" t="n">
        <v>0</v>
      </c>
      <c r="I172" t="n">
        <v>0</v>
      </c>
      <c r="J172" t="n">
        <v>0</v>
      </c>
      <c r="K172" t="n">
        <v>0</v>
      </c>
      <c r="L172" t="n">
        <v>0</v>
      </c>
      <c r="M172" t="n">
        <v>0</v>
      </c>
      <c r="N172" t="n">
        <v>0</v>
      </c>
      <c r="O172" t="n">
        <v>0</v>
      </c>
      <c r="P172" t="n">
        <v>0</v>
      </c>
      <c r="Q172" t="n">
        <v>0</v>
      </c>
      <c r="R172" s="2" t="inlineStr"/>
    </row>
    <row r="173" ht="15" customHeight="1">
      <c r="A173" t="inlineStr">
        <is>
          <t>A 23520-2025</t>
        </is>
      </c>
      <c r="B173" s="1" t="n">
        <v>45792.51074074074</v>
      </c>
      <c r="C173" s="1" t="n">
        <v>46131</v>
      </c>
      <c r="D173" t="inlineStr">
        <is>
          <t>NORRBOTTENS LÄN</t>
        </is>
      </c>
      <c r="E173" t="inlineStr">
        <is>
          <t>LULEÅ</t>
        </is>
      </c>
      <c r="G173" t="n">
        <v>3.2</v>
      </c>
      <c r="H173" t="n">
        <v>0</v>
      </c>
      <c r="I173" t="n">
        <v>0</v>
      </c>
      <c r="J173" t="n">
        <v>0</v>
      </c>
      <c r="K173" t="n">
        <v>0</v>
      </c>
      <c r="L173" t="n">
        <v>0</v>
      </c>
      <c r="M173" t="n">
        <v>0</v>
      </c>
      <c r="N173" t="n">
        <v>0</v>
      </c>
      <c r="O173" t="n">
        <v>0</v>
      </c>
      <c r="P173" t="n">
        <v>0</v>
      </c>
      <c r="Q173" t="n">
        <v>0</v>
      </c>
      <c r="R173" s="2" t="inlineStr"/>
    </row>
    <row r="174" ht="15" customHeight="1">
      <c r="A174" t="inlineStr">
        <is>
          <t>A 23524-2025</t>
        </is>
      </c>
      <c r="B174" s="1" t="n">
        <v>45792</v>
      </c>
      <c r="C174" s="1" t="n">
        <v>46131</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52549-2025</t>
        </is>
      </c>
      <c r="B175" s="1" t="n">
        <v>45954.55297453704</v>
      </c>
      <c r="C175" s="1" t="n">
        <v>46131</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25676-2024</t>
        </is>
      </c>
      <c r="B176" s="1" t="n">
        <v>45463</v>
      </c>
      <c r="C176" s="1" t="n">
        <v>46131</v>
      </c>
      <c r="D176" t="inlineStr">
        <is>
          <t>NORRBOTTENS LÄN</t>
        </is>
      </c>
      <c r="E176" t="inlineStr">
        <is>
          <t>LULEÅ</t>
        </is>
      </c>
      <c r="G176" t="n">
        <v>0.5</v>
      </c>
      <c r="H176" t="n">
        <v>0</v>
      </c>
      <c r="I176" t="n">
        <v>0</v>
      </c>
      <c r="J176" t="n">
        <v>0</v>
      </c>
      <c r="K176" t="n">
        <v>0</v>
      </c>
      <c r="L176" t="n">
        <v>0</v>
      </c>
      <c r="M176" t="n">
        <v>0</v>
      </c>
      <c r="N176" t="n">
        <v>0</v>
      </c>
      <c r="O176" t="n">
        <v>0</v>
      </c>
      <c r="P176" t="n">
        <v>0</v>
      </c>
      <c r="Q176" t="n">
        <v>0</v>
      </c>
      <c r="R176" s="2" t="inlineStr"/>
    </row>
    <row r="177" ht="15" customHeight="1">
      <c r="A177" t="inlineStr">
        <is>
          <t>A 31465-2024</t>
        </is>
      </c>
      <c r="B177" s="1" t="n">
        <v>45505</v>
      </c>
      <c r="C177" s="1" t="n">
        <v>46131</v>
      </c>
      <c r="D177" t="inlineStr">
        <is>
          <t>NORRBOTTENS LÄN</t>
        </is>
      </c>
      <c r="E177" t="inlineStr">
        <is>
          <t>LULEÅ</t>
        </is>
      </c>
      <c r="F177" t="inlineStr">
        <is>
          <t>Naturvårdsverket</t>
        </is>
      </c>
      <c r="G177" t="n">
        <v>7.1</v>
      </c>
      <c r="H177" t="n">
        <v>0</v>
      </c>
      <c r="I177" t="n">
        <v>0</v>
      </c>
      <c r="J177" t="n">
        <v>0</v>
      </c>
      <c r="K177" t="n">
        <v>0</v>
      </c>
      <c r="L177" t="n">
        <v>0</v>
      </c>
      <c r="M177" t="n">
        <v>0</v>
      </c>
      <c r="N177" t="n">
        <v>0</v>
      </c>
      <c r="O177" t="n">
        <v>0</v>
      </c>
      <c r="P177" t="n">
        <v>0</v>
      </c>
      <c r="Q177" t="n">
        <v>0</v>
      </c>
      <c r="R177" s="2" t="inlineStr"/>
    </row>
    <row r="178" ht="15" customHeight="1">
      <c r="A178" t="inlineStr">
        <is>
          <t>A 39644-2025</t>
        </is>
      </c>
      <c r="B178" s="1" t="n">
        <v>45890.61241898148</v>
      </c>
      <c r="C178" s="1" t="n">
        <v>46131</v>
      </c>
      <c r="D178" t="inlineStr">
        <is>
          <t>NORRBOTTENS LÄN</t>
        </is>
      </c>
      <c r="E178" t="inlineStr">
        <is>
          <t>LULEÅ</t>
        </is>
      </c>
      <c r="G178" t="n">
        <v>4.6</v>
      </c>
      <c r="H178" t="n">
        <v>0</v>
      </c>
      <c r="I178" t="n">
        <v>0</v>
      </c>
      <c r="J178" t="n">
        <v>0</v>
      </c>
      <c r="K178" t="n">
        <v>0</v>
      </c>
      <c r="L178" t="n">
        <v>0</v>
      </c>
      <c r="M178" t="n">
        <v>0</v>
      </c>
      <c r="N178" t="n">
        <v>0</v>
      </c>
      <c r="O178" t="n">
        <v>0</v>
      </c>
      <c r="P178" t="n">
        <v>0</v>
      </c>
      <c r="Q178" t="n">
        <v>0</v>
      </c>
      <c r="R178" s="2" t="inlineStr"/>
    </row>
    <row r="179" ht="15" customHeight="1">
      <c r="A179" t="inlineStr">
        <is>
          <t>A 52697-2023</t>
        </is>
      </c>
      <c r="B179" s="1" t="n">
        <v>45219</v>
      </c>
      <c r="C179" s="1" t="n">
        <v>46131</v>
      </c>
      <c r="D179" t="inlineStr">
        <is>
          <t>NORRBOTTENS LÄN</t>
        </is>
      </c>
      <c r="E179" t="inlineStr">
        <is>
          <t>LULEÅ</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60651-2023</t>
        </is>
      </c>
      <c r="B180" s="1" t="n">
        <v>45260</v>
      </c>
      <c r="C180" s="1" t="n">
        <v>46131</v>
      </c>
      <c r="D180" t="inlineStr">
        <is>
          <t>NORRBOTTENS LÄN</t>
        </is>
      </c>
      <c r="E180" t="inlineStr">
        <is>
          <t>LULEÅ</t>
        </is>
      </c>
      <c r="G180" t="n">
        <v>1.7</v>
      </c>
      <c r="H180" t="n">
        <v>0</v>
      </c>
      <c r="I180" t="n">
        <v>0</v>
      </c>
      <c r="J180" t="n">
        <v>0</v>
      </c>
      <c r="K180" t="n">
        <v>0</v>
      </c>
      <c r="L180" t="n">
        <v>0</v>
      </c>
      <c r="M180" t="n">
        <v>0</v>
      </c>
      <c r="N180" t="n">
        <v>0</v>
      </c>
      <c r="O180" t="n">
        <v>0</v>
      </c>
      <c r="P180" t="n">
        <v>0</v>
      </c>
      <c r="Q180" t="n">
        <v>0</v>
      </c>
      <c r="R180" s="2" t="inlineStr"/>
    </row>
    <row r="181" ht="15" customHeight="1">
      <c r="A181" t="inlineStr">
        <is>
          <t>A 39269-2025</t>
        </is>
      </c>
      <c r="B181" s="1" t="n">
        <v>45889.38579861111</v>
      </c>
      <c r="C181" s="1" t="n">
        <v>46131</v>
      </c>
      <c r="D181" t="inlineStr">
        <is>
          <t>NORRBOTTENS LÄN</t>
        </is>
      </c>
      <c r="E181" t="inlineStr">
        <is>
          <t>LULEÅ</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52319-2025</t>
        </is>
      </c>
      <c r="B182" s="1" t="n">
        <v>45953.65697916667</v>
      </c>
      <c r="C182" s="1" t="n">
        <v>46131</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39550-2025</t>
        </is>
      </c>
      <c r="B183" s="1" t="n">
        <v>45890</v>
      </c>
      <c r="C183" s="1" t="n">
        <v>46131</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39531-2025</t>
        </is>
      </c>
      <c r="B184" s="1" t="n">
        <v>45890.44831018519</v>
      </c>
      <c r="C184" s="1" t="n">
        <v>46131</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23516-2025</t>
        </is>
      </c>
      <c r="B185" s="1" t="n">
        <v>45792</v>
      </c>
      <c r="C185" s="1" t="n">
        <v>46131</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23519-2025</t>
        </is>
      </c>
      <c r="B186" s="1" t="n">
        <v>45792.51074074074</v>
      </c>
      <c r="C186" s="1" t="n">
        <v>46131</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52318-2025</t>
        </is>
      </c>
      <c r="B187" s="1" t="n">
        <v>45953.65693287037</v>
      </c>
      <c r="C187" s="1" t="n">
        <v>46131</v>
      </c>
      <c r="D187" t="inlineStr">
        <is>
          <t>NORRBOTTENS LÄN</t>
        </is>
      </c>
      <c r="E187" t="inlineStr">
        <is>
          <t>LULEÅ</t>
        </is>
      </c>
      <c r="G187" t="n">
        <v>1.9</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46131</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26582-2024</t>
        </is>
      </c>
      <c r="B189" s="1" t="n">
        <v>45469.66545138889</v>
      </c>
      <c r="C189" s="1" t="n">
        <v>46131</v>
      </c>
      <c r="D189" t="inlineStr">
        <is>
          <t>NORRBOTTENS LÄN</t>
        </is>
      </c>
      <c r="E189" t="inlineStr">
        <is>
          <t>LULEÅ</t>
        </is>
      </c>
      <c r="G189" t="n">
        <v>4.8</v>
      </c>
      <c r="H189" t="n">
        <v>0</v>
      </c>
      <c r="I189" t="n">
        <v>0</v>
      </c>
      <c r="J189" t="n">
        <v>0</v>
      </c>
      <c r="K189" t="n">
        <v>0</v>
      </c>
      <c r="L189" t="n">
        <v>0</v>
      </c>
      <c r="M189" t="n">
        <v>0</v>
      </c>
      <c r="N189" t="n">
        <v>0</v>
      </c>
      <c r="O189" t="n">
        <v>0</v>
      </c>
      <c r="P189" t="n">
        <v>0</v>
      </c>
      <c r="Q189" t="n">
        <v>0</v>
      </c>
      <c r="R189" s="2" t="inlineStr"/>
    </row>
    <row r="190" ht="15" customHeight="1">
      <c r="A190" t="inlineStr">
        <is>
          <t>A 4919-2025</t>
        </is>
      </c>
      <c r="B190" s="1" t="n">
        <v>45688.68407407407</v>
      </c>
      <c r="C190" s="1" t="n">
        <v>46131</v>
      </c>
      <c r="D190" t="inlineStr">
        <is>
          <t>NORRBOTTENS LÄN</t>
        </is>
      </c>
      <c r="E190" t="inlineStr">
        <is>
          <t>LULEÅ</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53002-2025</t>
        </is>
      </c>
      <c r="B191" s="1" t="n">
        <v>45957</v>
      </c>
      <c r="C191" s="1" t="n">
        <v>46131</v>
      </c>
      <c r="D191" t="inlineStr">
        <is>
          <t>NORRBOTTENS LÄN</t>
        </is>
      </c>
      <c r="E191" t="inlineStr">
        <is>
          <t>LULEÅ</t>
        </is>
      </c>
      <c r="G191" t="n">
        <v>19.7</v>
      </c>
      <c r="H191" t="n">
        <v>0</v>
      </c>
      <c r="I191" t="n">
        <v>0</v>
      </c>
      <c r="J191" t="n">
        <v>0</v>
      </c>
      <c r="K191" t="n">
        <v>0</v>
      </c>
      <c r="L191" t="n">
        <v>0</v>
      </c>
      <c r="M191" t="n">
        <v>0</v>
      </c>
      <c r="N191" t="n">
        <v>0</v>
      </c>
      <c r="O191" t="n">
        <v>0</v>
      </c>
      <c r="P191" t="n">
        <v>0</v>
      </c>
      <c r="Q191" t="n">
        <v>0</v>
      </c>
      <c r="R191" s="2" t="inlineStr"/>
    </row>
    <row r="192" ht="15" customHeight="1">
      <c r="A192" t="inlineStr">
        <is>
          <t>A 20690-2024</t>
        </is>
      </c>
      <c r="B192" s="1" t="n">
        <v>45436</v>
      </c>
      <c r="C192" s="1" t="n">
        <v>46131</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86-2025</t>
        </is>
      </c>
      <c r="B193" s="1" t="n">
        <v>45659.45902777778</v>
      </c>
      <c r="C193" s="1" t="n">
        <v>46131</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7037-2025</t>
        </is>
      </c>
      <c r="B194" s="1" t="n">
        <v>45701.63607638889</v>
      </c>
      <c r="C194" s="1" t="n">
        <v>46131</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46131</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6459-2025</t>
        </is>
      </c>
      <c r="B196" s="1" t="n">
        <v>45699.56368055556</v>
      </c>
      <c r="C196" s="1" t="n">
        <v>46131</v>
      </c>
      <c r="D196" t="inlineStr">
        <is>
          <t>NORRBOTTENS LÄN</t>
        </is>
      </c>
      <c r="E196" t="inlineStr">
        <is>
          <t>LULEÅ</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40464-2025</t>
        </is>
      </c>
      <c r="B197" s="1" t="n">
        <v>45895.65347222222</v>
      </c>
      <c r="C197" s="1" t="n">
        <v>46131</v>
      </c>
      <c r="D197" t="inlineStr">
        <is>
          <t>NORRBOTTENS LÄN</t>
        </is>
      </c>
      <c r="E197" t="inlineStr">
        <is>
          <t>LULEÅ</t>
        </is>
      </c>
      <c r="G197" t="n">
        <v>6.9</v>
      </c>
      <c r="H197" t="n">
        <v>0</v>
      </c>
      <c r="I197" t="n">
        <v>0</v>
      </c>
      <c r="J197" t="n">
        <v>0</v>
      </c>
      <c r="K197" t="n">
        <v>0</v>
      </c>
      <c r="L197" t="n">
        <v>0</v>
      </c>
      <c r="M197" t="n">
        <v>0</v>
      </c>
      <c r="N197" t="n">
        <v>0</v>
      </c>
      <c r="O197" t="n">
        <v>0</v>
      </c>
      <c r="P197" t="n">
        <v>0</v>
      </c>
      <c r="Q197" t="n">
        <v>0</v>
      </c>
      <c r="R197" s="2" t="inlineStr"/>
    </row>
    <row r="198" ht="15" customHeight="1">
      <c r="A198" t="inlineStr">
        <is>
          <t>A 49721-2022</t>
        </is>
      </c>
      <c r="B198" s="1" t="n">
        <v>44859</v>
      </c>
      <c r="C198" s="1" t="n">
        <v>46131</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53003-2025</t>
        </is>
      </c>
      <c r="B199" s="1" t="n">
        <v>45957</v>
      </c>
      <c r="C199" s="1" t="n">
        <v>46131</v>
      </c>
      <c r="D199" t="inlineStr">
        <is>
          <t>NORRBOTTENS LÄN</t>
        </is>
      </c>
      <c r="E199" t="inlineStr">
        <is>
          <t>LULEÅ</t>
        </is>
      </c>
      <c r="G199" t="n">
        <v>5.4</v>
      </c>
      <c r="H199" t="n">
        <v>0</v>
      </c>
      <c r="I199" t="n">
        <v>0</v>
      </c>
      <c r="J199" t="n">
        <v>0</v>
      </c>
      <c r="K199" t="n">
        <v>0</v>
      </c>
      <c r="L199" t="n">
        <v>0</v>
      </c>
      <c r="M199" t="n">
        <v>0</v>
      </c>
      <c r="N199" t="n">
        <v>0</v>
      </c>
      <c r="O199" t="n">
        <v>0</v>
      </c>
      <c r="P199" t="n">
        <v>0</v>
      </c>
      <c r="Q199" t="n">
        <v>0</v>
      </c>
      <c r="R199" s="2" t="inlineStr"/>
    </row>
    <row r="200" ht="15" customHeight="1">
      <c r="A200" t="inlineStr">
        <is>
          <t>A 59825-2024</t>
        </is>
      </c>
      <c r="B200" s="1" t="n">
        <v>45639.64152777778</v>
      </c>
      <c r="C200" s="1" t="n">
        <v>46131</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40644-2025</t>
        </is>
      </c>
      <c r="B201" s="1" t="n">
        <v>45896.6166087963</v>
      </c>
      <c r="C201" s="1" t="n">
        <v>46131</v>
      </c>
      <c r="D201" t="inlineStr">
        <is>
          <t>NORRBOTTENS LÄN</t>
        </is>
      </c>
      <c r="E201" t="inlineStr">
        <is>
          <t>LULEÅ</t>
        </is>
      </c>
      <c r="G201" t="n">
        <v>4.1</v>
      </c>
      <c r="H201" t="n">
        <v>0</v>
      </c>
      <c r="I201" t="n">
        <v>0</v>
      </c>
      <c r="J201" t="n">
        <v>0</v>
      </c>
      <c r="K201" t="n">
        <v>0</v>
      </c>
      <c r="L201" t="n">
        <v>0</v>
      </c>
      <c r="M201" t="n">
        <v>0</v>
      </c>
      <c r="N201" t="n">
        <v>0</v>
      </c>
      <c r="O201" t="n">
        <v>0</v>
      </c>
      <c r="P201" t="n">
        <v>0</v>
      </c>
      <c r="Q201" t="n">
        <v>0</v>
      </c>
      <c r="R201" s="2" t="inlineStr"/>
    </row>
    <row r="202" ht="15" customHeight="1">
      <c r="A202" t="inlineStr">
        <is>
          <t>A 40643-2025</t>
        </is>
      </c>
      <c r="B202" s="1" t="n">
        <v>45896.61263888889</v>
      </c>
      <c r="C202" s="1" t="n">
        <v>46131</v>
      </c>
      <c r="D202" t="inlineStr">
        <is>
          <t>NORRBOTTENS LÄN</t>
        </is>
      </c>
      <c r="E202" t="inlineStr">
        <is>
          <t>LULEÅ</t>
        </is>
      </c>
      <c r="G202" t="n">
        <v>4.1</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46131</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53836-2024</t>
        </is>
      </c>
      <c r="B204" s="1" t="n">
        <v>45615.62185185185</v>
      </c>
      <c r="C204" s="1" t="n">
        <v>46131</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40641-2025</t>
        </is>
      </c>
      <c r="B205" s="1" t="n">
        <v>45896</v>
      </c>
      <c r="C205" s="1" t="n">
        <v>46131</v>
      </c>
      <c r="D205" t="inlineStr">
        <is>
          <t>NORRBOTTENS LÄN</t>
        </is>
      </c>
      <c r="E205" t="inlineStr">
        <is>
          <t>LULEÅ</t>
        </is>
      </c>
      <c r="G205" t="n">
        <v>4.2</v>
      </c>
      <c r="H205" t="n">
        <v>0</v>
      </c>
      <c r="I205" t="n">
        <v>0</v>
      </c>
      <c r="J205" t="n">
        <v>0</v>
      </c>
      <c r="K205" t="n">
        <v>0</v>
      </c>
      <c r="L205" t="n">
        <v>0</v>
      </c>
      <c r="M205" t="n">
        <v>0</v>
      </c>
      <c r="N205" t="n">
        <v>0</v>
      </c>
      <c r="O205" t="n">
        <v>0</v>
      </c>
      <c r="P205" t="n">
        <v>0</v>
      </c>
      <c r="Q205" t="n">
        <v>0</v>
      </c>
      <c r="R205" s="2" t="inlineStr"/>
    </row>
    <row r="206" ht="15" customHeight="1">
      <c r="A206" t="inlineStr">
        <is>
          <t>A 34680-2023</t>
        </is>
      </c>
      <c r="B206" s="1" t="n">
        <v>45140</v>
      </c>
      <c r="C206" s="1" t="n">
        <v>46131</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35234-2021</t>
        </is>
      </c>
      <c r="B207" s="1" t="n">
        <v>44384</v>
      </c>
      <c r="C207" s="1" t="n">
        <v>46131</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52684-2025</t>
        </is>
      </c>
      <c r="B208" s="1" t="n">
        <v>45956.34519675926</v>
      </c>
      <c r="C208" s="1" t="n">
        <v>46131</v>
      </c>
      <c r="D208" t="inlineStr">
        <is>
          <t>NORRBOTTENS LÄN</t>
        </is>
      </c>
      <c r="E208" t="inlineStr">
        <is>
          <t>LULEÅ</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52687-2025</t>
        </is>
      </c>
      <c r="B209" s="1" t="n">
        <v>45956.36496527777</v>
      </c>
      <c r="C209" s="1" t="n">
        <v>46131</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46131</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17425-2023</t>
        </is>
      </c>
      <c r="B211" s="1" t="n">
        <v>45035</v>
      </c>
      <c r="C211" s="1" t="n">
        <v>46131</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40977-2025</t>
        </is>
      </c>
      <c r="B212" s="1" t="n">
        <v>45897.93575231481</v>
      </c>
      <c r="C212" s="1" t="n">
        <v>46131</v>
      </c>
      <c r="D212" t="inlineStr">
        <is>
          <t>NORRBOTTENS LÄN</t>
        </is>
      </c>
      <c r="E212" t="inlineStr">
        <is>
          <t>LULEÅ</t>
        </is>
      </c>
      <c r="G212" t="n">
        <v>11.2</v>
      </c>
      <c r="H212" t="n">
        <v>0</v>
      </c>
      <c r="I212" t="n">
        <v>0</v>
      </c>
      <c r="J212" t="n">
        <v>0</v>
      </c>
      <c r="K212" t="n">
        <v>0</v>
      </c>
      <c r="L212" t="n">
        <v>0</v>
      </c>
      <c r="M212" t="n">
        <v>0</v>
      </c>
      <c r="N212" t="n">
        <v>0</v>
      </c>
      <c r="O212" t="n">
        <v>0</v>
      </c>
      <c r="P212" t="n">
        <v>0</v>
      </c>
      <c r="Q212" t="n">
        <v>0</v>
      </c>
      <c r="R212" s="2" t="inlineStr"/>
    </row>
    <row r="213" ht="15" customHeight="1">
      <c r="A213" t="inlineStr">
        <is>
          <t>A 6731-2025</t>
        </is>
      </c>
      <c r="B213" s="1" t="n">
        <v>45700.59357638889</v>
      </c>
      <c r="C213" s="1" t="n">
        <v>46131</v>
      </c>
      <c r="D213" t="inlineStr">
        <is>
          <t>NORRBOTTENS LÄN</t>
        </is>
      </c>
      <c r="E213" t="inlineStr">
        <is>
          <t>LULEÅ</t>
        </is>
      </c>
      <c r="G213" t="n">
        <v>1.8</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46131</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30785-2024</t>
        </is>
      </c>
      <c r="B215" s="1" t="n">
        <v>45496</v>
      </c>
      <c r="C215" s="1" t="n">
        <v>46131</v>
      </c>
      <c r="D215" t="inlineStr">
        <is>
          <t>NORRBOTTENS LÄN</t>
        </is>
      </c>
      <c r="E215" t="inlineStr">
        <is>
          <t>LULEÅ</t>
        </is>
      </c>
      <c r="F215" t="inlineStr">
        <is>
          <t>Naturvårdsverket</t>
        </is>
      </c>
      <c r="G215" t="n">
        <v>11.7</v>
      </c>
      <c r="H215" t="n">
        <v>0</v>
      </c>
      <c r="I215" t="n">
        <v>0</v>
      </c>
      <c r="J215" t="n">
        <v>0</v>
      </c>
      <c r="K215" t="n">
        <v>0</v>
      </c>
      <c r="L215" t="n">
        <v>0</v>
      </c>
      <c r="M215" t="n">
        <v>0</v>
      </c>
      <c r="N215" t="n">
        <v>0</v>
      </c>
      <c r="O215" t="n">
        <v>0</v>
      </c>
      <c r="P215" t="n">
        <v>0</v>
      </c>
      <c r="Q215" t="n">
        <v>0</v>
      </c>
      <c r="R215" s="2" t="inlineStr"/>
    </row>
    <row r="216" ht="15" customHeight="1">
      <c r="A216" t="inlineStr">
        <is>
          <t>A 24752-2025</t>
        </is>
      </c>
      <c r="B216" s="1" t="n">
        <v>45799.3653587963</v>
      </c>
      <c r="C216" s="1" t="n">
        <v>46131</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339-2025</t>
        </is>
      </c>
      <c r="B217" s="1" t="n">
        <v>45660.6911574074</v>
      </c>
      <c r="C217" s="1" t="n">
        <v>46131</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40695-2025</t>
        </is>
      </c>
      <c r="B218" s="1" t="n">
        <v>45897.28637731481</v>
      </c>
      <c r="C218" s="1" t="n">
        <v>46131</v>
      </c>
      <c r="D218" t="inlineStr">
        <is>
          <t>NORRBOTTENS LÄN</t>
        </is>
      </c>
      <c r="E218" t="inlineStr">
        <is>
          <t>LULEÅ</t>
        </is>
      </c>
      <c r="G218" t="n">
        <v>2.4</v>
      </c>
      <c r="H218" t="n">
        <v>0</v>
      </c>
      <c r="I218" t="n">
        <v>0</v>
      </c>
      <c r="J218" t="n">
        <v>0</v>
      </c>
      <c r="K218" t="n">
        <v>0</v>
      </c>
      <c r="L218" t="n">
        <v>0</v>
      </c>
      <c r="M218" t="n">
        <v>0</v>
      </c>
      <c r="N218" t="n">
        <v>0</v>
      </c>
      <c r="O218" t="n">
        <v>0</v>
      </c>
      <c r="P218" t="n">
        <v>0</v>
      </c>
      <c r="Q218" t="n">
        <v>0</v>
      </c>
      <c r="R218" s="2" t="inlineStr"/>
    </row>
    <row r="219" ht="15" customHeight="1">
      <c r="A219" t="inlineStr">
        <is>
          <t>A 51277-2024</t>
        </is>
      </c>
      <c r="B219" s="1" t="n">
        <v>45603.74953703704</v>
      </c>
      <c r="C219" s="1" t="n">
        <v>46131</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6552-2024</t>
        </is>
      </c>
      <c r="B220" s="1" t="n">
        <v>45341</v>
      </c>
      <c r="C220" s="1" t="n">
        <v>46131</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47918-2024</t>
        </is>
      </c>
      <c r="B221" s="1" t="n">
        <v>45589.34434027778</v>
      </c>
      <c r="C221" s="1" t="n">
        <v>46131</v>
      </c>
      <c r="D221" t="inlineStr">
        <is>
          <t>NORRBOTTENS LÄN</t>
        </is>
      </c>
      <c r="E221" t="inlineStr">
        <is>
          <t>LULEÅ</t>
        </is>
      </c>
      <c r="F221" t="inlineStr">
        <is>
          <t>Naturvårdsverket</t>
        </is>
      </c>
      <c r="G221" t="n">
        <v>6.2</v>
      </c>
      <c r="H221" t="n">
        <v>0</v>
      </c>
      <c r="I221" t="n">
        <v>0</v>
      </c>
      <c r="J221" t="n">
        <v>0</v>
      </c>
      <c r="K221" t="n">
        <v>0</v>
      </c>
      <c r="L221" t="n">
        <v>0</v>
      </c>
      <c r="M221" t="n">
        <v>0</v>
      </c>
      <c r="N221" t="n">
        <v>0</v>
      </c>
      <c r="O221" t="n">
        <v>0</v>
      </c>
      <c r="P221" t="n">
        <v>0</v>
      </c>
      <c r="Q221" t="n">
        <v>0</v>
      </c>
      <c r="R221" s="2" t="inlineStr"/>
    </row>
    <row r="222" ht="15" customHeight="1">
      <c r="A222" t="inlineStr">
        <is>
          <t>A 53264-2025</t>
        </is>
      </c>
      <c r="B222" s="1" t="n">
        <v>45958.67831018518</v>
      </c>
      <c r="C222" s="1" t="n">
        <v>46131</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5137-2024</t>
        </is>
      </c>
      <c r="B223" s="1" t="n">
        <v>45330.46430555556</v>
      </c>
      <c r="C223" s="1" t="n">
        <v>46131</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42496-2024</t>
        </is>
      </c>
      <c r="B224" s="1" t="n">
        <v>45565.49769675926</v>
      </c>
      <c r="C224" s="1" t="n">
        <v>46131</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19594-2025</t>
        </is>
      </c>
      <c r="B225" s="1" t="n">
        <v>45770.57881944445</v>
      </c>
      <c r="C225" s="1" t="n">
        <v>46131</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52677-2025</t>
        </is>
      </c>
      <c r="B226" s="1" t="n">
        <v>45956.34443287037</v>
      </c>
      <c r="C226" s="1" t="n">
        <v>46131</v>
      </c>
      <c r="D226" t="inlineStr">
        <is>
          <t>NORRBOTTENS LÄN</t>
        </is>
      </c>
      <c r="E226" t="inlineStr">
        <is>
          <t>LULEÅ</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35902-2025</t>
        </is>
      </c>
      <c r="B227" s="1" t="n">
        <v>45862.48990740741</v>
      </c>
      <c r="C227" s="1" t="n">
        <v>46131</v>
      </c>
      <c r="D227" t="inlineStr">
        <is>
          <t>NORRBOTTENS LÄN</t>
        </is>
      </c>
      <c r="E227" t="inlineStr">
        <is>
          <t>LULEÅ</t>
        </is>
      </c>
      <c r="G227" t="n">
        <v>2.1</v>
      </c>
      <c r="H227" t="n">
        <v>0</v>
      </c>
      <c r="I227" t="n">
        <v>0</v>
      </c>
      <c r="J227" t="n">
        <v>0</v>
      </c>
      <c r="K227" t="n">
        <v>0</v>
      </c>
      <c r="L227" t="n">
        <v>0</v>
      </c>
      <c r="M227" t="n">
        <v>0</v>
      </c>
      <c r="N227" t="n">
        <v>0</v>
      </c>
      <c r="O227" t="n">
        <v>0</v>
      </c>
      <c r="P227" t="n">
        <v>0</v>
      </c>
      <c r="Q227" t="n">
        <v>0</v>
      </c>
      <c r="R227" s="2" t="inlineStr"/>
    </row>
    <row r="228" ht="15" customHeight="1">
      <c r="A228" t="inlineStr">
        <is>
          <t>A 35912-2025</t>
        </is>
      </c>
      <c r="B228" s="1" t="n">
        <v>45862.53150462963</v>
      </c>
      <c r="C228" s="1" t="n">
        <v>46131</v>
      </c>
      <c r="D228" t="inlineStr">
        <is>
          <t>NORRBOTTENS LÄN</t>
        </is>
      </c>
      <c r="E228" t="inlineStr">
        <is>
          <t>LULEÅ</t>
        </is>
      </c>
      <c r="G228" t="n">
        <v>5.5</v>
      </c>
      <c r="H228" t="n">
        <v>0</v>
      </c>
      <c r="I228" t="n">
        <v>0</v>
      </c>
      <c r="J228" t="n">
        <v>0</v>
      </c>
      <c r="K228" t="n">
        <v>0</v>
      </c>
      <c r="L228" t="n">
        <v>0</v>
      </c>
      <c r="M228" t="n">
        <v>0</v>
      </c>
      <c r="N228" t="n">
        <v>0</v>
      </c>
      <c r="O228" t="n">
        <v>0</v>
      </c>
      <c r="P228" t="n">
        <v>0</v>
      </c>
      <c r="Q228" t="n">
        <v>0</v>
      </c>
      <c r="R228" s="2" t="inlineStr"/>
    </row>
    <row r="229" ht="15" customHeight="1">
      <c r="A229" t="inlineStr">
        <is>
          <t>A 4921-2025</t>
        </is>
      </c>
      <c r="B229" s="1" t="n">
        <v>45688.68416666667</v>
      </c>
      <c r="C229" s="1" t="n">
        <v>46131</v>
      </c>
      <c r="D229" t="inlineStr">
        <is>
          <t>NORRBOTTENS LÄN</t>
        </is>
      </c>
      <c r="E229" t="inlineStr">
        <is>
          <t>LULEÅ</t>
        </is>
      </c>
      <c r="G229" t="n">
        <v>2.7</v>
      </c>
      <c r="H229" t="n">
        <v>0</v>
      </c>
      <c r="I229" t="n">
        <v>0</v>
      </c>
      <c r="J229" t="n">
        <v>0</v>
      </c>
      <c r="K229" t="n">
        <v>0</v>
      </c>
      <c r="L229" t="n">
        <v>0</v>
      </c>
      <c r="M229" t="n">
        <v>0</v>
      </c>
      <c r="N229" t="n">
        <v>0</v>
      </c>
      <c r="O229" t="n">
        <v>0</v>
      </c>
      <c r="P229" t="n">
        <v>0</v>
      </c>
      <c r="Q229" t="n">
        <v>0</v>
      </c>
      <c r="R229" s="2" t="inlineStr"/>
    </row>
    <row r="230" ht="15" customHeight="1">
      <c r="A230" t="inlineStr">
        <is>
          <t>A 52688-2025</t>
        </is>
      </c>
      <c r="B230" s="1" t="n">
        <v>45956.38578703703</v>
      </c>
      <c r="C230" s="1" t="n">
        <v>46131</v>
      </c>
      <c r="D230" t="inlineStr">
        <is>
          <t>NORRBOTTENS LÄN</t>
        </is>
      </c>
      <c r="E230" t="inlineStr">
        <is>
          <t>LULEÅ</t>
        </is>
      </c>
      <c r="F230" t="inlineStr">
        <is>
          <t>SCA</t>
        </is>
      </c>
      <c r="G230" t="n">
        <v>4.6</v>
      </c>
      <c r="H230" t="n">
        <v>0</v>
      </c>
      <c r="I230" t="n">
        <v>0</v>
      </c>
      <c r="J230" t="n">
        <v>0</v>
      </c>
      <c r="K230" t="n">
        <v>0</v>
      </c>
      <c r="L230" t="n">
        <v>0</v>
      </c>
      <c r="M230" t="n">
        <v>0</v>
      </c>
      <c r="N230" t="n">
        <v>0</v>
      </c>
      <c r="O230" t="n">
        <v>0</v>
      </c>
      <c r="P230" t="n">
        <v>0</v>
      </c>
      <c r="Q230" t="n">
        <v>0</v>
      </c>
      <c r="R230" s="2" t="inlineStr"/>
    </row>
    <row r="231" ht="15" customHeight="1">
      <c r="A231" t="inlineStr">
        <is>
          <t>A 11716-2023</t>
        </is>
      </c>
      <c r="B231" s="1" t="n">
        <v>44992</v>
      </c>
      <c r="C231" s="1" t="n">
        <v>46131</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42217-2025</t>
        </is>
      </c>
      <c r="B232" s="1" t="n">
        <v>45904.51274305556</v>
      </c>
      <c r="C232" s="1" t="n">
        <v>46131</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42218-2025</t>
        </is>
      </c>
      <c r="B233" s="1" t="n">
        <v>45904.51621527778</v>
      </c>
      <c r="C233" s="1" t="n">
        <v>46131</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52678-2025</t>
        </is>
      </c>
      <c r="B234" s="1" t="n">
        <v>45956.34459490741</v>
      </c>
      <c r="C234" s="1" t="n">
        <v>46131</v>
      </c>
      <c r="D234" t="inlineStr">
        <is>
          <t>NORRBOTTENS LÄN</t>
        </is>
      </c>
      <c r="E234" t="inlineStr">
        <is>
          <t>LULEÅ</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49727-2022</t>
        </is>
      </c>
      <c r="B235" s="1" t="n">
        <v>44859</v>
      </c>
      <c r="C235" s="1" t="n">
        <v>46131</v>
      </c>
      <c r="D235" t="inlineStr">
        <is>
          <t>NORRBOTTENS LÄN</t>
        </is>
      </c>
      <c r="E235" t="inlineStr">
        <is>
          <t>LULEÅ</t>
        </is>
      </c>
      <c r="G235" t="n">
        <v>3.5</v>
      </c>
      <c r="H235" t="n">
        <v>0</v>
      </c>
      <c r="I235" t="n">
        <v>0</v>
      </c>
      <c r="J235" t="n">
        <v>0</v>
      </c>
      <c r="K235" t="n">
        <v>0</v>
      </c>
      <c r="L235" t="n">
        <v>0</v>
      </c>
      <c r="M235" t="n">
        <v>0</v>
      </c>
      <c r="N235" t="n">
        <v>0</v>
      </c>
      <c r="O235" t="n">
        <v>0</v>
      </c>
      <c r="P235" t="n">
        <v>0</v>
      </c>
      <c r="Q235" t="n">
        <v>0</v>
      </c>
      <c r="R235" s="2" t="inlineStr"/>
    </row>
    <row r="236" ht="15" customHeight="1">
      <c r="A236" t="inlineStr">
        <is>
          <t>A 49746-2022</t>
        </is>
      </c>
      <c r="B236" s="1" t="n">
        <v>44859</v>
      </c>
      <c r="C236" s="1" t="n">
        <v>46131</v>
      </c>
      <c r="D236" t="inlineStr">
        <is>
          <t>NORRBOTTENS LÄN</t>
        </is>
      </c>
      <c r="E236" t="inlineStr">
        <is>
          <t>LULEÅ</t>
        </is>
      </c>
      <c r="G236" t="n">
        <v>1.6</v>
      </c>
      <c r="H236" t="n">
        <v>0</v>
      </c>
      <c r="I236" t="n">
        <v>0</v>
      </c>
      <c r="J236" t="n">
        <v>0</v>
      </c>
      <c r="K236" t="n">
        <v>0</v>
      </c>
      <c r="L236" t="n">
        <v>0</v>
      </c>
      <c r="M236" t="n">
        <v>0</v>
      </c>
      <c r="N236" t="n">
        <v>0</v>
      </c>
      <c r="O236" t="n">
        <v>0</v>
      </c>
      <c r="P236" t="n">
        <v>0</v>
      </c>
      <c r="Q236" t="n">
        <v>0</v>
      </c>
      <c r="R236" s="2" t="inlineStr"/>
    </row>
    <row r="237" ht="15" customHeight="1">
      <c r="A237" t="inlineStr">
        <is>
          <t>A 52953-2025</t>
        </is>
      </c>
      <c r="B237" s="1" t="n">
        <v>45957.65459490741</v>
      </c>
      <c r="C237" s="1" t="n">
        <v>46131</v>
      </c>
      <c r="D237" t="inlineStr">
        <is>
          <t>NORRBOTTENS LÄN</t>
        </is>
      </c>
      <c r="E237" t="inlineStr">
        <is>
          <t>LULEÅ</t>
        </is>
      </c>
      <c r="G237" t="n">
        <v>11.8</v>
      </c>
      <c r="H237" t="n">
        <v>0</v>
      </c>
      <c r="I237" t="n">
        <v>0</v>
      </c>
      <c r="J237" t="n">
        <v>0</v>
      </c>
      <c r="K237" t="n">
        <v>0</v>
      </c>
      <c r="L237" t="n">
        <v>0</v>
      </c>
      <c r="M237" t="n">
        <v>0</v>
      </c>
      <c r="N237" t="n">
        <v>0</v>
      </c>
      <c r="O237" t="n">
        <v>0</v>
      </c>
      <c r="P237" t="n">
        <v>0</v>
      </c>
      <c r="Q237" t="n">
        <v>0</v>
      </c>
      <c r="R237" s="2" t="inlineStr"/>
    </row>
    <row r="238" ht="15" customHeight="1">
      <c r="A238" t="inlineStr">
        <is>
          <t>A 11834-2025</t>
        </is>
      </c>
      <c r="B238" s="1" t="n">
        <v>45727</v>
      </c>
      <c r="C238" s="1" t="n">
        <v>46131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c r="U238">
        <f>HYPERLINK("https://klasma.github.io/Logging_2580/knärot/A 11834-2025 karta knärot.png", "A 11834-2025")</f>
        <v/>
      </c>
      <c r="V238">
        <f>HYPERLINK("https://klasma.github.io/Logging_2580/klagomål/A 11834-2025 FSC-klagomål.docx", "A 11834-2025")</f>
        <v/>
      </c>
      <c r="W238">
        <f>HYPERLINK("https://klasma.github.io/Logging_2580/klagomålsmail/A 11834-2025 FSC-klagomål mail.docx", "A 11834-2025")</f>
        <v/>
      </c>
      <c r="X238">
        <f>HYPERLINK("https://klasma.github.io/Logging_2580/tillsyn/A 11834-2025 tillsynsbegäran.docx", "A 11834-2025")</f>
        <v/>
      </c>
      <c r="Y238">
        <f>HYPERLINK("https://klasma.github.io/Logging_2580/tillsynsmail/A 11834-2025 tillsynsbegäran mail.docx", "A 11834-2025")</f>
        <v/>
      </c>
    </row>
    <row r="239" ht="15" customHeight="1">
      <c r="A239" t="inlineStr">
        <is>
          <t>A 58469-2024</t>
        </is>
      </c>
      <c r="B239" s="1" t="n">
        <v>45632</v>
      </c>
      <c r="C239" s="1" t="n">
        <v>46131</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46131</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53754-2023</t>
        </is>
      </c>
      <c r="B241" s="1" t="n">
        <v>45230</v>
      </c>
      <c r="C241" s="1" t="n">
        <v>46131</v>
      </c>
      <c r="D241" t="inlineStr">
        <is>
          <t>NORRBOTTENS LÄN</t>
        </is>
      </c>
      <c r="E241" t="inlineStr">
        <is>
          <t>LULEÅ</t>
        </is>
      </c>
      <c r="G241" t="n">
        <v>2.5</v>
      </c>
      <c r="H241" t="n">
        <v>0</v>
      </c>
      <c r="I241" t="n">
        <v>0</v>
      </c>
      <c r="J241" t="n">
        <v>0</v>
      </c>
      <c r="K241" t="n">
        <v>0</v>
      </c>
      <c r="L241" t="n">
        <v>0</v>
      </c>
      <c r="M241" t="n">
        <v>0</v>
      </c>
      <c r="N241" t="n">
        <v>0</v>
      </c>
      <c r="O241" t="n">
        <v>0</v>
      </c>
      <c r="P241" t="n">
        <v>0</v>
      </c>
      <c r="Q241" t="n">
        <v>0</v>
      </c>
      <c r="R241" s="2" t="inlineStr"/>
    </row>
    <row r="242" ht="15" customHeight="1">
      <c r="A242" t="inlineStr">
        <is>
          <t>A 46587-2023</t>
        </is>
      </c>
      <c r="B242" s="1" t="n">
        <v>45194</v>
      </c>
      <c r="C242" s="1" t="n">
        <v>46131</v>
      </c>
      <c r="D242" t="inlineStr">
        <is>
          <t>NORRBOTTENS LÄN</t>
        </is>
      </c>
      <c r="E242" t="inlineStr">
        <is>
          <t>LULEÅ</t>
        </is>
      </c>
      <c r="G242" t="n">
        <v>15.3</v>
      </c>
      <c r="H242" t="n">
        <v>0</v>
      </c>
      <c r="I242" t="n">
        <v>0</v>
      </c>
      <c r="J242" t="n">
        <v>0</v>
      </c>
      <c r="K242" t="n">
        <v>0</v>
      </c>
      <c r="L242" t="n">
        <v>0</v>
      </c>
      <c r="M242" t="n">
        <v>0</v>
      </c>
      <c r="N242" t="n">
        <v>0</v>
      </c>
      <c r="O242" t="n">
        <v>0</v>
      </c>
      <c r="P242" t="n">
        <v>0</v>
      </c>
      <c r="Q242" t="n">
        <v>0</v>
      </c>
      <c r="R242" s="2" t="inlineStr"/>
    </row>
    <row r="243" ht="15" customHeight="1">
      <c r="A243" t="inlineStr">
        <is>
          <t>A 43182-2025</t>
        </is>
      </c>
      <c r="B243" s="1" t="n">
        <v>45910.40729166667</v>
      </c>
      <c r="C243" s="1" t="n">
        <v>46131</v>
      </c>
      <c r="D243" t="inlineStr">
        <is>
          <t>NORRBOTTENS LÄN</t>
        </is>
      </c>
      <c r="E243" t="inlineStr">
        <is>
          <t>LULEÅ</t>
        </is>
      </c>
      <c r="G243" t="n">
        <v>17.7</v>
      </c>
      <c r="H243" t="n">
        <v>0</v>
      </c>
      <c r="I243" t="n">
        <v>0</v>
      </c>
      <c r="J243" t="n">
        <v>0</v>
      </c>
      <c r="K243" t="n">
        <v>0</v>
      </c>
      <c r="L243" t="n">
        <v>0</v>
      </c>
      <c r="M243" t="n">
        <v>0</v>
      </c>
      <c r="N243" t="n">
        <v>0</v>
      </c>
      <c r="O243" t="n">
        <v>0</v>
      </c>
      <c r="P243" t="n">
        <v>0</v>
      </c>
      <c r="Q243" t="n">
        <v>0</v>
      </c>
      <c r="R243" s="2" t="inlineStr"/>
    </row>
    <row r="244" ht="15" customHeight="1">
      <c r="A244" t="inlineStr">
        <is>
          <t>A 43112-2025</t>
        </is>
      </c>
      <c r="B244" s="1" t="n">
        <v>45909.66228009259</v>
      </c>
      <c r="C244" s="1" t="n">
        <v>46131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43113-2025</t>
        </is>
      </c>
      <c r="B245" s="1" t="n">
        <v>45909.6640625</v>
      </c>
      <c r="C245" s="1" t="n">
        <v>46131</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43115-2025</t>
        </is>
      </c>
      <c r="B246" s="1" t="n">
        <v>45909.66664351852</v>
      </c>
      <c r="C246" s="1" t="n">
        <v>46131</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43116-2025</t>
        </is>
      </c>
      <c r="B247" s="1" t="n">
        <v>45909.66799768519</v>
      </c>
      <c r="C247" s="1" t="n">
        <v>46131</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46131</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42133-2021</t>
        </is>
      </c>
      <c r="B249" s="1" t="n">
        <v>44426</v>
      </c>
      <c r="C249" s="1" t="n">
        <v>46131</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48379-2022</t>
        </is>
      </c>
      <c r="B250" s="1" t="n">
        <v>44854</v>
      </c>
      <c r="C250" s="1" t="n">
        <v>46131</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49401-2022</t>
        </is>
      </c>
      <c r="B251" s="1" t="n">
        <v>44861</v>
      </c>
      <c r="C251" s="1" t="n">
        <v>46131</v>
      </c>
      <c r="D251" t="inlineStr">
        <is>
          <t>NORRBOTTENS LÄN</t>
        </is>
      </c>
      <c r="E251" t="inlineStr">
        <is>
          <t>LULEÅ</t>
        </is>
      </c>
      <c r="G251" t="n">
        <v>8.4</v>
      </c>
      <c r="H251" t="n">
        <v>0</v>
      </c>
      <c r="I251" t="n">
        <v>0</v>
      </c>
      <c r="J251" t="n">
        <v>0</v>
      </c>
      <c r="K251" t="n">
        <v>0</v>
      </c>
      <c r="L251" t="n">
        <v>0</v>
      </c>
      <c r="M251" t="n">
        <v>0</v>
      </c>
      <c r="N251" t="n">
        <v>0</v>
      </c>
      <c r="O251" t="n">
        <v>0</v>
      </c>
      <c r="P251" t="n">
        <v>0</v>
      </c>
      <c r="Q251" t="n">
        <v>0</v>
      </c>
      <c r="R251" s="2" t="inlineStr"/>
    </row>
    <row r="252" ht="15" customHeight="1">
      <c r="A252" t="inlineStr">
        <is>
          <t>A 53704-2025</t>
        </is>
      </c>
      <c r="B252" s="1" t="n">
        <v>45960.60210648148</v>
      </c>
      <c r="C252" s="1" t="n">
        <v>46131</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53780-2025</t>
        </is>
      </c>
      <c r="B253" s="1" t="n">
        <v>45960.6988425926</v>
      </c>
      <c r="C253" s="1" t="n">
        <v>46131</v>
      </c>
      <c r="D253" t="inlineStr">
        <is>
          <t>NORRBOTTENS LÄN</t>
        </is>
      </c>
      <c r="E253" t="inlineStr">
        <is>
          <t>LULEÅ</t>
        </is>
      </c>
      <c r="G253" t="n">
        <v>5.2</v>
      </c>
      <c r="H253" t="n">
        <v>0</v>
      </c>
      <c r="I253" t="n">
        <v>0</v>
      </c>
      <c r="J253" t="n">
        <v>0</v>
      </c>
      <c r="K253" t="n">
        <v>0</v>
      </c>
      <c r="L253" t="n">
        <v>0</v>
      </c>
      <c r="M253" t="n">
        <v>0</v>
      </c>
      <c r="N253" t="n">
        <v>0</v>
      </c>
      <c r="O253" t="n">
        <v>0</v>
      </c>
      <c r="P253" t="n">
        <v>0</v>
      </c>
      <c r="Q253" t="n">
        <v>0</v>
      </c>
      <c r="R253" s="2" t="inlineStr"/>
    </row>
    <row r="254" ht="15" customHeight="1">
      <c r="A254" t="inlineStr">
        <is>
          <t>A 54280-2025</t>
        </is>
      </c>
      <c r="B254" s="1" t="n">
        <v>45964.70950231481</v>
      </c>
      <c r="C254" s="1" t="n">
        <v>46131</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54279-2025</t>
        </is>
      </c>
      <c r="B255" s="1" t="n">
        <v>45964.70471064815</v>
      </c>
      <c r="C255" s="1" t="n">
        <v>46131</v>
      </c>
      <c r="D255" t="inlineStr">
        <is>
          <t>NORRBOTTENS LÄN</t>
        </is>
      </c>
      <c r="E255" t="inlineStr">
        <is>
          <t>LULEÅ</t>
        </is>
      </c>
      <c r="G255" t="n">
        <v>2.6</v>
      </c>
      <c r="H255" t="n">
        <v>0</v>
      </c>
      <c r="I255" t="n">
        <v>0</v>
      </c>
      <c r="J255" t="n">
        <v>0</v>
      </c>
      <c r="K255" t="n">
        <v>0</v>
      </c>
      <c r="L255" t="n">
        <v>0</v>
      </c>
      <c r="M255" t="n">
        <v>0</v>
      </c>
      <c r="N255" t="n">
        <v>0</v>
      </c>
      <c r="O255" t="n">
        <v>0</v>
      </c>
      <c r="P255" t="n">
        <v>0</v>
      </c>
      <c r="Q255" t="n">
        <v>0</v>
      </c>
      <c r="R255" s="2" t="inlineStr"/>
    </row>
    <row r="256" ht="15" customHeight="1">
      <c r="A256" t="inlineStr">
        <is>
          <t>A 40697-2024</t>
        </is>
      </c>
      <c r="B256" s="1" t="n">
        <v>45558.41288194444</v>
      </c>
      <c r="C256" s="1" t="n">
        <v>46131</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57816-2022</t>
        </is>
      </c>
      <c r="B257" s="1" t="n">
        <v>44897.92487268519</v>
      </c>
      <c r="C257" s="1" t="n">
        <v>46131</v>
      </c>
      <c r="D257" t="inlineStr">
        <is>
          <t>NORRBOTTENS LÄN</t>
        </is>
      </c>
      <c r="E257" t="inlineStr">
        <is>
          <t>LULEÅ</t>
        </is>
      </c>
      <c r="G257" t="n">
        <v>3.4</v>
      </c>
      <c r="H257" t="n">
        <v>0</v>
      </c>
      <c r="I257" t="n">
        <v>0</v>
      </c>
      <c r="J257" t="n">
        <v>0</v>
      </c>
      <c r="K257" t="n">
        <v>0</v>
      </c>
      <c r="L257" t="n">
        <v>0</v>
      </c>
      <c r="M257" t="n">
        <v>0</v>
      </c>
      <c r="N257" t="n">
        <v>0</v>
      </c>
      <c r="O257" t="n">
        <v>0</v>
      </c>
      <c r="P257" t="n">
        <v>0</v>
      </c>
      <c r="Q257" t="n">
        <v>0</v>
      </c>
      <c r="R257" s="2" t="inlineStr"/>
    </row>
    <row r="258" ht="15" customHeight="1">
      <c r="A258" t="inlineStr">
        <is>
          <t>A 57821-2022</t>
        </is>
      </c>
      <c r="B258" s="1" t="n">
        <v>44897</v>
      </c>
      <c r="C258" s="1" t="n">
        <v>46131</v>
      </c>
      <c r="D258" t="inlineStr">
        <is>
          <t>NORRBOTTENS LÄN</t>
        </is>
      </c>
      <c r="E258" t="inlineStr">
        <is>
          <t>LULEÅ</t>
        </is>
      </c>
      <c r="G258" t="n">
        <v>8.6</v>
      </c>
      <c r="H258" t="n">
        <v>0</v>
      </c>
      <c r="I258" t="n">
        <v>0</v>
      </c>
      <c r="J258" t="n">
        <v>0</v>
      </c>
      <c r="K258" t="n">
        <v>0</v>
      </c>
      <c r="L258" t="n">
        <v>0</v>
      </c>
      <c r="M258" t="n">
        <v>0</v>
      </c>
      <c r="N258" t="n">
        <v>0</v>
      </c>
      <c r="O258" t="n">
        <v>0</v>
      </c>
      <c r="P258" t="n">
        <v>0</v>
      </c>
      <c r="Q258" t="n">
        <v>0</v>
      </c>
      <c r="R258" s="2" t="inlineStr"/>
    </row>
    <row r="259" ht="15" customHeight="1">
      <c r="A259" t="inlineStr">
        <is>
          <t>A 43976-2025</t>
        </is>
      </c>
      <c r="B259" s="1" t="n">
        <v>45915</v>
      </c>
      <c r="C259" s="1" t="n">
        <v>46131</v>
      </c>
      <c r="D259" t="inlineStr">
        <is>
          <t>NORRBOTTENS LÄN</t>
        </is>
      </c>
      <c r="E259" t="inlineStr">
        <is>
          <t>LULEÅ</t>
        </is>
      </c>
      <c r="G259" t="n">
        <v>6.2</v>
      </c>
      <c r="H259" t="n">
        <v>0</v>
      </c>
      <c r="I259" t="n">
        <v>0</v>
      </c>
      <c r="J259" t="n">
        <v>0</v>
      </c>
      <c r="K259" t="n">
        <v>0</v>
      </c>
      <c r="L259" t="n">
        <v>0</v>
      </c>
      <c r="M259" t="n">
        <v>0</v>
      </c>
      <c r="N259" t="n">
        <v>0</v>
      </c>
      <c r="O259" t="n">
        <v>0</v>
      </c>
      <c r="P259" t="n">
        <v>0</v>
      </c>
      <c r="Q259" t="n">
        <v>0</v>
      </c>
      <c r="R259" s="2" t="inlineStr"/>
    </row>
    <row r="260" ht="15" customHeight="1">
      <c r="A260" t="inlineStr">
        <is>
          <t>A 54274-2025</t>
        </is>
      </c>
      <c r="B260" s="1" t="n">
        <v>45964.6821875</v>
      </c>
      <c r="C260" s="1" t="n">
        <v>46131</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43953-2025</t>
        </is>
      </c>
      <c r="B261" s="1" t="n">
        <v>45915.38332175926</v>
      </c>
      <c r="C261" s="1" t="n">
        <v>46131</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54436-2025</t>
        </is>
      </c>
      <c r="B262" s="1" t="n">
        <v>45965.50042824074</v>
      </c>
      <c r="C262" s="1" t="n">
        <v>46131</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27107-2025</t>
        </is>
      </c>
      <c r="B263" s="1" t="n">
        <v>45811</v>
      </c>
      <c r="C263" s="1" t="n">
        <v>46131</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43955-2025</t>
        </is>
      </c>
      <c r="B264" s="1" t="n">
        <v>45915</v>
      </c>
      <c r="C264" s="1" t="n">
        <v>46131</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5688-2023</t>
        </is>
      </c>
      <c r="B265" s="1" t="n">
        <v>44960.92371527778</v>
      </c>
      <c r="C265" s="1" t="n">
        <v>46131</v>
      </c>
      <c r="D265" t="inlineStr">
        <is>
          <t>NORRBOTTENS LÄN</t>
        </is>
      </c>
      <c r="E265" t="inlineStr">
        <is>
          <t>LULEÅ</t>
        </is>
      </c>
      <c r="G265" t="n">
        <v>5.9</v>
      </c>
      <c r="H265" t="n">
        <v>0</v>
      </c>
      <c r="I265" t="n">
        <v>0</v>
      </c>
      <c r="J265" t="n">
        <v>0</v>
      </c>
      <c r="K265" t="n">
        <v>0</v>
      </c>
      <c r="L265" t="n">
        <v>0</v>
      </c>
      <c r="M265" t="n">
        <v>0</v>
      </c>
      <c r="N265" t="n">
        <v>0</v>
      </c>
      <c r="O265" t="n">
        <v>0</v>
      </c>
      <c r="P265" t="n">
        <v>0</v>
      </c>
      <c r="Q265" t="n">
        <v>0</v>
      </c>
      <c r="R265" s="2" t="inlineStr"/>
    </row>
    <row r="266" ht="15" customHeight="1">
      <c r="A266" t="inlineStr">
        <is>
          <t>A 44006-2025</t>
        </is>
      </c>
      <c r="B266" s="1" t="n">
        <v>45915</v>
      </c>
      <c r="C266" s="1" t="n">
        <v>46131</v>
      </c>
      <c r="D266" t="inlineStr">
        <is>
          <t>NORRBOTTENS LÄN</t>
        </is>
      </c>
      <c r="E266" t="inlineStr">
        <is>
          <t>LULEÅ</t>
        </is>
      </c>
      <c r="G266" t="n">
        <v>2.9</v>
      </c>
      <c r="H266" t="n">
        <v>0</v>
      </c>
      <c r="I266" t="n">
        <v>0</v>
      </c>
      <c r="J266" t="n">
        <v>0</v>
      </c>
      <c r="K266" t="n">
        <v>0</v>
      </c>
      <c r="L266" t="n">
        <v>0</v>
      </c>
      <c r="M266" t="n">
        <v>0</v>
      </c>
      <c r="N266" t="n">
        <v>0</v>
      </c>
      <c r="O266" t="n">
        <v>0</v>
      </c>
      <c r="P266" t="n">
        <v>0</v>
      </c>
      <c r="Q266" t="n">
        <v>0</v>
      </c>
      <c r="R266" s="2" t="inlineStr"/>
    </row>
    <row r="267" ht="15" customHeight="1">
      <c r="A267" t="inlineStr">
        <is>
          <t>A 54428-2025</t>
        </is>
      </c>
      <c r="B267" s="1" t="n">
        <v>45965.49263888889</v>
      </c>
      <c r="C267" s="1" t="n">
        <v>46131</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54398-2025</t>
        </is>
      </c>
      <c r="B268" s="1" t="n">
        <v>45965.44887731481</v>
      </c>
      <c r="C268" s="1" t="n">
        <v>46131</v>
      </c>
      <c r="D268" t="inlineStr">
        <is>
          <t>NORRBOTTENS LÄN</t>
        </is>
      </c>
      <c r="E268" t="inlineStr">
        <is>
          <t>LULEÅ</t>
        </is>
      </c>
      <c r="G268" t="n">
        <v>8.6</v>
      </c>
      <c r="H268" t="n">
        <v>0</v>
      </c>
      <c r="I268" t="n">
        <v>0</v>
      </c>
      <c r="J268" t="n">
        <v>0</v>
      </c>
      <c r="K268" t="n">
        <v>0</v>
      </c>
      <c r="L268" t="n">
        <v>0</v>
      </c>
      <c r="M268" t="n">
        <v>0</v>
      </c>
      <c r="N268" t="n">
        <v>0</v>
      </c>
      <c r="O268" t="n">
        <v>0</v>
      </c>
      <c r="P268" t="n">
        <v>0</v>
      </c>
      <c r="Q268" t="n">
        <v>0</v>
      </c>
      <c r="R268" s="2" t="inlineStr"/>
    </row>
    <row r="269" ht="15" customHeight="1">
      <c r="A269" t="inlineStr">
        <is>
          <t>A 54442-2025</t>
        </is>
      </c>
      <c r="B269" s="1" t="n">
        <v>45965.50621527778</v>
      </c>
      <c r="C269" s="1" t="n">
        <v>46131</v>
      </c>
      <c r="D269" t="inlineStr">
        <is>
          <t>NORRBOTTENS LÄN</t>
        </is>
      </c>
      <c r="E269" t="inlineStr">
        <is>
          <t>LULEÅ</t>
        </is>
      </c>
      <c r="G269" t="n">
        <v>6.6</v>
      </c>
      <c r="H269" t="n">
        <v>0</v>
      </c>
      <c r="I269" t="n">
        <v>0</v>
      </c>
      <c r="J269" t="n">
        <v>0</v>
      </c>
      <c r="K269" t="n">
        <v>0</v>
      </c>
      <c r="L269" t="n">
        <v>0</v>
      </c>
      <c r="M269" t="n">
        <v>0</v>
      </c>
      <c r="N269" t="n">
        <v>0</v>
      </c>
      <c r="O269" t="n">
        <v>0</v>
      </c>
      <c r="P269" t="n">
        <v>0</v>
      </c>
      <c r="Q269" t="n">
        <v>0</v>
      </c>
      <c r="R269" s="2" t="inlineStr"/>
    </row>
    <row r="270" ht="15" customHeight="1">
      <c r="A270" t="inlineStr">
        <is>
          <t>A 54479-2025</t>
        </is>
      </c>
      <c r="B270" s="1" t="n">
        <v>45965.58432870371</v>
      </c>
      <c r="C270" s="1" t="n">
        <v>46131</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54531-2025</t>
        </is>
      </c>
      <c r="B271" s="1" t="n">
        <v>45965</v>
      </c>
      <c r="C271" s="1" t="n">
        <v>46131</v>
      </c>
      <c r="D271" t="inlineStr">
        <is>
          <t>NORRBOTTENS LÄN</t>
        </is>
      </c>
      <c r="E271" t="inlineStr">
        <is>
          <t>LULEÅ</t>
        </is>
      </c>
      <c r="G271" t="n">
        <v>2.3</v>
      </c>
      <c r="H271" t="n">
        <v>0</v>
      </c>
      <c r="I271" t="n">
        <v>0</v>
      </c>
      <c r="J271" t="n">
        <v>0</v>
      </c>
      <c r="K271" t="n">
        <v>0</v>
      </c>
      <c r="L271" t="n">
        <v>0</v>
      </c>
      <c r="M271" t="n">
        <v>0</v>
      </c>
      <c r="N271" t="n">
        <v>0</v>
      </c>
      <c r="O271" t="n">
        <v>0</v>
      </c>
      <c r="P271" t="n">
        <v>0</v>
      </c>
      <c r="Q271" t="n">
        <v>0</v>
      </c>
      <c r="R271" s="2" t="inlineStr"/>
    </row>
    <row r="272" ht="15" customHeight="1">
      <c r="A272" t="inlineStr">
        <is>
          <t>A 54558-2025</t>
        </is>
      </c>
      <c r="B272" s="1" t="n">
        <v>45965.66197916667</v>
      </c>
      <c r="C272" s="1" t="n">
        <v>46131</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54559-2025</t>
        </is>
      </c>
      <c r="B273" s="1" t="n">
        <v>45965.66282407408</v>
      </c>
      <c r="C273" s="1" t="n">
        <v>46131</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62697-2022</t>
        </is>
      </c>
      <c r="B274" s="1" t="n">
        <v>44917</v>
      </c>
      <c r="C274" s="1" t="n">
        <v>46131</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55090-2025</t>
        </is>
      </c>
      <c r="B275" s="1" t="n">
        <v>45968.34435185185</v>
      </c>
      <c r="C275" s="1" t="n">
        <v>46131</v>
      </c>
      <c r="D275" t="inlineStr">
        <is>
          <t>NORRBOTTENS LÄN</t>
        </is>
      </c>
      <c r="E275" t="inlineStr">
        <is>
          <t>LULEÅ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44662-2025</t>
        </is>
      </c>
      <c r="B276" s="1" t="n">
        <v>45917.55898148148</v>
      </c>
      <c r="C276" s="1" t="n">
        <v>46131</v>
      </c>
      <c r="D276" t="inlineStr">
        <is>
          <t>NORRBOTTENS LÄN</t>
        </is>
      </c>
      <c r="E276" t="inlineStr">
        <is>
          <t>LULEÅ</t>
        </is>
      </c>
      <c r="G276" t="n">
        <v>8.6</v>
      </c>
      <c r="H276" t="n">
        <v>0</v>
      </c>
      <c r="I276" t="n">
        <v>0</v>
      </c>
      <c r="J276" t="n">
        <v>0</v>
      </c>
      <c r="K276" t="n">
        <v>0</v>
      </c>
      <c r="L276" t="n">
        <v>0</v>
      </c>
      <c r="M276" t="n">
        <v>0</v>
      </c>
      <c r="N276" t="n">
        <v>0</v>
      </c>
      <c r="O276" t="n">
        <v>0</v>
      </c>
      <c r="P276" t="n">
        <v>0</v>
      </c>
      <c r="Q276" t="n">
        <v>0</v>
      </c>
      <c r="R276" s="2" t="inlineStr"/>
    </row>
    <row r="277" ht="15" customHeight="1">
      <c r="A277" t="inlineStr">
        <is>
          <t>A 45000-2025</t>
        </is>
      </c>
      <c r="B277" s="1" t="n">
        <v>45918</v>
      </c>
      <c r="C277" s="1" t="n">
        <v>46131</v>
      </c>
      <c r="D277" t="inlineStr">
        <is>
          <t>NORRBOTTENS LÄN</t>
        </is>
      </c>
      <c r="E277" t="inlineStr">
        <is>
          <t>LULEÅ</t>
        </is>
      </c>
      <c r="G277" t="n">
        <v>4</v>
      </c>
      <c r="H277" t="n">
        <v>0</v>
      </c>
      <c r="I277" t="n">
        <v>0</v>
      </c>
      <c r="J277" t="n">
        <v>0</v>
      </c>
      <c r="K277" t="n">
        <v>0</v>
      </c>
      <c r="L277" t="n">
        <v>0</v>
      </c>
      <c r="M277" t="n">
        <v>0</v>
      </c>
      <c r="N277" t="n">
        <v>0</v>
      </c>
      <c r="O277" t="n">
        <v>0</v>
      </c>
      <c r="P277" t="n">
        <v>0</v>
      </c>
      <c r="Q277" t="n">
        <v>0</v>
      </c>
      <c r="R277" s="2" t="inlineStr"/>
    </row>
    <row r="278" ht="15" customHeight="1">
      <c r="A278" t="inlineStr">
        <is>
          <t>A 2006-2023</t>
        </is>
      </c>
      <c r="B278" s="1" t="n">
        <v>44937</v>
      </c>
      <c r="C278" s="1" t="n">
        <v>46131</v>
      </c>
      <c r="D278" t="inlineStr">
        <is>
          <t>NORRBOTTENS LÄN</t>
        </is>
      </c>
      <c r="E278" t="inlineStr">
        <is>
          <t>LULEÅ</t>
        </is>
      </c>
      <c r="G278" t="n">
        <v>0.4</v>
      </c>
      <c r="H278" t="n">
        <v>0</v>
      </c>
      <c r="I278" t="n">
        <v>0</v>
      </c>
      <c r="J278" t="n">
        <v>0</v>
      </c>
      <c r="K278" t="n">
        <v>0</v>
      </c>
      <c r="L278" t="n">
        <v>0</v>
      </c>
      <c r="M278" t="n">
        <v>0</v>
      </c>
      <c r="N278" t="n">
        <v>0</v>
      </c>
      <c r="O278" t="n">
        <v>0</v>
      </c>
      <c r="P278" t="n">
        <v>0</v>
      </c>
      <c r="Q278" t="n">
        <v>0</v>
      </c>
      <c r="R278" s="2" t="inlineStr"/>
    </row>
    <row r="279" ht="15" customHeight="1">
      <c r="A279" t="inlineStr">
        <is>
          <t>A 27526-2025</t>
        </is>
      </c>
      <c r="B279" s="1" t="n">
        <v>45813</v>
      </c>
      <c r="C279" s="1" t="n">
        <v>46131</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44982-2025</t>
        </is>
      </c>
      <c r="B280" s="1" t="n">
        <v>45918</v>
      </c>
      <c r="C280" s="1" t="n">
        <v>46131</v>
      </c>
      <c r="D280" t="inlineStr">
        <is>
          <t>NORRBOTTENS LÄN</t>
        </is>
      </c>
      <c r="E280" t="inlineStr">
        <is>
          <t>LULEÅ</t>
        </is>
      </c>
      <c r="G280" t="n">
        <v>13.7</v>
      </c>
      <c r="H280" t="n">
        <v>0</v>
      </c>
      <c r="I280" t="n">
        <v>0</v>
      </c>
      <c r="J280" t="n">
        <v>0</v>
      </c>
      <c r="K280" t="n">
        <v>0</v>
      </c>
      <c r="L280" t="n">
        <v>0</v>
      </c>
      <c r="M280" t="n">
        <v>0</v>
      </c>
      <c r="N280" t="n">
        <v>0</v>
      </c>
      <c r="O280" t="n">
        <v>0</v>
      </c>
      <c r="P280" t="n">
        <v>0</v>
      </c>
      <c r="Q280" t="n">
        <v>0</v>
      </c>
      <c r="R280" s="2" t="inlineStr"/>
    </row>
    <row r="281" ht="15" customHeight="1">
      <c r="A281" t="inlineStr">
        <is>
          <t>A 27463-2025</t>
        </is>
      </c>
      <c r="B281" s="1" t="n">
        <v>45813.34618055556</v>
      </c>
      <c r="C281" s="1" t="n">
        <v>46131</v>
      </c>
      <c r="D281" t="inlineStr">
        <is>
          <t>NORRBOTTENS LÄN</t>
        </is>
      </c>
      <c r="E281" t="inlineStr">
        <is>
          <t>LULEÅ</t>
        </is>
      </c>
      <c r="F281" t="inlineStr">
        <is>
          <t>Naturvårdsverket</t>
        </is>
      </c>
      <c r="G281" t="n">
        <v>8.6</v>
      </c>
      <c r="H281" t="n">
        <v>0</v>
      </c>
      <c r="I281" t="n">
        <v>0</v>
      </c>
      <c r="J281" t="n">
        <v>0</v>
      </c>
      <c r="K281" t="n">
        <v>0</v>
      </c>
      <c r="L281" t="n">
        <v>0</v>
      </c>
      <c r="M281" t="n">
        <v>0</v>
      </c>
      <c r="N281" t="n">
        <v>0</v>
      </c>
      <c r="O281" t="n">
        <v>0</v>
      </c>
      <c r="P281" t="n">
        <v>0</v>
      </c>
      <c r="Q281" t="n">
        <v>0</v>
      </c>
      <c r="R281" s="2" t="inlineStr"/>
    </row>
    <row r="282" ht="15" customHeight="1">
      <c r="A282" t="inlineStr">
        <is>
          <t>A 45472-2025</t>
        </is>
      </c>
      <c r="B282" s="1" t="n">
        <v>45922.5109837963</v>
      </c>
      <c r="C282" s="1" t="n">
        <v>46131</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28344-2025</t>
        </is>
      </c>
      <c r="B283" s="1" t="n">
        <v>45817</v>
      </c>
      <c r="C283" s="1" t="n">
        <v>46131</v>
      </c>
      <c r="D283" t="inlineStr">
        <is>
          <t>NORRBOTTENS LÄN</t>
        </is>
      </c>
      <c r="E283" t="inlineStr">
        <is>
          <t>LULEÅ</t>
        </is>
      </c>
      <c r="G283" t="n">
        <v>2.2</v>
      </c>
      <c r="H283" t="n">
        <v>0</v>
      </c>
      <c r="I283" t="n">
        <v>0</v>
      </c>
      <c r="J283" t="n">
        <v>0</v>
      </c>
      <c r="K283" t="n">
        <v>0</v>
      </c>
      <c r="L283" t="n">
        <v>0</v>
      </c>
      <c r="M283" t="n">
        <v>0</v>
      </c>
      <c r="N283" t="n">
        <v>0</v>
      </c>
      <c r="O283" t="n">
        <v>0</v>
      </c>
      <c r="P283" t="n">
        <v>0</v>
      </c>
      <c r="Q283" t="n">
        <v>0</v>
      </c>
      <c r="R283" s="2" t="inlineStr"/>
    </row>
    <row r="284" ht="15" customHeight="1">
      <c r="A284" t="inlineStr">
        <is>
          <t>A 7393-2023</t>
        </is>
      </c>
      <c r="B284" s="1" t="n">
        <v>44966</v>
      </c>
      <c r="C284" s="1" t="n">
        <v>46131</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13846-2024</t>
        </is>
      </c>
      <c r="B285" s="1" t="n">
        <v>45390</v>
      </c>
      <c r="C285" s="1" t="n">
        <v>46131</v>
      </c>
      <c r="D285" t="inlineStr">
        <is>
          <t>NORRBOTTENS LÄN</t>
        </is>
      </c>
      <c r="E285" t="inlineStr">
        <is>
          <t>LULEÅ</t>
        </is>
      </c>
      <c r="G285" t="n">
        <v>16.4</v>
      </c>
      <c r="H285" t="n">
        <v>0</v>
      </c>
      <c r="I285" t="n">
        <v>0</v>
      </c>
      <c r="J285" t="n">
        <v>0</v>
      </c>
      <c r="K285" t="n">
        <v>0</v>
      </c>
      <c r="L285" t="n">
        <v>0</v>
      </c>
      <c r="M285" t="n">
        <v>0</v>
      </c>
      <c r="N285" t="n">
        <v>0</v>
      </c>
      <c r="O285" t="n">
        <v>0</v>
      </c>
      <c r="P285" t="n">
        <v>0</v>
      </c>
      <c r="Q285" t="n">
        <v>0</v>
      </c>
      <c r="R285" s="2" t="inlineStr"/>
    </row>
    <row r="286" ht="15" customHeight="1">
      <c r="A286" t="inlineStr">
        <is>
          <t>A 55443-2025</t>
        </is>
      </c>
      <c r="B286" s="1" t="n">
        <v>45971.49157407408</v>
      </c>
      <c r="C286" s="1" t="n">
        <v>46131</v>
      </c>
      <c r="D286" t="inlineStr">
        <is>
          <t>NORRBOTTENS LÄN</t>
        </is>
      </c>
      <c r="E286" t="inlineStr">
        <is>
          <t>LULEÅ</t>
        </is>
      </c>
      <c r="G286" t="n">
        <v>5.6</v>
      </c>
      <c r="H286" t="n">
        <v>0</v>
      </c>
      <c r="I286" t="n">
        <v>0</v>
      </c>
      <c r="J286" t="n">
        <v>0</v>
      </c>
      <c r="K286" t="n">
        <v>0</v>
      </c>
      <c r="L286" t="n">
        <v>0</v>
      </c>
      <c r="M286" t="n">
        <v>0</v>
      </c>
      <c r="N286" t="n">
        <v>0</v>
      </c>
      <c r="O286" t="n">
        <v>0</v>
      </c>
      <c r="P286" t="n">
        <v>0</v>
      </c>
      <c r="Q286" t="n">
        <v>0</v>
      </c>
      <c r="R286" s="2" t="inlineStr"/>
    </row>
    <row r="287" ht="15" customHeight="1">
      <c r="A287" t="inlineStr">
        <is>
          <t>A 45470-2025</t>
        </is>
      </c>
      <c r="B287" s="1" t="n">
        <v>45922.51091435185</v>
      </c>
      <c r="C287" s="1" t="n">
        <v>46131</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45673-2025</t>
        </is>
      </c>
      <c r="B288" s="1" t="n">
        <v>45922</v>
      </c>
      <c r="C288" s="1" t="n">
        <v>46131</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45684-2025</t>
        </is>
      </c>
      <c r="B289" s="1" t="n">
        <v>45918</v>
      </c>
      <c r="C289" s="1" t="n">
        <v>46131</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16296-2025</t>
        </is>
      </c>
      <c r="B290" s="1" t="n">
        <v>45751.34513888889</v>
      </c>
      <c r="C290" s="1" t="n">
        <v>46131</v>
      </c>
      <c r="D290" t="inlineStr">
        <is>
          <t>NORRBOTTENS LÄN</t>
        </is>
      </c>
      <c r="E290" t="inlineStr">
        <is>
          <t>LULEÅ</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45001-2025</t>
        </is>
      </c>
      <c r="B291" s="1" t="n">
        <v>45918</v>
      </c>
      <c r="C291" s="1" t="n">
        <v>46131</v>
      </c>
      <c r="D291" t="inlineStr">
        <is>
          <t>NORRBOTTENS LÄN</t>
        </is>
      </c>
      <c r="E291" t="inlineStr">
        <is>
          <t>LULEÅ</t>
        </is>
      </c>
      <c r="G291" t="n">
        <v>7.8</v>
      </c>
      <c r="H291" t="n">
        <v>0</v>
      </c>
      <c r="I291" t="n">
        <v>0</v>
      </c>
      <c r="J291" t="n">
        <v>0</v>
      </c>
      <c r="K291" t="n">
        <v>0</v>
      </c>
      <c r="L291" t="n">
        <v>0</v>
      </c>
      <c r="M291" t="n">
        <v>0</v>
      </c>
      <c r="N291" t="n">
        <v>0</v>
      </c>
      <c r="O291" t="n">
        <v>0</v>
      </c>
      <c r="P291" t="n">
        <v>0</v>
      </c>
      <c r="Q291" t="n">
        <v>0</v>
      </c>
      <c r="R291" s="2" t="inlineStr"/>
    </row>
    <row r="292" ht="15" customHeight="1">
      <c r="A292" t="inlineStr">
        <is>
          <t>A 45471-2025</t>
        </is>
      </c>
      <c r="B292" s="1" t="n">
        <v>45922.51094907407</v>
      </c>
      <c r="C292" s="1" t="n">
        <v>46131</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14128-2023</t>
        </is>
      </c>
      <c r="B293" s="1" t="n">
        <v>45009</v>
      </c>
      <c r="C293" s="1" t="n">
        <v>46131</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54213-2023</t>
        </is>
      </c>
      <c r="B294" s="1" t="n">
        <v>45232</v>
      </c>
      <c r="C294" s="1" t="n">
        <v>46131</v>
      </c>
      <c r="D294" t="inlineStr">
        <is>
          <t>NORRBOTTENS LÄN</t>
        </is>
      </c>
      <c r="E294" t="inlineStr">
        <is>
          <t>LULEÅ</t>
        </is>
      </c>
      <c r="G294" t="n">
        <v>0.2</v>
      </c>
      <c r="H294" t="n">
        <v>0</v>
      </c>
      <c r="I294" t="n">
        <v>0</v>
      </c>
      <c r="J294" t="n">
        <v>0</v>
      </c>
      <c r="K294" t="n">
        <v>0</v>
      </c>
      <c r="L294" t="n">
        <v>0</v>
      </c>
      <c r="M294" t="n">
        <v>0</v>
      </c>
      <c r="N294" t="n">
        <v>0</v>
      </c>
      <c r="O294" t="n">
        <v>0</v>
      </c>
      <c r="P294" t="n">
        <v>0</v>
      </c>
      <c r="Q294" t="n">
        <v>0</v>
      </c>
      <c r="R294" s="2" t="inlineStr"/>
    </row>
    <row r="295" ht="15" customHeight="1">
      <c r="A295" t="inlineStr">
        <is>
          <t>A 59656-2024</t>
        </is>
      </c>
      <c r="B295" s="1" t="n">
        <v>45639</v>
      </c>
      <c r="C295" s="1" t="n">
        <v>46131</v>
      </c>
      <c r="D295" t="inlineStr">
        <is>
          <t>NORRBOTTENS LÄN</t>
        </is>
      </c>
      <c r="E295" t="inlineStr">
        <is>
          <t>LULEÅ</t>
        </is>
      </c>
      <c r="G295" t="n">
        <v>4.3</v>
      </c>
      <c r="H295" t="n">
        <v>0</v>
      </c>
      <c r="I295" t="n">
        <v>0</v>
      </c>
      <c r="J295" t="n">
        <v>0</v>
      </c>
      <c r="K295" t="n">
        <v>0</v>
      </c>
      <c r="L295" t="n">
        <v>0</v>
      </c>
      <c r="M295" t="n">
        <v>0</v>
      </c>
      <c r="N295" t="n">
        <v>0</v>
      </c>
      <c r="O295" t="n">
        <v>0</v>
      </c>
      <c r="P295" t="n">
        <v>0</v>
      </c>
      <c r="Q295" t="n">
        <v>0</v>
      </c>
      <c r="R295" s="2" t="inlineStr"/>
    </row>
    <row r="296" ht="15" customHeight="1">
      <c r="A296" t="inlineStr">
        <is>
          <t>A 46117-2025</t>
        </is>
      </c>
      <c r="B296" s="1" t="n">
        <v>45924.5737962963</v>
      </c>
      <c r="C296" s="1" t="n">
        <v>46131</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44330-2024</t>
        </is>
      </c>
      <c r="B297" s="1" t="n">
        <v>45573.60027777778</v>
      </c>
      <c r="C297" s="1" t="n">
        <v>46131</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46060-2025</t>
        </is>
      </c>
      <c r="B298" s="1" t="n">
        <v>45924</v>
      </c>
      <c r="C298" s="1" t="n">
        <v>46131</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46314-2025</t>
        </is>
      </c>
      <c r="B299" s="1" t="n">
        <v>45925</v>
      </c>
      <c r="C299" s="1" t="n">
        <v>46131</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4941-2025</t>
        </is>
      </c>
      <c r="B300" s="1" t="n">
        <v>45688.6995949074</v>
      </c>
      <c r="C300" s="1" t="n">
        <v>46131</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19526-2025</t>
        </is>
      </c>
      <c r="B301" s="1" t="n">
        <v>45770.46388888889</v>
      </c>
      <c r="C301" s="1" t="n">
        <v>46131</v>
      </c>
      <c r="D301" t="inlineStr">
        <is>
          <t>NORRBOTTENS LÄN</t>
        </is>
      </c>
      <c r="E301" t="inlineStr">
        <is>
          <t>LULEÅ</t>
        </is>
      </c>
      <c r="G301" t="n">
        <v>10.6</v>
      </c>
      <c r="H301" t="n">
        <v>0</v>
      </c>
      <c r="I301" t="n">
        <v>0</v>
      </c>
      <c r="J301" t="n">
        <v>0</v>
      </c>
      <c r="K301" t="n">
        <v>0</v>
      </c>
      <c r="L301" t="n">
        <v>0</v>
      </c>
      <c r="M301" t="n">
        <v>0</v>
      </c>
      <c r="N301" t="n">
        <v>0</v>
      </c>
      <c r="O301" t="n">
        <v>0</v>
      </c>
      <c r="P301" t="n">
        <v>0</v>
      </c>
      <c r="Q301" t="n">
        <v>0</v>
      </c>
      <c r="R301" s="2" t="inlineStr"/>
    </row>
    <row r="302" ht="15" customHeight="1">
      <c r="A302" t="inlineStr">
        <is>
          <t>A 46430-2025</t>
        </is>
      </c>
      <c r="B302" s="1" t="n">
        <v>45925.61494212963</v>
      </c>
      <c r="C302" s="1" t="n">
        <v>46131</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46572-2025</t>
        </is>
      </c>
      <c r="B303" s="1" t="n">
        <v>45926.3683912037</v>
      </c>
      <c r="C303" s="1" t="n">
        <v>46131</v>
      </c>
      <c r="D303" t="inlineStr">
        <is>
          <t>NORRBOTTENS LÄN</t>
        </is>
      </c>
      <c r="E303" t="inlineStr">
        <is>
          <t>LULEÅ</t>
        </is>
      </c>
      <c r="G303" t="n">
        <v>15.1</v>
      </c>
      <c r="H303" t="n">
        <v>0</v>
      </c>
      <c r="I303" t="n">
        <v>0</v>
      </c>
      <c r="J303" t="n">
        <v>0</v>
      </c>
      <c r="K303" t="n">
        <v>0</v>
      </c>
      <c r="L303" t="n">
        <v>0</v>
      </c>
      <c r="M303" t="n">
        <v>0</v>
      </c>
      <c r="N303" t="n">
        <v>0</v>
      </c>
      <c r="O303" t="n">
        <v>0</v>
      </c>
      <c r="P303" t="n">
        <v>0</v>
      </c>
      <c r="Q303" t="n">
        <v>0</v>
      </c>
      <c r="R303" s="2" t="inlineStr"/>
    </row>
    <row r="304" ht="15" customHeight="1">
      <c r="A304" t="inlineStr">
        <is>
          <t>A 46469-2025</t>
        </is>
      </c>
      <c r="B304" s="1" t="n">
        <v>45925.68186342593</v>
      </c>
      <c r="C304" s="1" t="n">
        <v>46131</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29375-2025</t>
        </is>
      </c>
      <c r="B305" s="1" t="n">
        <v>45824.58546296296</v>
      </c>
      <c r="C305" s="1" t="n">
        <v>46131</v>
      </c>
      <c r="D305" t="inlineStr">
        <is>
          <t>NORRBOTTENS LÄN</t>
        </is>
      </c>
      <c r="E305" t="inlineStr">
        <is>
          <t>LULEÅ</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46344-2025</t>
        </is>
      </c>
      <c r="B306" s="1" t="n">
        <v>45925</v>
      </c>
      <c r="C306" s="1" t="n">
        <v>46131</v>
      </c>
      <c r="D306" t="inlineStr">
        <is>
          <t>NORRBOTTENS LÄN</t>
        </is>
      </c>
      <c r="E306" t="inlineStr">
        <is>
          <t>LULEÅ</t>
        </is>
      </c>
      <c r="F306" t="inlineStr">
        <is>
          <t>SCA</t>
        </is>
      </c>
      <c r="G306" t="n">
        <v>13.9</v>
      </c>
      <c r="H306" t="n">
        <v>0</v>
      </c>
      <c r="I306" t="n">
        <v>0</v>
      </c>
      <c r="J306" t="n">
        <v>0</v>
      </c>
      <c r="K306" t="n">
        <v>0</v>
      </c>
      <c r="L306" t="n">
        <v>0</v>
      </c>
      <c r="M306" t="n">
        <v>0</v>
      </c>
      <c r="N306" t="n">
        <v>0</v>
      </c>
      <c r="O306" t="n">
        <v>0</v>
      </c>
      <c r="P306" t="n">
        <v>0</v>
      </c>
      <c r="Q306" t="n">
        <v>0</v>
      </c>
      <c r="R306" s="2" t="inlineStr"/>
    </row>
    <row r="307" ht="15" customHeight="1">
      <c r="A307" t="inlineStr">
        <is>
          <t>A 30080-2025</t>
        </is>
      </c>
      <c r="B307" s="1" t="n">
        <v>45826.65047453704</v>
      </c>
      <c r="C307" s="1" t="n">
        <v>46131</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30059-2025</t>
        </is>
      </c>
      <c r="B308" s="1" t="n">
        <v>45826.61388888889</v>
      </c>
      <c r="C308" s="1" t="n">
        <v>46131</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30065-2025</t>
        </is>
      </c>
      <c r="B309" s="1" t="n">
        <v>45826.6207175926</v>
      </c>
      <c r="C309" s="1" t="n">
        <v>46131</v>
      </c>
      <c r="D309" t="inlineStr">
        <is>
          <t>NORRBOTTENS LÄN</t>
        </is>
      </c>
      <c r="E309" t="inlineStr">
        <is>
          <t>LULEÅ</t>
        </is>
      </c>
      <c r="G309" t="n">
        <v>4</v>
      </c>
      <c r="H309" t="n">
        <v>0</v>
      </c>
      <c r="I309" t="n">
        <v>0</v>
      </c>
      <c r="J309" t="n">
        <v>0</v>
      </c>
      <c r="K309" t="n">
        <v>0</v>
      </c>
      <c r="L309" t="n">
        <v>0</v>
      </c>
      <c r="M309" t="n">
        <v>0</v>
      </c>
      <c r="N309" t="n">
        <v>0</v>
      </c>
      <c r="O309" t="n">
        <v>0</v>
      </c>
      <c r="P309" t="n">
        <v>0</v>
      </c>
      <c r="Q309" t="n">
        <v>0</v>
      </c>
      <c r="R309" s="2" t="inlineStr"/>
    </row>
    <row r="310" ht="15" customHeight="1">
      <c r="A310" t="inlineStr">
        <is>
          <t>A 29975-2025</t>
        </is>
      </c>
      <c r="B310" s="1" t="n">
        <v>45826</v>
      </c>
      <c r="C310" s="1" t="n">
        <v>46131</v>
      </c>
      <c r="D310" t="inlineStr">
        <is>
          <t>NORRBOTTENS LÄN</t>
        </is>
      </c>
      <c r="E310" t="inlineStr">
        <is>
          <t>LULEÅ</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29896-2025</t>
        </is>
      </c>
      <c r="B311" s="1" t="n">
        <v>45826.38290509259</v>
      </c>
      <c r="C311" s="1" t="n">
        <v>46131</v>
      </c>
      <c r="D311" t="inlineStr">
        <is>
          <t>NORRBOTTENS LÄN</t>
        </is>
      </c>
      <c r="E311" t="inlineStr">
        <is>
          <t>LULEÅ</t>
        </is>
      </c>
      <c r="G311" t="n">
        <v>17.9</v>
      </c>
      <c r="H311" t="n">
        <v>0</v>
      </c>
      <c r="I311" t="n">
        <v>0</v>
      </c>
      <c r="J311" t="n">
        <v>0</v>
      </c>
      <c r="K311" t="n">
        <v>0</v>
      </c>
      <c r="L311" t="n">
        <v>0</v>
      </c>
      <c r="M311" t="n">
        <v>0</v>
      </c>
      <c r="N311" t="n">
        <v>0</v>
      </c>
      <c r="O311" t="n">
        <v>0</v>
      </c>
      <c r="P311" t="n">
        <v>0</v>
      </c>
      <c r="Q311" t="n">
        <v>0</v>
      </c>
      <c r="R311" s="2" t="inlineStr"/>
    </row>
    <row r="312" ht="15" customHeight="1">
      <c r="A312" t="inlineStr">
        <is>
          <t>A 30035-2025</t>
        </is>
      </c>
      <c r="B312" s="1" t="n">
        <v>45826.57041666667</v>
      </c>
      <c r="C312" s="1" t="n">
        <v>46131</v>
      </c>
      <c r="D312" t="inlineStr">
        <is>
          <t>NORRBOTTENS LÄN</t>
        </is>
      </c>
      <c r="E312" t="inlineStr">
        <is>
          <t>LULEÅ</t>
        </is>
      </c>
      <c r="G312" t="n">
        <v>16.6</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46131</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46131</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30056-2025</t>
        </is>
      </c>
      <c r="B315" s="1" t="n">
        <v>45826.6047800926</v>
      </c>
      <c r="C315" s="1" t="n">
        <v>46131</v>
      </c>
      <c r="D315" t="inlineStr">
        <is>
          <t>NORRBOTTENS LÄN</t>
        </is>
      </c>
      <c r="E315" t="inlineStr">
        <is>
          <t>LULEÅ</t>
        </is>
      </c>
      <c r="G315" t="n">
        <v>3.6</v>
      </c>
      <c r="H315" t="n">
        <v>0</v>
      </c>
      <c r="I315" t="n">
        <v>0</v>
      </c>
      <c r="J315" t="n">
        <v>0</v>
      </c>
      <c r="K315" t="n">
        <v>0</v>
      </c>
      <c r="L315" t="n">
        <v>0</v>
      </c>
      <c r="M315" t="n">
        <v>0</v>
      </c>
      <c r="N315" t="n">
        <v>0</v>
      </c>
      <c r="O315" t="n">
        <v>0</v>
      </c>
      <c r="P315" t="n">
        <v>0</v>
      </c>
      <c r="Q315" t="n">
        <v>0</v>
      </c>
      <c r="R315" s="2" t="inlineStr"/>
    </row>
    <row r="316" ht="15" customHeight="1">
      <c r="A316" t="inlineStr">
        <is>
          <t>A 29530-2025</t>
        </is>
      </c>
      <c r="B316" s="1" t="n">
        <v>45825.3443287037</v>
      </c>
      <c r="C316" s="1" t="n">
        <v>46131</v>
      </c>
      <c r="D316" t="inlineStr">
        <is>
          <t>NORRBOTTENS LÄN</t>
        </is>
      </c>
      <c r="E316" t="inlineStr">
        <is>
          <t>LULEÅ</t>
        </is>
      </c>
      <c r="F316" t="inlineStr">
        <is>
          <t>SCA</t>
        </is>
      </c>
      <c r="G316" t="n">
        <v>17.5</v>
      </c>
      <c r="H316" t="n">
        <v>0</v>
      </c>
      <c r="I316" t="n">
        <v>0</v>
      </c>
      <c r="J316" t="n">
        <v>0</v>
      </c>
      <c r="K316" t="n">
        <v>0</v>
      </c>
      <c r="L316" t="n">
        <v>0</v>
      </c>
      <c r="M316" t="n">
        <v>0</v>
      </c>
      <c r="N316" t="n">
        <v>0</v>
      </c>
      <c r="O316" t="n">
        <v>0</v>
      </c>
      <c r="P316" t="n">
        <v>0</v>
      </c>
      <c r="Q316" t="n">
        <v>0</v>
      </c>
      <c r="R316" s="2" t="inlineStr"/>
    </row>
    <row r="317" ht="15" customHeight="1">
      <c r="A317" t="inlineStr">
        <is>
          <t>A 47512-2025</t>
        </is>
      </c>
      <c r="B317" s="1" t="n">
        <v>45930</v>
      </c>
      <c r="C317" s="1" t="n">
        <v>46131</v>
      </c>
      <c r="D317" t="inlineStr">
        <is>
          <t>NORRBOTTENS LÄN</t>
        </is>
      </c>
      <c r="E317" t="inlineStr">
        <is>
          <t>LULEÅ</t>
        </is>
      </c>
      <c r="G317" t="n">
        <v>0.6</v>
      </c>
      <c r="H317" t="n">
        <v>0</v>
      </c>
      <c r="I317" t="n">
        <v>0</v>
      </c>
      <c r="J317" t="n">
        <v>0</v>
      </c>
      <c r="K317" t="n">
        <v>0</v>
      </c>
      <c r="L317" t="n">
        <v>0</v>
      </c>
      <c r="M317" t="n">
        <v>0</v>
      </c>
      <c r="N317" t="n">
        <v>0</v>
      </c>
      <c r="O317" t="n">
        <v>0</v>
      </c>
      <c r="P317" t="n">
        <v>0</v>
      </c>
      <c r="Q317" t="n">
        <v>0</v>
      </c>
      <c r="R317" s="2" t="inlineStr"/>
    </row>
    <row r="318" ht="15" customHeight="1">
      <c r="A318" t="inlineStr">
        <is>
          <t>A 30091-2025</t>
        </is>
      </c>
      <c r="B318" s="1" t="n">
        <v>45826</v>
      </c>
      <c r="C318" s="1" t="n">
        <v>46131</v>
      </c>
      <c r="D318" t="inlineStr">
        <is>
          <t>NORRBOTTENS LÄN</t>
        </is>
      </c>
      <c r="E318" t="inlineStr">
        <is>
          <t>LULEÅ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35158-2024</t>
        </is>
      </c>
      <c r="B319" s="1" t="n">
        <v>45530.39005787037</v>
      </c>
      <c r="C319" s="1" t="n">
        <v>46131</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47937-2025</t>
        </is>
      </c>
      <c r="B320" s="1" t="n">
        <v>45932.56042824074</v>
      </c>
      <c r="C320" s="1" t="n">
        <v>46131</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47928-2025</t>
        </is>
      </c>
      <c r="B321" s="1" t="n">
        <v>45932.54988425926</v>
      </c>
      <c r="C321" s="1" t="n">
        <v>46131</v>
      </c>
      <c r="D321" t="inlineStr">
        <is>
          <t>NORRBOTTENS LÄN</t>
        </is>
      </c>
      <c r="E321" t="inlineStr">
        <is>
          <t>LULEÅ</t>
        </is>
      </c>
      <c r="G321" t="n">
        <v>4.4</v>
      </c>
      <c r="H321" t="n">
        <v>0</v>
      </c>
      <c r="I321" t="n">
        <v>0</v>
      </c>
      <c r="J321" t="n">
        <v>0</v>
      </c>
      <c r="K321" t="n">
        <v>0</v>
      </c>
      <c r="L321" t="n">
        <v>0</v>
      </c>
      <c r="M321" t="n">
        <v>0</v>
      </c>
      <c r="N321" t="n">
        <v>0</v>
      </c>
      <c r="O321" t="n">
        <v>0</v>
      </c>
      <c r="P321" t="n">
        <v>0</v>
      </c>
      <c r="Q321" t="n">
        <v>0</v>
      </c>
      <c r="R321" s="2" t="inlineStr"/>
    </row>
    <row r="322" ht="15" customHeight="1">
      <c r="A322" t="inlineStr">
        <is>
          <t>A 47849-2025</t>
        </is>
      </c>
      <c r="B322" s="1" t="n">
        <v>45932.38608796296</v>
      </c>
      <c r="C322" s="1" t="n">
        <v>46131</v>
      </c>
      <c r="D322" t="inlineStr">
        <is>
          <t>NORRBOTTENS LÄN</t>
        </is>
      </c>
      <c r="E322" t="inlineStr">
        <is>
          <t>LULEÅ</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47888-2025</t>
        </is>
      </c>
      <c r="B323" s="1" t="n">
        <v>45932.46949074074</v>
      </c>
      <c r="C323" s="1" t="n">
        <v>46131</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53624-2023</t>
        </is>
      </c>
      <c r="B324" s="1" t="n">
        <v>45224</v>
      </c>
      <c r="C324" s="1" t="n">
        <v>46131</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48642-2023</t>
        </is>
      </c>
      <c r="B325" s="1" t="n">
        <v>45208</v>
      </c>
      <c r="C325" s="1" t="n">
        <v>46131</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30241-2025</t>
        </is>
      </c>
      <c r="B326" s="1" t="n">
        <v>45827.40512731481</v>
      </c>
      <c r="C326" s="1" t="n">
        <v>46131</v>
      </c>
      <c r="D326" t="inlineStr">
        <is>
          <t>NORRBOTTENS LÄN</t>
        </is>
      </c>
      <c r="E326" t="inlineStr">
        <is>
          <t>LULEÅ</t>
        </is>
      </c>
      <c r="G326" t="n">
        <v>3</v>
      </c>
      <c r="H326" t="n">
        <v>0</v>
      </c>
      <c r="I326" t="n">
        <v>0</v>
      </c>
      <c r="J326" t="n">
        <v>0</v>
      </c>
      <c r="K326" t="n">
        <v>0</v>
      </c>
      <c r="L326" t="n">
        <v>0</v>
      </c>
      <c r="M326" t="n">
        <v>0</v>
      </c>
      <c r="N326" t="n">
        <v>0</v>
      </c>
      <c r="O326" t="n">
        <v>0</v>
      </c>
      <c r="P326" t="n">
        <v>0</v>
      </c>
      <c r="Q326" t="n">
        <v>0</v>
      </c>
      <c r="R326" s="2" t="inlineStr"/>
    </row>
    <row r="327" ht="15" customHeight="1">
      <c r="A327" t="inlineStr">
        <is>
          <t>A 30237-2025</t>
        </is>
      </c>
      <c r="B327" s="1" t="n">
        <v>45827.39997685186</v>
      </c>
      <c r="C327" s="1" t="n">
        <v>46131</v>
      </c>
      <c r="D327" t="inlineStr">
        <is>
          <t>NORRBOTTENS LÄN</t>
        </is>
      </c>
      <c r="E327" t="inlineStr">
        <is>
          <t>LULEÅ</t>
        </is>
      </c>
      <c r="G327" t="n">
        <v>17.6</v>
      </c>
      <c r="H327" t="n">
        <v>0</v>
      </c>
      <c r="I327" t="n">
        <v>0</v>
      </c>
      <c r="J327" t="n">
        <v>0</v>
      </c>
      <c r="K327" t="n">
        <v>0</v>
      </c>
      <c r="L327" t="n">
        <v>0</v>
      </c>
      <c r="M327" t="n">
        <v>0</v>
      </c>
      <c r="N327" t="n">
        <v>0</v>
      </c>
      <c r="O327" t="n">
        <v>0</v>
      </c>
      <c r="P327" t="n">
        <v>0</v>
      </c>
      <c r="Q327" t="n">
        <v>0</v>
      </c>
      <c r="R327" s="2" t="inlineStr"/>
    </row>
    <row r="328" ht="15" customHeight="1">
      <c r="A328" t="inlineStr">
        <is>
          <t>A 30238-2025</t>
        </is>
      </c>
      <c r="B328" s="1" t="n">
        <v>45827.40238425926</v>
      </c>
      <c r="C328" s="1" t="n">
        <v>46131</v>
      </c>
      <c r="D328" t="inlineStr">
        <is>
          <t>NORRBOTTENS LÄN</t>
        </is>
      </c>
      <c r="E328" t="inlineStr">
        <is>
          <t>LULEÅ</t>
        </is>
      </c>
      <c r="G328" t="n">
        <v>10.2</v>
      </c>
      <c r="H328" t="n">
        <v>0</v>
      </c>
      <c r="I328" t="n">
        <v>0</v>
      </c>
      <c r="J328" t="n">
        <v>0</v>
      </c>
      <c r="K328" t="n">
        <v>0</v>
      </c>
      <c r="L328" t="n">
        <v>0</v>
      </c>
      <c r="M328" t="n">
        <v>0</v>
      </c>
      <c r="N328" t="n">
        <v>0</v>
      </c>
      <c r="O328" t="n">
        <v>0</v>
      </c>
      <c r="P328" t="n">
        <v>0</v>
      </c>
      <c r="Q328" t="n">
        <v>0</v>
      </c>
      <c r="R328" s="2" t="inlineStr"/>
    </row>
    <row r="329" ht="15" customHeight="1">
      <c r="A329" t="inlineStr">
        <is>
          <t>A 30245-2025</t>
        </is>
      </c>
      <c r="B329" s="1" t="n">
        <v>45827.4106712963</v>
      </c>
      <c r="C329" s="1" t="n">
        <v>46131</v>
      </c>
      <c r="D329" t="inlineStr">
        <is>
          <t>NORRBOTTENS LÄN</t>
        </is>
      </c>
      <c r="E329" t="inlineStr">
        <is>
          <t>LULEÅ</t>
        </is>
      </c>
      <c r="G329" t="n">
        <v>1.9</v>
      </c>
      <c r="H329" t="n">
        <v>0</v>
      </c>
      <c r="I329" t="n">
        <v>0</v>
      </c>
      <c r="J329" t="n">
        <v>0</v>
      </c>
      <c r="K329" t="n">
        <v>0</v>
      </c>
      <c r="L329" t="n">
        <v>0</v>
      </c>
      <c r="M329" t="n">
        <v>0</v>
      </c>
      <c r="N329" t="n">
        <v>0</v>
      </c>
      <c r="O329" t="n">
        <v>0</v>
      </c>
      <c r="P329" t="n">
        <v>0</v>
      </c>
      <c r="Q329" t="n">
        <v>0</v>
      </c>
      <c r="R329" s="2" t="inlineStr"/>
    </row>
    <row r="330" ht="15" customHeight="1">
      <c r="A330" t="inlineStr">
        <is>
          <t>A 48547-2025</t>
        </is>
      </c>
      <c r="B330" s="1" t="n">
        <v>45936.42197916667</v>
      </c>
      <c r="C330" s="1" t="n">
        <v>46131</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48692-2025</t>
        </is>
      </c>
      <c r="B331" s="1" t="n">
        <v>45936.61344907407</v>
      </c>
      <c r="C331" s="1" t="n">
        <v>46131</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30907-2025</t>
        </is>
      </c>
      <c r="B332" s="1" t="n">
        <v>45832.36484953704</v>
      </c>
      <c r="C332" s="1" t="n">
        <v>46131</v>
      </c>
      <c r="D332" t="inlineStr">
        <is>
          <t>NORRBOTTENS LÄN</t>
        </is>
      </c>
      <c r="E332" t="inlineStr">
        <is>
          <t>LULEÅ</t>
        </is>
      </c>
      <c r="G332" t="n">
        <v>2</v>
      </c>
      <c r="H332" t="n">
        <v>0</v>
      </c>
      <c r="I332" t="n">
        <v>0</v>
      </c>
      <c r="J332" t="n">
        <v>0</v>
      </c>
      <c r="K332" t="n">
        <v>0</v>
      </c>
      <c r="L332" t="n">
        <v>0</v>
      </c>
      <c r="M332" t="n">
        <v>0</v>
      </c>
      <c r="N332" t="n">
        <v>0</v>
      </c>
      <c r="O332" t="n">
        <v>0</v>
      </c>
      <c r="P332" t="n">
        <v>0</v>
      </c>
      <c r="Q332" t="n">
        <v>0</v>
      </c>
      <c r="R332" s="2" t="inlineStr"/>
    </row>
    <row r="333" ht="15" customHeight="1">
      <c r="A333" t="inlineStr">
        <is>
          <t>A 31025-2025</t>
        </is>
      </c>
      <c r="B333" s="1" t="n">
        <v>45831</v>
      </c>
      <c r="C333" s="1" t="n">
        <v>46131</v>
      </c>
      <c r="D333" t="inlineStr">
        <is>
          <t>NORRBOTTENS LÄN</t>
        </is>
      </c>
      <c r="E333" t="inlineStr">
        <is>
          <t>LULEÅ</t>
        </is>
      </c>
      <c r="G333" t="n">
        <v>2.2</v>
      </c>
      <c r="H333" t="n">
        <v>0</v>
      </c>
      <c r="I333" t="n">
        <v>0</v>
      </c>
      <c r="J333" t="n">
        <v>0</v>
      </c>
      <c r="K333" t="n">
        <v>0</v>
      </c>
      <c r="L333" t="n">
        <v>0</v>
      </c>
      <c r="M333" t="n">
        <v>0</v>
      </c>
      <c r="N333" t="n">
        <v>0</v>
      </c>
      <c r="O333" t="n">
        <v>0</v>
      </c>
      <c r="P333" t="n">
        <v>0</v>
      </c>
      <c r="Q333" t="n">
        <v>0</v>
      </c>
      <c r="R333" s="2" t="inlineStr"/>
    </row>
    <row r="334" ht="15" customHeight="1">
      <c r="A334" t="inlineStr">
        <is>
          <t>A 56142-2025</t>
        </is>
      </c>
      <c r="B334" s="1" t="n">
        <v>45974.34443287037</v>
      </c>
      <c r="C334" s="1" t="n">
        <v>46131</v>
      </c>
      <c r="D334" t="inlineStr">
        <is>
          <t>NORRBOTTENS LÄN</t>
        </is>
      </c>
      <c r="E334" t="inlineStr">
        <is>
          <t>LULEÅ</t>
        </is>
      </c>
      <c r="F334" t="inlineStr">
        <is>
          <t>Naturvårdsverket</t>
        </is>
      </c>
      <c r="G334" t="n">
        <v>2.5</v>
      </c>
      <c r="H334" t="n">
        <v>0</v>
      </c>
      <c r="I334" t="n">
        <v>0</v>
      </c>
      <c r="J334" t="n">
        <v>0</v>
      </c>
      <c r="K334" t="n">
        <v>0</v>
      </c>
      <c r="L334" t="n">
        <v>0</v>
      </c>
      <c r="M334" t="n">
        <v>0</v>
      </c>
      <c r="N334" t="n">
        <v>0</v>
      </c>
      <c r="O334" t="n">
        <v>0</v>
      </c>
      <c r="P334" t="n">
        <v>0</v>
      </c>
      <c r="Q334" t="n">
        <v>0</v>
      </c>
      <c r="R334" s="2" t="inlineStr"/>
    </row>
    <row r="335" ht="15" customHeight="1">
      <c r="A335" t="inlineStr">
        <is>
          <t>A 34910-2023</t>
        </is>
      </c>
      <c r="B335" s="1" t="n">
        <v>45142.4560300926</v>
      </c>
      <c r="C335" s="1" t="n">
        <v>46131</v>
      </c>
      <c r="D335" t="inlineStr">
        <is>
          <t>NORRBOTTENS LÄN</t>
        </is>
      </c>
      <c r="E335" t="inlineStr">
        <is>
          <t>LULEÅ</t>
        </is>
      </c>
      <c r="G335" t="n">
        <v>18.9</v>
      </c>
      <c r="H335" t="n">
        <v>0</v>
      </c>
      <c r="I335" t="n">
        <v>0</v>
      </c>
      <c r="J335" t="n">
        <v>0</v>
      </c>
      <c r="K335" t="n">
        <v>0</v>
      </c>
      <c r="L335" t="n">
        <v>0</v>
      </c>
      <c r="M335" t="n">
        <v>0</v>
      </c>
      <c r="N335" t="n">
        <v>0</v>
      </c>
      <c r="O335" t="n">
        <v>0</v>
      </c>
      <c r="P335" t="n">
        <v>0</v>
      </c>
      <c r="Q335" t="n">
        <v>0</v>
      </c>
      <c r="R335" s="2" t="inlineStr"/>
    </row>
    <row r="336" ht="15" customHeight="1">
      <c r="A336" t="inlineStr">
        <is>
          <t>A 48726-2025</t>
        </is>
      </c>
      <c r="B336" s="1" t="n">
        <v>45936.65599537037</v>
      </c>
      <c r="C336" s="1" t="n">
        <v>46131</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46131</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45831.40694444445</v>
      </c>
      <c r="C338" s="1" t="n">
        <v>46131</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31620-2025</t>
        </is>
      </c>
      <c r="B339" s="1" t="n">
        <v>45833.87428240741</v>
      </c>
      <c r="C339" s="1" t="n">
        <v>46131</v>
      </c>
      <c r="D339" t="inlineStr">
        <is>
          <t>NORRBOTTENS LÄN</t>
        </is>
      </c>
      <c r="E339" t="inlineStr">
        <is>
          <t>LULEÅ</t>
        </is>
      </c>
      <c r="G339" t="n">
        <v>7.7</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46131</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46131</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48714-2025</t>
        </is>
      </c>
      <c r="B342" s="1" t="n">
        <v>45936.63619212963</v>
      </c>
      <c r="C342" s="1" t="n">
        <v>46131</v>
      </c>
      <c r="D342" t="inlineStr">
        <is>
          <t>NORRBOTTENS LÄN</t>
        </is>
      </c>
      <c r="E342" t="inlineStr">
        <is>
          <t>LULEÅ</t>
        </is>
      </c>
      <c r="G342" t="n">
        <v>3.3</v>
      </c>
      <c r="H342" t="n">
        <v>0</v>
      </c>
      <c r="I342" t="n">
        <v>0</v>
      </c>
      <c r="J342" t="n">
        <v>0</v>
      </c>
      <c r="K342" t="n">
        <v>0</v>
      </c>
      <c r="L342" t="n">
        <v>0</v>
      </c>
      <c r="M342" t="n">
        <v>0</v>
      </c>
      <c r="N342" t="n">
        <v>0</v>
      </c>
      <c r="O342" t="n">
        <v>0</v>
      </c>
      <c r="P342" t="n">
        <v>0</v>
      </c>
      <c r="Q342" t="n">
        <v>0</v>
      </c>
      <c r="R342" s="2" t="inlineStr"/>
    </row>
    <row r="343" ht="15" customHeight="1">
      <c r="A343" t="inlineStr">
        <is>
          <t>A 5822-2025</t>
        </is>
      </c>
      <c r="B343" s="1" t="n">
        <v>45694</v>
      </c>
      <c r="C343" s="1" t="n">
        <v>46131</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32154-2025</t>
        </is>
      </c>
      <c r="B344" s="1" t="n">
        <v>45835.53480324074</v>
      </c>
      <c r="C344" s="1" t="n">
        <v>46131</v>
      </c>
      <c r="D344" t="inlineStr">
        <is>
          <t>NORRBOTTENS LÄN</t>
        </is>
      </c>
      <c r="E344" t="inlineStr">
        <is>
          <t>LULEÅ</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45835.59313657408</v>
      </c>
      <c r="C345" s="1" t="n">
        <v>46131</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32127-2025</t>
        </is>
      </c>
      <c r="B346" s="1" t="n">
        <v>45835.49930555555</v>
      </c>
      <c r="C346" s="1" t="n">
        <v>46131</v>
      </c>
      <c r="D346" t="inlineStr">
        <is>
          <t>NORRBOTTENS LÄN</t>
        </is>
      </c>
      <c r="E346" t="inlineStr">
        <is>
          <t>LULEÅ</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49194-2025</t>
        </is>
      </c>
      <c r="B347" s="1" t="n">
        <v>45938.40929398148</v>
      </c>
      <c r="C347" s="1" t="n">
        <v>46131</v>
      </c>
      <c r="D347" t="inlineStr">
        <is>
          <t>NORRBOTTENS LÄN</t>
        </is>
      </c>
      <c r="E347" t="inlineStr">
        <is>
          <t>LULEÅ</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45182-2024</t>
        </is>
      </c>
      <c r="B348" s="1" t="n">
        <v>45575.66403935185</v>
      </c>
      <c r="C348" s="1" t="n">
        <v>46131</v>
      </c>
      <c r="D348" t="inlineStr">
        <is>
          <t>NORRBOTTENS LÄN</t>
        </is>
      </c>
      <c r="E348" t="inlineStr">
        <is>
          <t>LULEÅ</t>
        </is>
      </c>
      <c r="G348" t="n">
        <v>0.9</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45835.63008101852</v>
      </c>
      <c r="C349" s="1" t="n">
        <v>46131</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51668-2022</t>
        </is>
      </c>
      <c r="B350" s="1" t="n">
        <v>44867</v>
      </c>
      <c r="C350" s="1" t="n">
        <v>46131</v>
      </c>
      <c r="D350" t="inlineStr">
        <is>
          <t>NORRBOTTENS LÄN</t>
        </is>
      </c>
      <c r="E350" t="inlineStr">
        <is>
          <t>LULEÅ</t>
        </is>
      </c>
      <c r="G350" t="n">
        <v>2.6</v>
      </c>
      <c r="H350" t="n">
        <v>0</v>
      </c>
      <c r="I350" t="n">
        <v>0</v>
      </c>
      <c r="J350" t="n">
        <v>0</v>
      </c>
      <c r="K350" t="n">
        <v>0</v>
      </c>
      <c r="L350" t="n">
        <v>0</v>
      </c>
      <c r="M350" t="n">
        <v>0</v>
      </c>
      <c r="N350" t="n">
        <v>0</v>
      </c>
      <c r="O350" t="n">
        <v>0</v>
      </c>
      <c r="P350" t="n">
        <v>0</v>
      </c>
      <c r="Q350" t="n">
        <v>0</v>
      </c>
      <c r="R350" s="2" t="inlineStr"/>
    </row>
    <row r="351" ht="15" customHeight="1">
      <c r="A351" t="inlineStr">
        <is>
          <t>A 32260-2025</t>
        </is>
      </c>
      <c r="B351" s="1" t="n">
        <v>45835.64260416666</v>
      </c>
      <c r="C351" s="1" t="n">
        <v>46131</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32255-2025</t>
        </is>
      </c>
      <c r="B352" s="1" t="n">
        <v>45835.63332175926</v>
      </c>
      <c r="C352" s="1" t="n">
        <v>46131</v>
      </c>
      <c r="D352" t="inlineStr">
        <is>
          <t>NORRBOTTENS LÄN</t>
        </is>
      </c>
      <c r="E352" t="inlineStr">
        <is>
          <t>LULEÅ</t>
        </is>
      </c>
      <c r="G352" t="n">
        <v>1.6</v>
      </c>
      <c r="H352" t="n">
        <v>0</v>
      </c>
      <c r="I352" t="n">
        <v>0</v>
      </c>
      <c r="J352" t="n">
        <v>0</v>
      </c>
      <c r="K352" t="n">
        <v>0</v>
      </c>
      <c r="L352" t="n">
        <v>0</v>
      </c>
      <c r="M352" t="n">
        <v>0</v>
      </c>
      <c r="N352" t="n">
        <v>0</v>
      </c>
      <c r="O352" t="n">
        <v>0</v>
      </c>
      <c r="P352" t="n">
        <v>0</v>
      </c>
      <c r="Q352" t="n">
        <v>0</v>
      </c>
      <c r="R352" s="2" t="inlineStr"/>
    </row>
    <row r="353" ht="15" customHeight="1">
      <c r="A353" t="inlineStr">
        <is>
          <t>A 32264-2025</t>
        </is>
      </c>
      <c r="B353" s="1" t="n">
        <v>45835.64934027778</v>
      </c>
      <c r="C353" s="1" t="n">
        <v>46131</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46131</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46131</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32458-2025</t>
        </is>
      </c>
      <c r="B356" s="1" t="n">
        <v>45838.41445601852</v>
      </c>
      <c r="C356" s="1" t="n">
        <v>46131</v>
      </c>
      <c r="D356" t="inlineStr">
        <is>
          <t>NORRBOTTENS LÄN</t>
        </is>
      </c>
      <c r="E356" t="inlineStr">
        <is>
          <t>LULEÅ</t>
        </is>
      </c>
      <c r="G356" t="n">
        <v>10.8</v>
      </c>
      <c r="H356" t="n">
        <v>0</v>
      </c>
      <c r="I356" t="n">
        <v>0</v>
      </c>
      <c r="J356" t="n">
        <v>0</v>
      </c>
      <c r="K356" t="n">
        <v>0</v>
      </c>
      <c r="L356" t="n">
        <v>0</v>
      </c>
      <c r="M356" t="n">
        <v>0</v>
      </c>
      <c r="N356" t="n">
        <v>0</v>
      </c>
      <c r="O356" t="n">
        <v>0</v>
      </c>
      <c r="P356" t="n">
        <v>0</v>
      </c>
      <c r="Q356" t="n">
        <v>0</v>
      </c>
      <c r="R356" s="2" t="inlineStr"/>
    </row>
    <row r="357" ht="15" customHeight="1">
      <c r="A357" t="inlineStr">
        <is>
          <t>A 32460-2025</t>
        </is>
      </c>
      <c r="B357" s="1" t="n">
        <v>45838.41540509259</v>
      </c>
      <c r="C357" s="1" t="n">
        <v>46131</v>
      </c>
      <c r="D357" t="inlineStr">
        <is>
          <t>NORRBOTTENS LÄN</t>
        </is>
      </c>
      <c r="E357" t="inlineStr">
        <is>
          <t>LULEÅ</t>
        </is>
      </c>
      <c r="G357" t="n">
        <v>2.9</v>
      </c>
      <c r="H357" t="n">
        <v>0</v>
      </c>
      <c r="I357" t="n">
        <v>0</v>
      </c>
      <c r="J357" t="n">
        <v>0</v>
      </c>
      <c r="K357" t="n">
        <v>0</v>
      </c>
      <c r="L357" t="n">
        <v>0</v>
      </c>
      <c r="M357" t="n">
        <v>0</v>
      </c>
      <c r="N357" t="n">
        <v>0</v>
      </c>
      <c r="O357" t="n">
        <v>0</v>
      </c>
      <c r="P357" t="n">
        <v>0</v>
      </c>
      <c r="Q357" t="n">
        <v>0</v>
      </c>
      <c r="R357" s="2" t="inlineStr"/>
    </row>
    <row r="358" ht="15" customHeight="1">
      <c r="A358" t="inlineStr">
        <is>
          <t>A 8022-2024</t>
        </is>
      </c>
      <c r="B358" s="1" t="n">
        <v>45350</v>
      </c>
      <c r="C358" s="1" t="n">
        <v>46131</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46131</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50223-2025</t>
        </is>
      </c>
      <c r="B360" s="1" t="n">
        <v>45943.68868055556</v>
      </c>
      <c r="C360" s="1" t="n">
        <v>46131</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50099-2025</t>
        </is>
      </c>
      <c r="B361" s="1" t="n">
        <v>45943</v>
      </c>
      <c r="C361" s="1" t="n">
        <v>46131</v>
      </c>
      <c r="D361" t="inlineStr">
        <is>
          <t>NORRBOTTENS LÄN</t>
        </is>
      </c>
      <c r="E361" t="inlineStr">
        <is>
          <t>LULEÅ</t>
        </is>
      </c>
      <c r="G361" t="n">
        <v>11.6</v>
      </c>
      <c r="H361" t="n">
        <v>0</v>
      </c>
      <c r="I361" t="n">
        <v>0</v>
      </c>
      <c r="J361" t="n">
        <v>0</v>
      </c>
      <c r="K361" t="n">
        <v>0</v>
      </c>
      <c r="L361" t="n">
        <v>0</v>
      </c>
      <c r="M361" t="n">
        <v>0</v>
      </c>
      <c r="N361" t="n">
        <v>0</v>
      </c>
      <c r="O361" t="n">
        <v>0</v>
      </c>
      <c r="P361" t="n">
        <v>0</v>
      </c>
      <c r="Q361" t="n">
        <v>0</v>
      </c>
      <c r="R361" s="2" t="inlineStr"/>
    </row>
    <row r="362" ht="15" customHeight="1">
      <c r="A362" t="inlineStr">
        <is>
          <t>A 32462-2025</t>
        </is>
      </c>
      <c r="B362" s="1" t="n">
        <v>45838.41660879629</v>
      </c>
      <c r="C362" s="1" t="n">
        <v>46131</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46131</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44324-2024</t>
        </is>
      </c>
      <c r="B364" s="1" t="n">
        <v>45573.59376157408</v>
      </c>
      <c r="C364" s="1" t="n">
        <v>46131</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46131</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46131</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33692-2025</t>
        </is>
      </c>
      <c r="B367" s="1" t="n">
        <v>45841.69819444444</v>
      </c>
      <c r="C367" s="1" t="n">
        <v>46131</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50867-2025</t>
        </is>
      </c>
      <c r="B368" s="1" t="n">
        <v>45946.59561342592</v>
      </c>
      <c r="C368" s="1" t="n">
        <v>46131</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row>
    <row r="369" ht="15" customHeight="1">
      <c r="A369" t="inlineStr">
        <is>
          <t>A 50518-2025</t>
        </is>
      </c>
      <c r="B369" s="1" t="n">
        <v>45945.4567824074</v>
      </c>
      <c r="C369" s="1" t="n">
        <v>46131</v>
      </c>
      <c r="D369" t="inlineStr">
        <is>
          <t>NORRBOTTENS LÄN</t>
        </is>
      </c>
      <c r="E369" t="inlineStr">
        <is>
          <t>LULEÅ</t>
        </is>
      </c>
      <c r="G369" t="n">
        <v>4.1</v>
      </c>
      <c r="H369" t="n">
        <v>0</v>
      </c>
      <c r="I369" t="n">
        <v>0</v>
      </c>
      <c r="J369" t="n">
        <v>0</v>
      </c>
      <c r="K369" t="n">
        <v>0</v>
      </c>
      <c r="L369" t="n">
        <v>0</v>
      </c>
      <c r="M369" t="n">
        <v>0</v>
      </c>
      <c r="N369" t="n">
        <v>0</v>
      </c>
      <c r="O369" t="n">
        <v>0</v>
      </c>
      <c r="P369" t="n">
        <v>0</v>
      </c>
      <c r="Q369" t="n">
        <v>0</v>
      </c>
      <c r="R369" s="2" t="inlineStr"/>
    </row>
    <row r="370" ht="15" customHeight="1">
      <c r="A370" t="inlineStr">
        <is>
          <t>A 17897-2025</t>
        </is>
      </c>
      <c r="B370" s="1" t="n">
        <v>45758.69814814815</v>
      </c>
      <c r="C370" s="1" t="n">
        <v>46131</v>
      </c>
      <c r="D370" t="inlineStr">
        <is>
          <t>NORRBOTTENS LÄN</t>
        </is>
      </c>
      <c r="E370" t="inlineStr">
        <is>
          <t>LULEÅ</t>
        </is>
      </c>
      <c r="G370" t="n">
        <v>9.9</v>
      </c>
      <c r="H370" t="n">
        <v>0</v>
      </c>
      <c r="I370" t="n">
        <v>0</v>
      </c>
      <c r="J370" t="n">
        <v>0</v>
      </c>
      <c r="K370" t="n">
        <v>0</v>
      </c>
      <c r="L370" t="n">
        <v>0</v>
      </c>
      <c r="M370" t="n">
        <v>0</v>
      </c>
      <c r="N370" t="n">
        <v>0</v>
      </c>
      <c r="O370" t="n">
        <v>0</v>
      </c>
      <c r="P370" t="n">
        <v>0</v>
      </c>
      <c r="Q370" t="n">
        <v>0</v>
      </c>
      <c r="R370" s="2" t="inlineStr"/>
    </row>
    <row r="371" ht="15" customHeight="1">
      <c r="A371" t="inlineStr">
        <is>
          <t>A 50866-2025</t>
        </is>
      </c>
      <c r="B371" s="1" t="n">
        <v>45946.59548611111</v>
      </c>
      <c r="C371" s="1" t="n">
        <v>46131</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50914-2025</t>
        </is>
      </c>
      <c r="B372" s="1" t="n">
        <v>45946.65719907408</v>
      </c>
      <c r="C372" s="1" t="n">
        <v>46131</v>
      </c>
      <c r="D372" t="inlineStr">
        <is>
          <t>NORRBOTTENS LÄN</t>
        </is>
      </c>
      <c r="E372" t="inlineStr">
        <is>
          <t>LULEÅ</t>
        </is>
      </c>
      <c r="G372" t="n">
        <v>6.9</v>
      </c>
      <c r="H372" t="n">
        <v>0</v>
      </c>
      <c r="I372" t="n">
        <v>0</v>
      </c>
      <c r="J372" t="n">
        <v>0</v>
      </c>
      <c r="K372" t="n">
        <v>0</v>
      </c>
      <c r="L372" t="n">
        <v>0</v>
      </c>
      <c r="M372" t="n">
        <v>0</v>
      </c>
      <c r="N372" t="n">
        <v>0</v>
      </c>
      <c r="O372" t="n">
        <v>0</v>
      </c>
      <c r="P372" t="n">
        <v>0</v>
      </c>
      <c r="Q372" t="n">
        <v>0</v>
      </c>
      <c r="R372" s="2" t="inlineStr"/>
    </row>
    <row r="373" ht="15" customHeight="1">
      <c r="A373" t="inlineStr">
        <is>
          <t>A 50845-2025</t>
        </is>
      </c>
      <c r="B373" s="1" t="n">
        <v>45946.5737037037</v>
      </c>
      <c r="C373" s="1" t="n">
        <v>46131</v>
      </c>
      <c r="D373" t="inlineStr">
        <is>
          <t>NORRBOTTENS LÄN</t>
        </is>
      </c>
      <c r="E373" t="inlineStr">
        <is>
          <t>LULEÅ</t>
        </is>
      </c>
      <c r="G373" t="n">
        <v>11.7</v>
      </c>
      <c r="H373" t="n">
        <v>0</v>
      </c>
      <c r="I373" t="n">
        <v>0</v>
      </c>
      <c r="J373" t="n">
        <v>0</v>
      </c>
      <c r="K373" t="n">
        <v>0</v>
      </c>
      <c r="L373" t="n">
        <v>0</v>
      </c>
      <c r="M373" t="n">
        <v>0</v>
      </c>
      <c r="N373" t="n">
        <v>0</v>
      </c>
      <c r="O373" t="n">
        <v>0</v>
      </c>
      <c r="P373" t="n">
        <v>0</v>
      </c>
      <c r="Q373" t="n">
        <v>0</v>
      </c>
      <c r="R373" s="2" t="inlineStr"/>
    </row>
    <row r="374" ht="15" customHeight="1">
      <c r="A374" t="inlineStr">
        <is>
          <t>A 50524-2025</t>
        </is>
      </c>
      <c r="B374" s="1" t="n">
        <v>45945.46797453704</v>
      </c>
      <c r="C374" s="1" t="n">
        <v>46131</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51108-2024</t>
        </is>
      </c>
      <c r="B375" s="1" t="n">
        <v>45603.49142361111</v>
      </c>
      <c r="C375" s="1" t="n">
        <v>46131</v>
      </c>
      <c r="D375" t="inlineStr">
        <is>
          <t>NORRBOTTENS LÄN</t>
        </is>
      </c>
      <c r="E375" t="inlineStr">
        <is>
          <t>LULEÅ</t>
        </is>
      </c>
      <c r="G375" t="n">
        <v>3.8</v>
      </c>
      <c r="H375" t="n">
        <v>0</v>
      </c>
      <c r="I375" t="n">
        <v>0</v>
      </c>
      <c r="J375" t="n">
        <v>0</v>
      </c>
      <c r="K375" t="n">
        <v>0</v>
      </c>
      <c r="L375" t="n">
        <v>0</v>
      </c>
      <c r="M375" t="n">
        <v>0</v>
      </c>
      <c r="N375" t="n">
        <v>0</v>
      </c>
      <c r="O375" t="n">
        <v>0</v>
      </c>
      <c r="P375" t="n">
        <v>0</v>
      </c>
      <c r="Q375" t="n">
        <v>0</v>
      </c>
      <c r="R375" s="2" t="inlineStr"/>
    </row>
    <row r="376" ht="15" customHeight="1">
      <c r="A376" t="inlineStr">
        <is>
          <t>A 33608-2025</t>
        </is>
      </c>
      <c r="B376" s="1" t="n">
        <v>45841.61747685185</v>
      </c>
      <c r="C376" s="1" t="n">
        <v>46131</v>
      </c>
      <c r="D376" t="inlineStr">
        <is>
          <t>NORRBOTTENS LÄN</t>
        </is>
      </c>
      <c r="E376" t="inlineStr">
        <is>
          <t>LULEÅ</t>
        </is>
      </c>
      <c r="G376" t="n">
        <v>3.8</v>
      </c>
      <c r="H376" t="n">
        <v>0</v>
      </c>
      <c r="I376" t="n">
        <v>0</v>
      </c>
      <c r="J376" t="n">
        <v>0</v>
      </c>
      <c r="K376" t="n">
        <v>0</v>
      </c>
      <c r="L376" t="n">
        <v>0</v>
      </c>
      <c r="M376" t="n">
        <v>0</v>
      </c>
      <c r="N376" t="n">
        <v>0</v>
      </c>
      <c r="O376" t="n">
        <v>0</v>
      </c>
      <c r="P376" t="n">
        <v>0</v>
      </c>
      <c r="Q376" t="n">
        <v>0</v>
      </c>
      <c r="R376" s="2" t="inlineStr"/>
    </row>
    <row r="377" ht="15" customHeight="1">
      <c r="A377" t="inlineStr">
        <is>
          <t>A 50912-2025</t>
        </is>
      </c>
      <c r="B377" s="1" t="n">
        <v>45946.65706018519</v>
      </c>
      <c r="C377" s="1" t="n">
        <v>46131</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50527-2025</t>
        </is>
      </c>
      <c r="B378" s="1" t="n">
        <v>45945.47056712963</v>
      </c>
      <c r="C378" s="1" t="n">
        <v>46131</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50572-2025</t>
        </is>
      </c>
      <c r="B379" s="1" t="n">
        <v>45945.57474537037</v>
      </c>
      <c r="C379" s="1" t="n">
        <v>46131</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33651-2025</t>
        </is>
      </c>
      <c r="B380" s="1" t="n">
        <v>45841.65722222222</v>
      </c>
      <c r="C380" s="1" t="n">
        <v>46131</v>
      </c>
      <c r="D380" t="inlineStr">
        <is>
          <t>NORRBOTTENS LÄN</t>
        </is>
      </c>
      <c r="E380" t="inlineStr">
        <is>
          <t>LULEÅ</t>
        </is>
      </c>
      <c r="G380" t="n">
        <v>15.5</v>
      </c>
      <c r="H380" t="n">
        <v>0</v>
      </c>
      <c r="I380" t="n">
        <v>0</v>
      </c>
      <c r="J380" t="n">
        <v>0</v>
      </c>
      <c r="K380" t="n">
        <v>0</v>
      </c>
      <c r="L380" t="n">
        <v>0</v>
      </c>
      <c r="M380" t="n">
        <v>0</v>
      </c>
      <c r="N380" t="n">
        <v>0</v>
      </c>
      <c r="O380" t="n">
        <v>0</v>
      </c>
      <c r="P380" t="n">
        <v>0</v>
      </c>
      <c r="Q380" t="n">
        <v>0</v>
      </c>
      <c r="R380" s="2" t="inlineStr"/>
    </row>
    <row r="381" ht="15" customHeight="1">
      <c r="A381" t="inlineStr">
        <is>
          <t>A 51391-2025</t>
        </is>
      </c>
      <c r="B381" s="1" t="n">
        <v>45950.46918981482</v>
      </c>
      <c r="C381" s="1" t="n">
        <v>46131</v>
      </c>
      <c r="D381" t="inlineStr">
        <is>
          <t>NORRBOTTENS LÄN</t>
        </is>
      </c>
      <c r="E381" t="inlineStr">
        <is>
          <t>LULEÅ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50989-2025</t>
        </is>
      </c>
      <c r="B382" s="1" t="n">
        <v>45947.34578703704</v>
      </c>
      <c r="C382" s="1" t="n">
        <v>46131</v>
      </c>
      <c r="D382" t="inlineStr">
        <is>
          <t>NORRBOTTENS LÄN</t>
        </is>
      </c>
      <c r="E382" t="inlineStr">
        <is>
          <t>LULEÅ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822-2025</t>
        </is>
      </c>
      <c r="B383" s="1" t="n">
        <v>45664</v>
      </c>
      <c r="C383" s="1" t="n">
        <v>46131</v>
      </c>
      <c r="D383" t="inlineStr">
        <is>
          <t>NORRBOTTENS LÄN</t>
        </is>
      </c>
      <c r="E383" t="inlineStr">
        <is>
          <t>LULEÅ</t>
        </is>
      </c>
      <c r="G383" t="n">
        <v>0.9</v>
      </c>
      <c r="H383" t="n">
        <v>0</v>
      </c>
      <c r="I383" t="n">
        <v>0</v>
      </c>
      <c r="J383" t="n">
        <v>0</v>
      </c>
      <c r="K383" t="n">
        <v>0</v>
      </c>
      <c r="L383" t="n">
        <v>0</v>
      </c>
      <c r="M383" t="n">
        <v>0</v>
      </c>
      <c r="N383" t="n">
        <v>0</v>
      </c>
      <c r="O383" t="n">
        <v>0</v>
      </c>
      <c r="P383" t="n">
        <v>0</v>
      </c>
      <c r="Q383" t="n">
        <v>0</v>
      </c>
      <c r="R383" s="2" t="inlineStr"/>
    </row>
    <row r="384" ht="15" customHeight="1">
      <c r="A384" t="inlineStr">
        <is>
          <t>A 54738-2024</t>
        </is>
      </c>
      <c r="B384" s="1" t="n">
        <v>45618.44334490741</v>
      </c>
      <c r="C384" s="1" t="n">
        <v>46131</v>
      </c>
      <c r="D384" t="inlineStr">
        <is>
          <t>NORRBOTTENS LÄN</t>
        </is>
      </c>
      <c r="E384" t="inlineStr">
        <is>
          <t>LULEÅ</t>
        </is>
      </c>
      <c r="G384" t="n">
        <v>4.7</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46131</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55735-2025</t>
        </is>
      </c>
      <c r="B386" s="1" t="n">
        <v>45972</v>
      </c>
      <c r="C386" s="1" t="n">
        <v>46131</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6386-2023</t>
        </is>
      </c>
      <c r="B387" s="1" t="n">
        <v>44960</v>
      </c>
      <c r="C387" s="1" t="n">
        <v>46131</v>
      </c>
      <c r="D387" t="inlineStr">
        <is>
          <t>NORRBOTTENS LÄN</t>
        </is>
      </c>
      <c r="E387" t="inlineStr">
        <is>
          <t>LULEÅ</t>
        </is>
      </c>
      <c r="G387" t="n">
        <v>3.9</v>
      </c>
      <c r="H387" t="n">
        <v>0</v>
      </c>
      <c r="I387" t="n">
        <v>0</v>
      </c>
      <c r="J387" t="n">
        <v>0</v>
      </c>
      <c r="K387" t="n">
        <v>0</v>
      </c>
      <c r="L387" t="n">
        <v>0</v>
      </c>
      <c r="M387" t="n">
        <v>0</v>
      </c>
      <c r="N387" t="n">
        <v>0</v>
      </c>
      <c r="O387" t="n">
        <v>0</v>
      </c>
      <c r="P387" t="n">
        <v>0</v>
      </c>
      <c r="Q387" t="n">
        <v>0</v>
      </c>
      <c r="R387" s="2" t="inlineStr"/>
    </row>
    <row r="388" ht="15" customHeight="1">
      <c r="A388" t="inlineStr">
        <is>
          <t>A 54739-2024</t>
        </is>
      </c>
      <c r="B388" s="1" t="n">
        <v>45618.44335648148</v>
      </c>
      <c r="C388" s="1" t="n">
        <v>46131</v>
      </c>
      <c r="D388" t="inlineStr">
        <is>
          <t>NORRBOTTENS LÄN</t>
        </is>
      </c>
      <c r="E388" t="inlineStr">
        <is>
          <t>LULEÅ</t>
        </is>
      </c>
      <c r="G388" t="n">
        <v>4.8</v>
      </c>
      <c r="H388" t="n">
        <v>0</v>
      </c>
      <c r="I388" t="n">
        <v>0</v>
      </c>
      <c r="J388" t="n">
        <v>0</v>
      </c>
      <c r="K388" t="n">
        <v>0</v>
      </c>
      <c r="L388" t="n">
        <v>0</v>
      </c>
      <c r="M388" t="n">
        <v>0</v>
      </c>
      <c r="N388" t="n">
        <v>0</v>
      </c>
      <c r="O388" t="n">
        <v>0</v>
      </c>
      <c r="P388" t="n">
        <v>0</v>
      </c>
      <c r="Q388" t="n">
        <v>0</v>
      </c>
      <c r="R388" s="2" t="inlineStr"/>
    </row>
    <row r="389" ht="15" customHeight="1">
      <c r="A389" t="inlineStr">
        <is>
          <t>A 56677-2025</t>
        </is>
      </c>
      <c r="B389" s="1" t="n">
        <v>45975.72868055556</v>
      </c>
      <c r="C389" s="1" t="n">
        <v>46131</v>
      </c>
      <c r="D389" t="inlineStr">
        <is>
          <t>NORRBOTTENS LÄN</t>
        </is>
      </c>
      <c r="E389" t="inlineStr">
        <is>
          <t>LULEÅ</t>
        </is>
      </c>
      <c r="G389" t="n">
        <v>5.9</v>
      </c>
      <c r="H389" t="n">
        <v>0</v>
      </c>
      <c r="I389" t="n">
        <v>0</v>
      </c>
      <c r="J389" t="n">
        <v>0</v>
      </c>
      <c r="K389" t="n">
        <v>0</v>
      </c>
      <c r="L389" t="n">
        <v>0</v>
      </c>
      <c r="M389" t="n">
        <v>0</v>
      </c>
      <c r="N389" t="n">
        <v>0</v>
      </c>
      <c r="O389" t="n">
        <v>0</v>
      </c>
      <c r="P389" t="n">
        <v>0</v>
      </c>
      <c r="Q389" t="n">
        <v>0</v>
      </c>
      <c r="R389" s="2" t="inlineStr"/>
    </row>
    <row r="390" ht="15" customHeight="1">
      <c r="A390" t="inlineStr">
        <is>
          <t>A 56860-2025</t>
        </is>
      </c>
      <c r="B390" s="1" t="n">
        <v>45978.50525462963</v>
      </c>
      <c r="C390" s="1" t="n">
        <v>46131</v>
      </c>
      <c r="D390" t="inlineStr">
        <is>
          <t>NORRBOTTENS LÄN</t>
        </is>
      </c>
      <c r="E390" t="inlineStr">
        <is>
          <t>LULEÅ</t>
        </is>
      </c>
      <c r="G390" t="n">
        <v>1.2</v>
      </c>
      <c r="H390" t="n">
        <v>0</v>
      </c>
      <c r="I390" t="n">
        <v>0</v>
      </c>
      <c r="J390" t="n">
        <v>0</v>
      </c>
      <c r="K390" t="n">
        <v>0</v>
      </c>
      <c r="L390" t="n">
        <v>0</v>
      </c>
      <c r="M390" t="n">
        <v>0</v>
      </c>
      <c r="N390" t="n">
        <v>0</v>
      </c>
      <c r="O390" t="n">
        <v>0</v>
      </c>
      <c r="P390" t="n">
        <v>0</v>
      </c>
      <c r="Q390" t="n">
        <v>0</v>
      </c>
      <c r="R390" s="2" t="inlineStr"/>
    </row>
    <row r="391" ht="15" customHeight="1">
      <c r="A391" t="inlineStr">
        <is>
          <t>A 57142-2025</t>
        </is>
      </c>
      <c r="B391" s="1" t="n">
        <v>45978</v>
      </c>
      <c r="C391" s="1" t="n">
        <v>46131</v>
      </c>
      <c r="D391" t="inlineStr">
        <is>
          <t>NORRBOTTENS LÄN</t>
        </is>
      </c>
      <c r="E391" t="inlineStr">
        <is>
          <t>LULEÅ</t>
        </is>
      </c>
      <c r="G391" t="n">
        <v>0.8</v>
      </c>
      <c r="H391" t="n">
        <v>0</v>
      </c>
      <c r="I391" t="n">
        <v>0</v>
      </c>
      <c r="J391" t="n">
        <v>0</v>
      </c>
      <c r="K391" t="n">
        <v>0</v>
      </c>
      <c r="L391" t="n">
        <v>0</v>
      </c>
      <c r="M391" t="n">
        <v>0</v>
      </c>
      <c r="N391" t="n">
        <v>0</v>
      </c>
      <c r="O391" t="n">
        <v>0</v>
      </c>
      <c r="P391" t="n">
        <v>0</v>
      </c>
      <c r="Q391" t="n">
        <v>0</v>
      </c>
      <c r="R391" s="2" t="inlineStr"/>
    </row>
    <row r="392" ht="15" customHeight="1">
      <c r="A392" t="inlineStr">
        <is>
          <t>A 10611-2025</t>
        </is>
      </c>
      <c r="B392" s="1" t="n">
        <v>45721</v>
      </c>
      <c r="C392" s="1" t="n">
        <v>46131</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34565-2025</t>
        </is>
      </c>
      <c r="B393" s="1" t="n">
        <v>45847</v>
      </c>
      <c r="C393" s="1" t="n">
        <v>46131</v>
      </c>
      <c r="D393" t="inlineStr">
        <is>
          <t>NORRBOTTENS LÄN</t>
        </is>
      </c>
      <c r="E393" t="inlineStr">
        <is>
          <t>LULEÅ</t>
        </is>
      </c>
      <c r="G393" t="n">
        <v>10.2</v>
      </c>
      <c r="H393" t="n">
        <v>0</v>
      </c>
      <c r="I393" t="n">
        <v>0</v>
      </c>
      <c r="J393" t="n">
        <v>0</v>
      </c>
      <c r="K393" t="n">
        <v>0</v>
      </c>
      <c r="L393" t="n">
        <v>0</v>
      </c>
      <c r="M393" t="n">
        <v>0</v>
      </c>
      <c r="N393" t="n">
        <v>0</v>
      </c>
      <c r="O393" t="n">
        <v>0</v>
      </c>
      <c r="P393" t="n">
        <v>0</v>
      </c>
      <c r="Q393" t="n">
        <v>0</v>
      </c>
      <c r="R393" s="2" t="inlineStr"/>
    </row>
    <row r="394" ht="15" customHeight="1">
      <c r="A394" t="inlineStr">
        <is>
          <t>A 14447-2023</t>
        </is>
      </c>
      <c r="B394" s="1" t="n">
        <v>45012</v>
      </c>
      <c r="C394" s="1" t="n">
        <v>46131</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60121-2024</t>
        </is>
      </c>
      <c r="B395" s="1" t="n">
        <v>45642.58465277778</v>
      </c>
      <c r="C395" s="1" t="n">
        <v>46131</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34655-2025</t>
        </is>
      </c>
      <c r="B396" s="1" t="n">
        <v>45847</v>
      </c>
      <c r="C396" s="1" t="n">
        <v>46131</v>
      </c>
      <c r="D396" t="inlineStr">
        <is>
          <t>NORRBOTTENS LÄN</t>
        </is>
      </c>
      <c r="E396" t="inlineStr">
        <is>
          <t>LULEÅ</t>
        </is>
      </c>
      <c r="G396" t="n">
        <v>2.7</v>
      </c>
      <c r="H396" t="n">
        <v>0</v>
      </c>
      <c r="I396" t="n">
        <v>0</v>
      </c>
      <c r="J396" t="n">
        <v>0</v>
      </c>
      <c r="K396" t="n">
        <v>0</v>
      </c>
      <c r="L396" t="n">
        <v>0</v>
      </c>
      <c r="M396" t="n">
        <v>0</v>
      </c>
      <c r="N396" t="n">
        <v>0</v>
      </c>
      <c r="O396" t="n">
        <v>0</v>
      </c>
      <c r="P396" t="n">
        <v>0</v>
      </c>
      <c r="Q396" t="n">
        <v>0</v>
      </c>
      <c r="R396" s="2" t="inlineStr"/>
    </row>
    <row r="397" ht="15" customHeight="1">
      <c r="A397" t="inlineStr">
        <is>
          <t>A 56852-2025</t>
        </is>
      </c>
      <c r="B397" s="1" t="n">
        <v>45978</v>
      </c>
      <c r="C397" s="1" t="n">
        <v>46131</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56649-2025</t>
        </is>
      </c>
      <c r="B398" s="1" t="n">
        <v>45975</v>
      </c>
      <c r="C398" s="1" t="n">
        <v>46131</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56853-2025</t>
        </is>
      </c>
      <c r="B399" s="1" t="n">
        <v>45978.49459490741</v>
      </c>
      <c r="C399" s="1" t="n">
        <v>46131</v>
      </c>
      <c r="D399" t="inlineStr">
        <is>
          <t>NORRBOTTENS LÄN</t>
        </is>
      </c>
      <c r="E399" t="inlineStr">
        <is>
          <t>LULEÅ</t>
        </is>
      </c>
      <c r="G399" t="n">
        <v>1</v>
      </c>
      <c r="H399" t="n">
        <v>0</v>
      </c>
      <c r="I399" t="n">
        <v>0</v>
      </c>
      <c r="J399" t="n">
        <v>0</v>
      </c>
      <c r="K399" t="n">
        <v>0</v>
      </c>
      <c r="L399" t="n">
        <v>0</v>
      </c>
      <c r="M399" t="n">
        <v>0</v>
      </c>
      <c r="N399" t="n">
        <v>0</v>
      </c>
      <c r="O399" t="n">
        <v>0</v>
      </c>
      <c r="P399" t="n">
        <v>0</v>
      </c>
      <c r="Q399" t="n">
        <v>0</v>
      </c>
      <c r="R399" s="2" t="inlineStr"/>
    </row>
    <row r="400" ht="15" customHeight="1">
      <c r="A400" t="inlineStr">
        <is>
          <t>A 57143-2025</t>
        </is>
      </c>
      <c r="B400" s="1" t="n">
        <v>45978</v>
      </c>
      <c r="C400" s="1" t="n">
        <v>46131</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8235-2025</t>
        </is>
      </c>
      <c r="B401" s="1" t="n">
        <v>45708</v>
      </c>
      <c r="C401" s="1" t="n">
        <v>46131</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8243-2025</t>
        </is>
      </c>
      <c r="B402" s="1" t="n">
        <v>45708</v>
      </c>
      <c r="C402" s="1" t="n">
        <v>46131</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57518-2024</t>
        </is>
      </c>
      <c r="B403" s="1" t="n">
        <v>45629</v>
      </c>
      <c r="C403" s="1" t="n">
        <v>46131</v>
      </c>
      <c r="D403" t="inlineStr">
        <is>
          <t>NORRBOTTENS LÄN</t>
        </is>
      </c>
      <c r="E403" t="inlineStr">
        <is>
          <t>LULEÅ</t>
        </is>
      </c>
      <c r="G403" t="n">
        <v>3.4</v>
      </c>
      <c r="H403" t="n">
        <v>0</v>
      </c>
      <c r="I403" t="n">
        <v>0</v>
      </c>
      <c r="J403" t="n">
        <v>0</v>
      </c>
      <c r="K403" t="n">
        <v>0</v>
      </c>
      <c r="L403" t="n">
        <v>0</v>
      </c>
      <c r="M403" t="n">
        <v>0</v>
      </c>
      <c r="N403" t="n">
        <v>0</v>
      </c>
      <c r="O403" t="n">
        <v>0</v>
      </c>
      <c r="P403" t="n">
        <v>0</v>
      </c>
      <c r="Q403" t="n">
        <v>0</v>
      </c>
      <c r="R403" s="2" t="inlineStr"/>
    </row>
    <row r="404" ht="15" customHeight="1">
      <c r="A404" t="inlineStr">
        <is>
          <t>A 8247-2025</t>
        </is>
      </c>
      <c r="B404" s="1" t="n">
        <v>45708</v>
      </c>
      <c r="C404" s="1" t="n">
        <v>46131</v>
      </c>
      <c r="D404" t="inlineStr">
        <is>
          <t>NORRBOTTENS LÄN</t>
        </is>
      </c>
      <c r="E404" t="inlineStr">
        <is>
          <t>LULEÅ</t>
        </is>
      </c>
      <c r="G404" t="n">
        <v>5.8</v>
      </c>
      <c r="H404" t="n">
        <v>0</v>
      </c>
      <c r="I404" t="n">
        <v>0</v>
      </c>
      <c r="J404" t="n">
        <v>0</v>
      </c>
      <c r="K404" t="n">
        <v>0</v>
      </c>
      <c r="L404" t="n">
        <v>0</v>
      </c>
      <c r="M404" t="n">
        <v>0</v>
      </c>
      <c r="N404" t="n">
        <v>0</v>
      </c>
      <c r="O404" t="n">
        <v>0</v>
      </c>
      <c r="P404" t="n">
        <v>0</v>
      </c>
      <c r="Q404" t="n">
        <v>0</v>
      </c>
      <c r="R404" s="2" t="inlineStr"/>
    </row>
    <row r="405" ht="15" customHeight="1">
      <c r="A405" t="inlineStr">
        <is>
          <t>A 56643-2025</t>
        </is>
      </c>
      <c r="B405" s="1" t="n">
        <v>45975.62664351852</v>
      </c>
      <c r="C405" s="1" t="n">
        <v>46131</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4347-2025</t>
        </is>
      </c>
      <c r="B406" s="1" t="n">
        <v>45685.92931712963</v>
      </c>
      <c r="C406" s="1" t="n">
        <v>46131</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8214-2025</t>
        </is>
      </c>
      <c r="B407" s="1" t="n">
        <v>45708</v>
      </c>
      <c r="C407" s="1" t="n">
        <v>46131</v>
      </c>
      <c r="D407" t="inlineStr">
        <is>
          <t>NORRBOTTENS LÄN</t>
        </is>
      </c>
      <c r="E407" t="inlineStr">
        <is>
          <t>LULEÅ</t>
        </is>
      </c>
      <c r="G407" t="n">
        <v>9.9</v>
      </c>
      <c r="H407" t="n">
        <v>0</v>
      </c>
      <c r="I407" t="n">
        <v>0</v>
      </c>
      <c r="J407" t="n">
        <v>0</v>
      </c>
      <c r="K407" t="n">
        <v>0</v>
      </c>
      <c r="L407" t="n">
        <v>0</v>
      </c>
      <c r="M407" t="n">
        <v>0</v>
      </c>
      <c r="N407" t="n">
        <v>0</v>
      </c>
      <c r="O407" t="n">
        <v>0</v>
      </c>
      <c r="P407" t="n">
        <v>0</v>
      </c>
      <c r="Q407" t="n">
        <v>0</v>
      </c>
      <c r="R407" s="2" t="inlineStr"/>
    </row>
    <row r="408" ht="15" customHeight="1">
      <c r="A408" t="inlineStr">
        <is>
          <t>A 56862-2025</t>
        </is>
      </c>
      <c r="B408" s="1" t="n">
        <v>45978.50950231482</v>
      </c>
      <c r="C408" s="1" t="n">
        <v>46131</v>
      </c>
      <c r="D408" t="inlineStr">
        <is>
          <t>NORRBOTTENS LÄN</t>
        </is>
      </c>
      <c r="E408" t="inlineStr">
        <is>
          <t>LULEÅ</t>
        </is>
      </c>
      <c r="G408" t="n">
        <v>1.9</v>
      </c>
      <c r="H408" t="n">
        <v>0</v>
      </c>
      <c r="I408" t="n">
        <v>0</v>
      </c>
      <c r="J408" t="n">
        <v>0</v>
      </c>
      <c r="K408" t="n">
        <v>0</v>
      </c>
      <c r="L408" t="n">
        <v>0</v>
      </c>
      <c r="M408" t="n">
        <v>0</v>
      </c>
      <c r="N408" t="n">
        <v>0</v>
      </c>
      <c r="O408" t="n">
        <v>0</v>
      </c>
      <c r="P408" t="n">
        <v>0</v>
      </c>
      <c r="Q408" t="n">
        <v>0</v>
      </c>
      <c r="R408" s="2" t="inlineStr"/>
    </row>
    <row r="409" ht="15" customHeight="1">
      <c r="A409" t="inlineStr">
        <is>
          <t>A 14216-2025</t>
        </is>
      </c>
      <c r="B409" s="1" t="n">
        <v>45740</v>
      </c>
      <c r="C409" s="1" t="n">
        <v>46131</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56932-2025</t>
        </is>
      </c>
      <c r="B410" s="1" t="n">
        <v>45978.61122685186</v>
      </c>
      <c r="C410" s="1" t="n">
        <v>46131</v>
      </c>
      <c r="D410" t="inlineStr">
        <is>
          <t>NORRBOTTENS LÄN</t>
        </is>
      </c>
      <c r="E410" t="inlineStr">
        <is>
          <t>LULEÅ</t>
        </is>
      </c>
      <c r="G410" t="n">
        <v>10.8</v>
      </c>
      <c r="H410" t="n">
        <v>0</v>
      </c>
      <c r="I410" t="n">
        <v>0</v>
      </c>
      <c r="J410" t="n">
        <v>0</v>
      </c>
      <c r="K410" t="n">
        <v>0</v>
      </c>
      <c r="L410" t="n">
        <v>0</v>
      </c>
      <c r="M410" t="n">
        <v>0</v>
      </c>
      <c r="N410" t="n">
        <v>0</v>
      </c>
      <c r="O410" t="n">
        <v>0</v>
      </c>
      <c r="P410" t="n">
        <v>0</v>
      </c>
      <c r="Q410" t="n">
        <v>0</v>
      </c>
      <c r="R410" s="2" t="inlineStr"/>
    </row>
    <row r="411" ht="15" customHeight="1">
      <c r="A411" t="inlineStr">
        <is>
          <t>A 3185-2025</t>
        </is>
      </c>
      <c r="B411" s="1" t="n">
        <v>45679.40358796297</v>
      </c>
      <c r="C411" s="1" t="n">
        <v>46131</v>
      </c>
      <c r="D411" t="inlineStr">
        <is>
          <t>NORRBOTTENS LÄN</t>
        </is>
      </c>
      <c r="E411" t="inlineStr">
        <is>
          <t>LULEÅ</t>
        </is>
      </c>
      <c r="G411" t="n">
        <v>3.2</v>
      </c>
      <c r="H411" t="n">
        <v>0</v>
      </c>
      <c r="I411" t="n">
        <v>0</v>
      </c>
      <c r="J411" t="n">
        <v>0</v>
      </c>
      <c r="K411" t="n">
        <v>0</v>
      </c>
      <c r="L411" t="n">
        <v>0</v>
      </c>
      <c r="M411" t="n">
        <v>0</v>
      </c>
      <c r="N411" t="n">
        <v>0</v>
      </c>
      <c r="O411" t="n">
        <v>0</v>
      </c>
      <c r="P411" t="n">
        <v>0</v>
      </c>
      <c r="Q411" t="n">
        <v>0</v>
      </c>
      <c r="R411" s="2" t="inlineStr"/>
    </row>
    <row r="412" ht="15" customHeight="1">
      <c r="A412" t="inlineStr">
        <is>
          <t>A 23730-2023</t>
        </is>
      </c>
      <c r="B412" s="1" t="n">
        <v>45077</v>
      </c>
      <c r="C412" s="1" t="n">
        <v>46131</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61488-2024</t>
        </is>
      </c>
      <c r="B413" s="1" t="n">
        <v>45646.54873842592</v>
      </c>
      <c r="C413" s="1" t="n">
        <v>46131</v>
      </c>
      <c r="D413" t="inlineStr">
        <is>
          <t>NORRBOTTENS LÄN</t>
        </is>
      </c>
      <c r="E413" t="inlineStr">
        <is>
          <t>LULEÅ</t>
        </is>
      </c>
      <c r="G413" t="n">
        <v>3.4</v>
      </c>
      <c r="H413" t="n">
        <v>0</v>
      </c>
      <c r="I413" t="n">
        <v>0</v>
      </c>
      <c r="J413" t="n">
        <v>0</v>
      </c>
      <c r="K413" t="n">
        <v>0</v>
      </c>
      <c r="L413" t="n">
        <v>0</v>
      </c>
      <c r="M413" t="n">
        <v>0</v>
      </c>
      <c r="N413" t="n">
        <v>0</v>
      </c>
      <c r="O413" t="n">
        <v>0</v>
      </c>
      <c r="P413" t="n">
        <v>0</v>
      </c>
      <c r="Q413" t="n">
        <v>0</v>
      </c>
      <c r="R413" s="2" t="inlineStr"/>
    </row>
    <row r="414" ht="15" customHeight="1">
      <c r="A414" t="inlineStr">
        <is>
          <t>A 35682-2025</t>
        </is>
      </c>
      <c r="B414" s="1" t="n">
        <v>45859</v>
      </c>
      <c r="C414" s="1" t="n">
        <v>46131</v>
      </c>
      <c r="D414" t="inlineStr">
        <is>
          <t>NORRBOTTENS LÄN</t>
        </is>
      </c>
      <c r="E414" t="inlineStr">
        <is>
          <t>LULEÅ</t>
        </is>
      </c>
      <c r="G414" t="n">
        <v>5.2</v>
      </c>
      <c r="H414" t="n">
        <v>0</v>
      </c>
      <c r="I414" t="n">
        <v>0</v>
      </c>
      <c r="J414" t="n">
        <v>0</v>
      </c>
      <c r="K414" t="n">
        <v>0</v>
      </c>
      <c r="L414" t="n">
        <v>0</v>
      </c>
      <c r="M414" t="n">
        <v>0</v>
      </c>
      <c r="N414" t="n">
        <v>0</v>
      </c>
      <c r="O414" t="n">
        <v>0</v>
      </c>
      <c r="P414" t="n">
        <v>0</v>
      </c>
      <c r="Q414" t="n">
        <v>0</v>
      </c>
      <c r="R414" s="2" t="inlineStr"/>
    </row>
    <row r="415" ht="15" customHeight="1">
      <c r="A415" t="inlineStr">
        <is>
          <t>A 656-2025</t>
        </is>
      </c>
      <c r="B415" s="1" t="n">
        <v>45661</v>
      </c>
      <c r="C415" s="1" t="n">
        <v>46131</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17898-2025</t>
        </is>
      </c>
      <c r="B416" s="1" t="n">
        <v>45758</v>
      </c>
      <c r="C416" s="1" t="n">
        <v>46131</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31347-2023</t>
        </is>
      </c>
      <c r="B417" s="1" t="n">
        <v>45104</v>
      </c>
      <c r="C417" s="1" t="n">
        <v>46131</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23632-2021</t>
        </is>
      </c>
      <c r="B418" s="1" t="n">
        <v>44334</v>
      </c>
      <c r="C418" s="1" t="n">
        <v>46131</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61504-2024</t>
        </is>
      </c>
      <c r="B419" s="1" t="n">
        <v>45646.56238425926</v>
      </c>
      <c r="C419" s="1" t="n">
        <v>46131</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57230-2025</t>
        </is>
      </c>
      <c r="B420" s="1" t="n">
        <v>45979.61831018519</v>
      </c>
      <c r="C420" s="1" t="n">
        <v>46131</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8764-2025</t>
        </is>
      </c>
      <c r="B421" s="1" t="n">
        <v>45712.58021990741</v>
      </c>
      <c r="C421" s="1" t="n">
        <v>46131</v>
      </c>
      <c r="D421" t="inlineStr">
        <is>
          <t>NORRBOTTENS LÄN</t>
        </is>
      </c>
      <c r="E421" t="inlineStr">
        <is>
          <t>LULEÅ</t>
        </is>
      </c>
      <c r="G421" t="n">
        <v>2.3</v>
      </c>
      <c r="H421" t="n">
        <v>0</v>
      </c>
      <c r="I421" t="n">
        <v>0</v>
      </c>
      <c r="J421" t="n">
        <v>0</v>
      </c>
      <c r="K421" t="n">
        <v>0</v>
      </c>
      <c r="L421" t="n">
        <v>0</v>
      </c>
      <c r="M421" t="n">
        <v>0</v>
      </c>
      <c r="N421" t="n">
        <v>0</v>
      </c>
      <c r="O421" t="n">
        <v>0</v>
      </c>
      <c r="P421" t="n">
        <v>0</v>
      </c>
      <c r="Q421" t="n">
        <v>0</v>
      </c>
      <c r="R421" s="2" t="inlineStr"/>
    </row>
    <row r="422" ht="15" customHeight="1">
      <c r="A422" t="inlineStr">
        <is>
          <t>A 31067-2023</t>
        </is>
      </c>
      <c r="B422" s="1" t="n">
        <v>45113</v>
      </c>
      <c r="C422" s="1" t="n">
        <v>46131</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57076-2025</t>
        </is>
      </c>
      <c r="B423" s="1" t="n">
        <v>45979.40319444444</v>
      </c>
      <c r="C423" s="1" t="n">
        <v>46131</v>
      </c>
      <c r="D423" t="inlineStr">
        <is>
          <t>NORRBOTTENS LÄN</t>
        </is>
      </c>
      <c r="E423" t="inlineStr">
        <is>
          <t>LULEÅ</t>
        </is>
      </c>
      <c r="G423" t="n">
        <v>1.7</v>
      </c>
      <c r="H423" t="n">
        <v>0</v>
      </c>
      <c r="I423" t="n">
        <v>0</v>
      </c>
      <c r="J423" t="n">
        <v>0</v>
      </c>
      <c r="K423" t="n">
        <v>0</v>
      </c>
      <c r="L423" t="n">
        <v>0</v>
      </c>
      <c r="M423" t="n">
        <v>0</v>
      </c>
      <c r="N423" t="n">
        <v>0</v>
      </c>
      <c r="O423" t="n">
        <v>0</v>
      </c>
      <c r="P423" t="n">
        <v>0</v>
      </c>
      <c r="Q423" t="n">
        <v>0</v>
      </c>
      <c r="R423" s="2" t="inlineStr"/>
    </row>
    <row r="424" ht="15" customHeight="1">
      <c r="A424" t="inlineStr">
        <is>
          <t>A 12549-2024</t>
        </is>
      </c>
      <c r="B424" s="1" t="n">
        <v>45379</v>
      </c>
      <c r="C424" s="1" t="n">
        <v>46131</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4123-2024</t>
        </is>
      </c>
      <c r="B425" s="1" t="n">
        <v>45323</v>
      </c>
      <c r="C425" s="1" t="n">
        <v>46131</v>
      </c>
      <c r="D425" t="inlineStr">
        <is>
          <t>NORRBOTTENS LÄN</t>
        </is>
      </c>
      <c r="E425" t="inlineStr">
        <is>
          <t>LULEÅ</t>
        </is>
      </c>
      <c r="G425" t="n">
        <v>5.3</v>
      </c>
      <c r="H425" t="n">
        <v>0</v>
      </c>
      <c r="I425" t="n">
        <v>0</v>
      </c>
      <c r="J425" t="n">
        <v>0</v>
      </c>
      <c r="K425" t="n">
        <v>0</v>
      </c>
      <c r="L425" t="n">
        <v>0</v>
      </c>
      <c r="M425" t="n">
        <v>0</v>
      </c>
      <c r="N425" t="n">
        <v>0</v>
      </c>
      <c r="O425" t="n">
        <v>0</v>
      </c>
      <c r="P425" t="n">
        <v>0</v>
      </c>
      <c r="Q425" t="n">
        <v>0</v>
      </c>
      <c r="R425" s="2" t="inlineStr"/>
    </row>
    <row r="426" ht="15" customHeight="1">
      <c r="A426" t="inlineStr">
        <is>
          <t>A 55076-2024</t>
        </is>
      </c>
      <c r="B426" s="1" t="n">
        <v>45621.42574074074</v>
      </c>
      <c r="C426" s="1" t="n">
        <v>46131</v>
      </c>
      <c r="D426" t="inlineStr">
        <is>
          <t>NORRBOTTENS LÄN</t>
        </is>
      </c>
      <c r="E426" t="inlineStr">
        <is>
          <t>LULEÅ</t>
        </is>
      </c>
      <c r="G426" t="n">
        <v>6.2</v>
      </c>
      <c r="H426" t="n">
        <v>0</v>
      </c>
      <c r="I426" t="n">
        <v>0</v>
      </c>
      <c r="J426" t="n">
        <v>0</v>
      </c>
      <c r="K426" t="n">
        <v>0</v>
      </c>
      <c r="L426" t="n">
        <v>0</v>
      </c>
      <c r="M426" t="n">
        <v>0</v>
      </c>
      <c r="N426" t="n">
        <v>0</v>
      </c>
      <c r="O426" t="n">
        <v>0</v>
      </c>
      <c r="P426" t="n">
        <v>0</v>
      </c>
      <c r="Q426" t="n">
        <v>0</v>
      </c>
      <c r="R426" s="2" t="inlineStr"/>
    </row>
    <row r="427" ht="15" customHeight="1">
      <c r="A427" t="inlineStr">
        <is>
          <t>A 5342-2025</t>
        </is>
      </c>
      <c r="B427" s="1" t="n">
        <v>45692.55262731481</v>
      </c>
      <c r="C427" s="1" t="n">
        <v>46131</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35686-2025</t>
        </is>
      </c>
      <c r="B428" s="1" t="n">
        <v>45859.92579861111</v>
      </c>
      <c r="C428" s="1" t="n">
        <v>46131</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57723-2025</t>
        </is>
      </c>
      <c r="B429" s="1" t="n">
        <v>45981.49033564814</v>
      </c>
      <c r="C429" s="1" t="n">
        <v>46131</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17439-2023</t>
        </is>
      </c>
      <c r="B430" s="1" t="n">
        <v>45035.92714120371</v>
      </c>
      <c r="C430" s="1" t="n">
        <v>46131</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6957-2025</t>
        </is>
      </c>
      <c r="B431" s="1" t="n">
        <v>45701.49048611111</v>
      </c>
      <c r="C431" s="1" t="n">
        <v>46131</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57751-2025</t>
        </is>
      </c>
      <c r="B432" s="1" t="n">
        <v>45981.54108796296</v>
      </c>
      <c r="C432" s="1" t="n">
        <v>46131</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145-2025</t>
        </is>
      </c>
      <c r="B433" s="1" t="n">
        <v>45659.59091435185</v>
      </c>
      <c r="C433" s="1" t="n">
        <v>46131</v>
      </c>
      <c r="D433" t="inlineStr">
        <is>
          <t>NORRBOTTENS LÄN</t>
        </is>
      </c>
      <c r="E433" t="inlineStr">
        <is>
          <t>LULEÅ</t>
        </is>
      </c>
      <c r="G433" t="n">
        <v>1.4</v>
      </c>
      <c r="H433" t="n">
        <v>0</v>
      </c>
      <c r="I433" t="n">
        <v>0</v>
      </c>
      <c r="J433" t="n">
        <v>0</v>
      </c>
      <c r="K433" t="n">
        <v>0</v>
      </c>
      <c r="L433" t="n">
        <v>0</v>
      </c>
      <c r="M433" t="n">
        <v>0</v>
      </c>
      <c r="N433" t="n">
        <v>0</v>
      </c>
      <c r="O433" t="n">
        <v>0</v>
      </c>
      <c r="P433" t="n">
        <v>0</v>
      </c>
      <c r="Q433" t="n">
        <v>0</v>
      </c>
      <c r="R433" s="2" t="inlineStr"/>
    </row>
    <row r="434" ht="15" customHeight="1">
      <c r="A434" t="inlineStr">
        <is>
          <t>A 38885-2023</t>
        </is>
      </c>
      <c r="B434" s="1" t="n">
        <v>45161</v>
      </c>
      <c r="C434" s="1" t="n">
        <v>46131</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58049-2025</t>
        </is>
      </c>
      <c r="B435" s="1" t="n">
        <v>45982.51090277778</v>
      </c>
      <c r="C435" s="1" t="n">
        <v>46131</v>
      </c>
      <c r="D435" t="inlineStr">
        <is>
          <t>NORRBOTTENS LÄN</t>
        </is>
      </c>
      <c r="E435" t="inlineStr">
        <is>
          <t>LULEÅ</t>
        </is>
      </c>
      <c r="G435" t="n">
        <v>4.4</v>
      </c>
      <c r="H435" t="n">
        <v>0</v>
      </c>
      <c r="I435" t="n">
        <v>0</v>
      </c>
      <c r="J435" t="n">
        <v>0</v>
      </c>
      <c r="K435" t="n">
        <v>0</v>
      </c>
      <c r="L435" t="n">
        <v>0</v>
      </c>
      <c r="M435" t="n">
        <v>0</v>
      </c>
      <c r="N435" t="n">
        <v>0</v>
      </c>
      <c r="O435" t="n">
        <v>0</v>
      </c>
      <c r="P435" t="n">
        <v>0</v>
      </c>
      <c r="Q435" t="n">
        <v>0</v>
      </c>
      <c r="R435" s="2" t="inlineStr"/>
    </row>
    <row r="436" ht="15" customHeight="1">
      <c r="A436" t="inlineStr">
        <is>
          <t>A 731-2025</t>
        </is>
      </c>
      <c r="B436" s="1" t="n">
        <v>45664</v>
      </c>
      <c r="C436" s="1" t="n">
        <v>46131</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37820-2022</t>
        </is>
      </c>
      <c r="B437" s="1" t="n">
        <v>44810</v>
      </c>
      <c r="C437" s="1" t="n">
        <v>46131</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46869-2024</t>
        </is>
      </c>
      <c r="B438" s="1" t="n">
        <v>45583</v>
      </c>
      <c r="C438" s="1" t="n">
        <v>46131</v>
      </c>
      <c r="D438" t="inlineStr">
        <is>
          <t>NORRBOTTENS LÄN</t>
        </is>
      </c>
      <c r="E438" t="inlineStr">
        <is>
          <t>LULEÅ</t>
        </is>
      </c>
      <c r="G438" t="n">
        <v>4.4</v>
      </c>
      <c r="H438" t="n">
        <v>0</v>
      </c>
      <c r="I438" t="n">
        <v>0</v>
      </c>
      <c r="J438" t="n">
        <v>0</v>
      </c>
      <c r="K438" t="n">
        <v>0</v>
      </c>
      <c r="L438" t="n">
        <v>0</v>
      </c>
      <c r="M438" t="n">
        <v>0</v>
      </c>
      <c r="N438" t="n">
        <v>0</v>
      </c>
      <c r="O438" t="n">
        <v>0</v>
      </c>
      <c r="P438" t="n">
        <v>0</v>
      </c>
      <c r="Q438" t="n">
        <v>0</v>
      </c>
      <c r="R438" s="2" t="inlineStr"/>
    </row>
    <row r="439" ht="15" customHeight="1">
      <c r="A439" t="inlineStr">
        <is>
          <t>A 35962-2021</t>
        </is>
      </c>
      <c r="B439" s="1" t="n">
        <v>44385</v>
      </c>
      <c r="C439" s="1" t="n">
        <v>46131</v>
      </c>
      <c r="D439" t="inlineStr">
        <is>
          <t>NORRBOTTENS LÄN</t>
        </is>
      </c>
      <c r="E439" t="inlineStr">
        <is>
          <t>LULEÅ</t>
        </is>
      </c>
      <c r="G439" t="n">
        <v>0.9</v>
      </c>
      <c r="H439" t="n">
        <v>0</v>
      </c>
      <c r="I439" t="n">
        <v>0</v>
      </c>
      <c r="J439" t="n">
        <v>0</v>
      </c>
      <c r="K439" t="n">
        <v>0</v>
      </c>
      <c r="L439" t="n">
        <v>0</v>
      </c>
      <c r="M439" t="n">
        <v>0</v>
      </c>
      <c r="N439" t="n">
        <v>0</v>
      </c>
      <c r="O439" t="n">
        <v>0</v>
      </c>
      <c r="P439" t="n">
        <v>0</v>
      </c>
      <c r="Q439" t="n">
        <v>0</v>
      </c>
      <c r="R439" s="2" t="inlineStr"/>
    </row>
    <row r="440" ht="15" customHeight="1">
      <c r="A440" t="inlineStr">
        <is>
          <t>A 54879-2021</t>
        </is>
      </c>
      <c r="B440" s="1" t="n">
        <v>44473</v>
      </c>
      <c r="C440" s="1" t="n">
        <v>46131</v>
      </c>
      <c r="D440" t="inlineStr">
        <is>
          <t>NORRBOTTENS LÄN</t>
        </is>
      </c>
      <c r="E440" t="inlineStr">
        <is>
          <t>LULEÅ</t>
        </is>
      </c>
      <c r="G440" t="n">
        <v>1.2</v>
      </c>
      <c r="H440" t="n">
        <v>0</v>
      </c>
      <c r="I440" t="n">
        <v>0</v>
      </c>
      <c r="J440" t="n">
        <v>0</v>
      </c>
      <c r="K440" t="n">
        <v>0</v>
      </c>
      <c r="L440" t="n">
        <v>0</v>
      </c>
      <c r="M440" t="n">
        <v>0</v>
      </c>
      <c r="N440" t="n">
        <v>0</v>
      </c>
      <c r="O440" t="n">
        <v>0</v>
      </c>
      <c r="P440" t="n">
        <v>0</v>
      </c>
      <c r="Q440" t="n">
        <v>0</v>
      </c>
      <c r="R440" s="2" t="inlineStr"/>
    </row>
    <row r="441" ht="15" customHeight="1">
      <c r="A441" t="inlineStr">
        <is>
          <t>A 5131-2025</t>
        </is>
      </c>
      <c r="B441" s="1" t="n">
        <v>45691.57331018519</v>
      </c>
      <c r="C441" s="1" t="n">
        <v>46131</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37783-2025</t>
        </is>
      </c>
      <c r="B442" s="1" t="n">
        <v>45880.94430555555</v>
      </c>
      <c r="C442" s="1" t="n">
        <v>46131</v>
      </c>
      <c r="D442" t="inlineStr">
        <is>
          <t>NORRBOTTENS LÄN</t>
        </is>
      </c>
      <c r="E442" t="inlineStr">
        <is>
          <t>LULEÅ</t>
        </is>
      </c>
      <c r="G442" t="n">
        <v>7.2</v>
      </c>
      <c r="H442" t="n">
        <v>0</v>
      </c>
      <c r="I442" t="n">
        <v>0</v>
      </c>
      <c r="J442" t="n">
        <v>0</v>
      </c>
      <c r="K442" t="n">
        <v>0</v>
      </c>
      <c r="L442" t="n">
        <v>0</v>
      </c>
      <c r="M442" t="n">
        <v>0</v>
      </c>
      <c r="N442" t="n">
        <v>0</v>
      </c>
      <c r="O442" t="n">
        <v>0</v>
      </c>
      <c r="P442" t="n">
        <v>0</v>
      </c>
      <c r="Q442" t="n">
        <v>0</v>
      </c>
      <c r="R442" s="2" t="inlineStr"/>
    </row>
    <row r="443" ht="15" customHeight="1">
      <c r="A443" t="inlineStr">
        <is>
          <t>A 59239-2025</t>
        </is>
      </c>
      <c r="B443" s="1" t="n">
        <v>45988.63575231482</v>
      </c>
      <c r="C443" s="1" t="n">
        <v>46131</v>
      </c>
      <c r="D443" t="inlineStr">
        <is>
          <t>NORRBOTTENS LÄN</t>
        </is>
      </c>
      <c r="E443" t="inlineStr">
        <is>
          <t>LULEÅ</t>
        </is>
      </c>
      <c r="G443" t="n">
        <v>5.3</v>
      </c>
      <c r="H443" t="n">
        <v>0</v>
      </c>
      <c r="I443" t="n">
        <v>0</v>
      </c>
      <c r="J443" t="n">
        <v>0</v>
      </c>
      <c r="K443" t="n">
        <v>0</v>
      </c>
      <c r="L443" t="n">
        <v>0</v>
      </c>
      <c r="M443" t="n">
        <v>0</v>
      </c>
      <c r="N443" t="n">
        <v>0</v>
      </c>
      <c r="O443" t="n">
        <v>0</v>
      </c>
      <c r="P443" t="n">
        <v>0</v>
      </c>
      <c r="Q443" t="n">
        <v>0</v>
      </c>
      <c r="R443" s="2" t="inlineStr"/>
    </row>
    <row r="444" ht="15" customHeight="1">
      <c r="A444" t="inlineStr">
        <is>
          <t>A 37948-2025</t>
        </is>
      </c>
      <c r="B444" s="1" t="n">
        <v>45881.61543981481</v>
      </c>
      <c r="C444" s="1" t="n">
        <v>46131</v>
      </c>
      <c r="D444" t="inlineStr">
        <is>
          <t>NORRBOTTENS LÄN</t>
        </is>
      </c>
      <c r="E444" t="inlineStr">
        <is>
          <t>LULEÅ</t>
        </is>
      </c>
      <c r="G444" t="n">
        <v>2.7</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46131</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59670-2025</t>
        </is>
      </c>
      <c r="B446" s="1" t="n">
        <v>45992.45686342593</v>
      </c>
      <c r="C446" s="1" t="n">
        <v>46131</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59502-2025</t>
        </is>
      </c>
      <c r="B447" s="1" t="n">
        <v>45989</v>
      </c>
      <c r="C447" s="1" t="n">
        <v>46131</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59514-2025</t>
        </is>
      </c>
      <c r="B448" s="1" t="n">
        <v>45989.64967592592</v>
      </c>
      <c r="C448" s="1" t="n">
        <v>46131</v>
      </c>
      <c r="D448" t="inlineStr">
        <is>
          <t>NORRBOTTENS LÄN</t>
        </is>
      </c>
      <c r="E448" t="inlineStr">
        <is>
          <t>LULEÅ</t>
        </is>
      </c>
      <c r="G448" t="n">
        <v>4.6</v>
      </c>
      <c r="H448" t="n">
        <v>0</v>
      </c>
      <c r="I448" t="n">
        <v>0</v>
      </c>
      <c r="J448" t="n">
        <v>0</v>
      </c>
      <c r="K448" t="n">
        <v>0</v>
      </c>
      <c r="L448" t="n">
        <v>0</v>
      </c>
      <c r="M448" t="n">
        <v>0</v>
      </c>
      <c r="N448" t="n">
        <v>0</v>
      </c>
      <c r="O448" t="n">
        <v>0</v>
      </c>
      <c r="P448" t="n">
        <v>0</v>
      </c>
      <c r="Q448" t="n">
        <v>0</v>
      </c>
      <c r="R448" s="2" t="inlineStr"/>
    </row>
    <row r="449" ht="15" customHeight="1">
      <c r="A449" t="inlineStr">
        <is>
          <t>A 42753-2022</t>
        </is>
      </c>
      <c r="B449" s="1" t="n">
        <v>44832</v>
      </c>
      <c r="C449" s="1" t="n">
        <v>46131</v>
      </c>
      <c r="D449" t="inlineStr">
        <is>
          <t>NORRBOTTENS LÄN</t>
        </is>
      </c>
      <c r="E449" t="inlineStr">
        <is>
          <t>LULEÅ</t>
        </is>
      </c>
      <c r="G449" t="n">
        <v>10.8</v>
      </c>
      <c r="H449" t="n">
        <v>0</v>
      </c>
      <c r="I449" t="n">
        <v>0</v>
      </c>
      <c r="J449" t="n">
        <v>0</v>
      </c>
      <c r="K449" t="n">
        <v>0</v>
      </c>
      <c r="L449" t="n">
        <v>0</v>
      </c>
      <c r="M449" t="n">
        <v>0</v>
      </c>
      <c r="N449" t="n">
        <v>0</v>
      </c>
      <c r="O449" t="n">
        <v>0</v>
      </c>
      <c r="P449" t="n">
        <v>0</v>
      </c>
      <c r="Q449" t="n">
        <v>0</v>
      </c>
      <c r="R449" s="2" t="inlineStr"/>
    </row>
    <row r="450" ht="15" customHeight="1">
      <c r="A450" t="inlineStr">
        <is>
          <t>A 59731-2025</t>
        </is>
      </c>
      <c r="B450" s="1" t="n">
        <v>45992.56959490741</v>
      </c>
      <c r="C450" s="1" t="n">
        <v>46131</v>
      </c>
      <c r="D450" t="inlineStr">
        <is>
          <t>NORRBOTTENS LÄN</t>
        </is>
      </c>
      <c r="E450" t="inlineStr">
        <is>
          <t>LULEÅ</t>
        </is>
      </c>
      <c r="G450" t="n">
        <v>2.2</v>
      </c>
      <c r="H450" t="n">
        <v>0</v>
      </c>
      <c r="I450" t="n">
        <v>0</v>
      </c>
      <c r="J450" t="n">
        <v>0</v>
      </c>
      <c r="K450" t="n">
        <v>0</v>
      </c>
      <c r="L450" t="n">
        <v>0</v>
      </c>
      <c r="M450" t="n">
        <v>0</v>
      </c>
      <c r="N450" t="n">
        <v>0</v>
      </c>
      <c r="O450" t="n">
        <v>0</v>
      </c>
      <c r="P450" t="n">
        <v>0</v>
      </c>
      <c r="Q450" t="n">
        <v>0</v>
      </c>
      <c r="R450" s="2" t="inlineStr"/>
    </row>
    <row r="451" ht="15" customHeight="1">
      <c r="A451" t="inlineStr">
        <is>
          <t>A 28150-2024</t>
        </is>
      </c>
      <c r="B451" s="1" t="n">
        <v>45476.76228009259</v>
      </c>
      <c r="C451" s="1" t="n">
        <v>46131</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60001-2025</t>
        </is>
      </c>
      <c r="B452" s="1" t="n">
        <v>45992</v>
      </c>
      <c r="C452" s="1" t="n">
        <v>46131</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4286-2025</t>
        </is>
      </c>
      <c r="B453" s="1" t="n">
        <v>45685</v>
      </c>
      <c r="C453" s="1" t="n">
        <v>46131</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59586-2025</t>
        </is>
      </c>
      <c r="B454" s="1" t="n">
        <v>45992</v>
      </c>
      <c r="C454" s="1" t="n">
        <v>46131</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59596-2025</t>
        </is>
      </c>
      <c r="B455" s="1" t="n">
        <v>45992</v>
      </c>
      <c r="C455" s="1" t="n">
        <v>46131</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5038-2025</t>
        </is>
      </c>
      <c r="B456" s="1" t="n">
        <v>45691.42896990741</v>
      </c>
      <c r="C456" s="1" t="n">
        <v>46131</v>
      </c>
      <c r="D456" t="inlineStr">
        <is>
          <t>NORRBOTTENS LÄN</t>
        </is>
      </c>
      <c r="E456" t="inlineStr">
        <is>
          <t>LULEÅ</t>
        </is>
      </c>
      <c r="G456" t="n">
        <v>0.8</v>
      </c>
      <c r="H456" t="n">
        <v>0</v>
      </c>
      <c r="I456" t="n">
        <v>0</v>
      </c>
      <c r="J456" t="n">
        <v>0</v>
      </c>
      <c r="K456" t="n">
        <v>0</v>
      </c>
      <c r="L456" t="n">
        <v>0</v>
      </c>
      <c r="M456" t="n">
        <v>0</v>
      </c>
      <c r="N456" t="n">
        <v>0</v>
      </c>
      <c r="O456" t="n">
        <v>0</v>
      </c>
      <c r="P456" t="n">
        <v>0</v>
      </c>
      <c r="Q456" t="n">
        <v>0</v>
      </c>
      <c r="R456" s="2" t="inlineStr"/>
    </row>
    <row r="457" ht="15" customHeight="1">
      <c r="A457" t="inlineStr">
        <is>
          <t>A 5051-2025</t>
        </is>
      </c>
      <c r="B457" s="1" t="n">
        <v>45691.45101851852</v>
      </c>
      <c r="C457" s="1" t="n">
        <v>46131</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59660-2025</t>
        </is>
      </c>
      <c r="B458" s="1" t="n">
        <v>45992.44833333333</v>
      </c>
      <c r="C458" s="1" t="n">
        <v>46131</v>
      </c>
      <c r="D458" t="inlineStr">
        <is>
          <t>NORRBOTTENS LÄN</t>
        </is>
      </c>
      <c r="E458" t="inlineStr">
        <is>
          <t>LULEÅ</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59671-2025</t>
        </is>
      </c>
      <c r="B459" s="1" t="n">
        <v>45992.45798611111</v>
      </c>
      <c r="C459" s="1" t="n">
        <v>46131</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17438-2023</t>
        </is>
      </c>
      <c r="B460" s="1" t="n">
        <v>45035.92709490741</v>
      </c>
      <c r="C460" s="1" t="n">
        <v>46131</v>
      </c>
      <c r="D460" t="inlineStr">
        <is>
          <t>NORRBOTTENS LÄN</t>
        </is>
      </c>
      <c r="E460" t="inlineStr">
        <is>
          <t>LULEÅ</t>
        </is>
      </c>
      <c r="G460" t="n">
        <v>0.8</v>
      </c>
      <c r="H460" t="n">
        <v>0</v>
      </c>
      <c r="I460" t="n">
        <v>0</v>
      </c>
      <c r="J460" t="n">
        <v>0</v>
      </c>
      <c r="K460" t="n">
        <v>0</v>
      </c>
      <c r="L460" t="n">
        <v>0</v>
      </c>
      <c r="M460" t="n">
        <v>0</v>
      </c>
      <c r="N460" t="n">
        <v>0</v>
      </c>
      <c r="O460" t="n">
        <v>0</v>
      </c>
      <c r="P460" t="n">
        <v>0</v>
      </c>
      <c r="Q460" t="n">
        <v>0</v>
      </c>
      <c r="R460" s="2" t="inlineStr"/>
    </row>
    <row r="461" ht="15" customHeight="1">
      <c r="A461" t="inlineStr">
        <is>
          <t>A 59605-2025</t>
        </is>
      </c>
      <c r="B461" s="1" t="n">
        <v>45992</v>
      </c>
      <c r="C461" s="1" t="n">
        <v>46131</v>
      </c>
      <c r="D461" t="inlineStr">
        <is>
          <t>NORRBOTTENS LÄN</t>
        </is>
      </c>
      <c r="E461" t="inlineStr">
        <is>
          <t>LULEÅ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59599-2025</t>
        </is>
      </c>
      <c r="B462" s="1" t="n">
        <v>45992</v>
      </c>
      <c r="C462" s="1" t="n">
        <v>46131</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8204-2025</t>
        </is>
      </c>
      <c r="B463" s="1" t="n">
        <v>45708</v>
      </c>
      <c r="C463" s="1" t="n">
        <v>46131</v>
      </c>
      <c r="D463" t="inlineStr">
        <is>
          <t>NORRBOTTENS LÄN</t>
        </is>
      </c>
      <c r="E463" t="inlineStr">
        <is>
          <t>LULEÅ</t>
        </is>
      </c>
      <c r="G463" t="n">
        <v>10.7</v>
      </c>
      <c r="H463" t="n">
        <v>0</v>
      </c>
      <c r="I463" t="n">
        <v>0</v>
      </c>
      <c r="J463" t="n">
        <v>0</v>
      </c>
      <c r="K463" t="n">
        <v>0</v>
      </c>
      <c r="L463" t="n">
        <v>0</v>
      </c>
      <c r="M463" t="n">
        <v>0</v>
      </c>
      <c r="N463" t="n">
        <v>0</v>
      </c>
      <c r="O463" t="n">
        <v>0</v>
      </c>
      <c r="P463" t="n">
        <v>0</v>
      </c>
      <c r="Q463" t="n">
        <v>0</v>
      </c>
      <c r="R463" s="2" t="inlineStr"/>
    </row>
    <row r="464" ht="15" customHeight="1">
      <c r="A464" t="inlineStr">
        <is>
          <t>A 14187-2025</t>
        </is>
      </c>
      <c r="B464" s="1" t="n">
        <v>45740</v>
      </c>
      <c r="C464" s="1" t="n">
        <v>46131</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59437-2025</t>
        </is>
      </c>
      <c r="B465" s="1" t="n">
        <v>45989.556875</v>
      </c>
      <c r="C465" s="1" t="n">
        <v>46131</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59554-2025</t>
        </is>
      </c>
      <c r="B466" s="1" t="n">
        <v>45990.65666666667</v>
      </c>
      <c r="C466" s="1" t="n">
        <v>46131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59616-2025</t>
        </is>
      </c>
      <c r="B467" s="1" t="n">
        <v>45992</v>
      </c>
      <c r="C467" s="1" t="n">
        <v>46131</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14193-2025</t>
        </is>
      </c>
      <c r="B468" s="1" t="n">
        <v>45740</v>
      </c>
      <c r="C468" s="1" t="n">
        <v>46131</v>
      </c>
      <c r="D468" t="inlineStr">
        <is>
          <t>NORRBOTTENS LÄN</t>
        </is>
      </c>
      <c r="E468" t="inlineStr">
        <is>
          <t>LULEÅ</t>
        </is>
      </c>
      <c r="G468" t="n">
        <v>0.9</v>
      </c>
      <c r="H468" t="n">
        <v>0</v>
      </c>
      <c r="I468" t="n">
        <v>0</v>
      </c>
      <c r="J468" t="n">
        <v>0</v>
      </c>
      <c r="K468" t="n">
        <v>0</v>
      </c>
      <c r="L468" t="n">
        <v>0</v>
      </c>
      <c r="M468" t="n">
        <v>0</v>
      </c>
      <c r="N468" t="n">
        <v>0</v>
      </c>
      <c r="O468" t="n">
        <v>0</v>
      </c>
      <c r="P468" t="n">
        <v>0</v>
      </c>
      <c r="Q468" t="n">
        <v>0</v>
      </c>
      <c r="R468" s="2" t="inlineStr"/>
    </row>
    <row r="469" ht="15" customHeight="1">
      <c r="A469" t="inlineStr">
        <is>
          <t>A 14195-2025</t>
        </is>
      </c>
      <c r="B469" s="1" t="n">
        <v>45740</v>
      </c>
      <c r="C469" s="1" t="n">
        <v>46131</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1683-2025</t>
        </is>
      </c>
      <c r="B470" s="1" t="n">
        <v>45670.69847222222</v>
      </c>
      <c r="C470" s="1" t="n">
        <v>46131</v>
      </c>
      <c r="D470" t="inlineStr">
        <is>
          <t>NORRBOTTENS LÄN</t>
        </is>
      </c>
      <c r="E470" t="inlineStr">
        <is>
          <t>LULEÅ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37765-2021</t>
        </is>
      </c>
      <c r="B471" s="1" t="n">
        <v>44400</v>
      </c>
      <c r="C471" s="1" t="n">
        <v>46131</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60245-2025</t>
        </is>
      </c>
      <c r="B472" s="1" t="n">
        <v>45993</v>
      </c>
      <c r="C472" s="1" t="n">
        <v>46131</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9502-2025</t>
        </is>
      </c>
      <c r="B473" s="1" t="n">
        <v>45714</v>
      </c>
      <c r="C473" s="1" t="n">
        <v>46131</v>
      </c>
      <c r="D473" t="inlineStr">
        <is>
          <t>NORRBOTTENS LÄN</t>
        </is>
      </c>
      <c r="E473" t="inlineStr">
        <is>
          <t>LULEÅ</t>
        </is>
      </c>
      <c r="G473" t="n">
        <v>5.6</v>
      </c>
      <c r="H473" t="n">
        <v>0</v>
      </c>
      <c r="I473" t="n">
        <v>0</v>
      </c>
      <c r="J473" t="n">
        <v>0</v>
      </c>
      <c r="K473" t="n">
        <v>0</v>
      </c>
      <c r="L473" t="n">
        <v>0</v>
      </c>
      <c r="M473" t="n">
        <v>0</v>
      </c>
      <c r="N473" t="n">
        <v>0</v>
      </c>
      <c r="O473" t="n">
        <v>0</v>
      </c>
      <c r="P473" t="n">
        <v>0</v>
      </c>
      <c r="Q473" t="n">
        <v>0</v>
      </c>
      <c r="R473" s="2" t="inlineStr"/>
    </row>
    <row r="474" ht="15" customHeight="1">
      <c r="A474" t="inlineStr">
        <is>
          <t>A 60056-2025</t>
        </is>
      </c>
      <c r="B474" s="1" t="n">
        <v>45993</v>
      </c>
      <c r="C474" s="1" t="n">
        <v>46131</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46131</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10815-2024</t>
        </is>
      </c>
      <c r="B476" s="1" t="n">
        <v>45369</v>
      </c>
      <c r="C476" s="1" t="n">
        <v>46131</v>
      </c>
      <c r="D476" t="inlineStr">
        <is>
          <t>NORRBOTTENS LÄN</t>
        </is>
      </c>
      <c r="E476" t="inlineStr">
        <is>
          <t>LULEÅ</t>
        </is>
      </c>
      <c r="G476" t="n">
        <v>2.5</v>
      </c>
      <c r="H476" t="n">
        <v>0</v>
      </c>
      <c r="I476" t="n">
        <v>0</v>
      </c>
      <c r="J476" t="n">
        <v>0</v>
      </c>
      <c r="K476" t="n">
        <v>0</v>
      </c>
      <c r="L476" t="n">
        <v>0</v>
      </c>
      <c r="M476" t="n">
        <v>0</v>
      </c>
      <c r="N476" t="n">
        <v>0</v>
      </c>
      <c r="O476" t="n">
        <v>0</v>
      </c>
      <c r="P476" t="n">
        <v>0</v>
      </c>
      <c r="Q476" t="n">
        <v>0</v>
      </c>
      <c r="R476" s="2" t="inlineStr"/>
    </row>
    <row r="477" ht="15" customHeight="1">
      <c r="A477" t="inlineStr">
        <is>
          <t>A 60706-2025</t>
        </is>
      </c>
      <c r="B477" s="1" t="n">
        <v>45996.60962962963</v>
      </c>
      <c r="C477" s="1" t="n">
        <v>46131</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60695-2025</t>
        </is>
      </c>
      <c r="B478" s="1" t="n">
        <v>45996.59778935185</v>
      </c>
      <c r="C478" s="1" t="n">
        <v>46131</v>
      </c>
      <c r="D478" t="inlineStr">
        <is>
          <t>NORRBOTTENS LÄN</t>
        </is>
      </c>
      <c r="E478" t="inlineStr">
        <is>
          <t>LULEÅ</t>
        </is>
      </c>
      <c r="G478" t="n">
        <v>1.8</v>
      </c>
      <c r="H478" t="n">
        <v>0</v>
      </c>
      <c r="I478" t="n">
        <v>0</v>
      </c>
      <c r="J478" t="n">
        <v>0</v>
      </c>
      <c r="K478" t="n">
        <v>0</v>
      </c>
      <c r="L478" t="n">
        <v>0</v>
      </c>
      <c r="M478" t="n">
        <v>0</v>
      </c>
      <c r="N478" t="n">
        <v>0</v>
      </c>
      <c r="O478" t="n">
        <v>0</v>
      </c>
      <c r="P478" t="n">
        <v>0</v>
      </c>
      <c r="Q478" t="n">
        <v>0</v>
      </c>
      <c r="R478" s="2" t="inlineStr"/>
    </row>
    <row r="479" ht="15" customHeight="1">
      <c r="A479" t="inlineStr">
        <is>
          <t>A 60702-2025</t>
        </is>
      </c>
      <c r="B479" s="1" t="n">
        <v>45996.60475694444</v>
      </c>
      <c r="C479" s="1" t="n">
        <v>46131</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9706-2022</t>
        </is>
      </c>
      <c r="B480" s="1" t="n">
        <v>44617</v>
      </c>
      <c r="C480" s="1" t="n">
        <v>46131</v>
      </c>
      <c r="D480" t="inlineStr">
        <is>
          <t>NORRBOTTENS LÄN</t>
        </is>
      </c>
      <c r="E480" t="inlineStr">
        <is>
          <t>LULEÅ</t>
        </is>
      </c>
      <c r="G480" t="n">
        <v>1.7</v>
      </c>
      <c r="H480" t="n">
        <v>0</v>
      </c>
      <c r="I480" t="n">
        <v>0</v>
      </c>
      <c r="J480" t="n">
        <v>0</v>
      </c>
      <c r="K480" t="n">
        <v>0</v>
      </c>
      <c r="L480" t="n">
        <v>0</v>
      </c>
      <c r="M480" t="n">
        <v>0</v>
      </c>
      <c r="N480" t="n">
        <v>0</v>
      </c>
      <c r="O480" t="n">
        <v>0</v>
      </c>
      <c r="P480" t="n">
        <v>0</v>
      </c>
      <c r="Q480" t="n">
        <v>0</v>
      </c>
      <c r="R480" s="2" t="inlineStr"/>
    </row>
    <row r="481" ht="15" customHeight="1">
      <c r="A481" t="inlineStr">
        <is>
          <t>A 60369-2025</t>
        </is>
      </c>
      <c r="B481" s="1" t="n">
        <v>45995.34258101852</v>
      </c>
      <c r="C481" s="1" t="n">
        <v>46131</v>
      </c>
      <c r="D481" t="inlineStr">
        <is>
          <t>NORRBOTTENS LÄN</t>
        </is>
      </c>
      <c r="E481" t="inlineStr">
        <is>
          <t>LULEÅ</t>
        </is>
      </c>
      <c r="G481" t="n">
        <v>4.6</v>
      </c>
      <c r="H481" t="n">
        <v>0</v>
      </c>
      <c r="I481" t="n">
        <v>0</v>
      </c>
      <c r="J481" t="n">
        <v>0</v>
      </c>
      <c r="K481" t="n">
        <v>0</v>
      </c>
      <c r="L481" t="n">
        <v>0</v>
      </c>
      <c r="M481" t="n">
        <v>0</v>
      </c>
      <c r="N481" t="n">
        <v>0</v>
      </c>
      <c r="O481" t="n">
        <v>0</v>
      </c>
      <c r="P481" t="n">
        <v>0</v>
      </c>
      <c r="Q481" t="n">
        <v>0</v>
      </c>
      <c r="R481" s="2" t="inlineStr"/>
    </row>
    <row r="482" ht="15" customHeight="1">
      <c r="A482" t="inlineStr">
        <is>
          <t>A 18208-2023</t>
        </is>
      </c>
      <c r="B482" s="1" t="n">
        <v>45040</v>
      </c>
      <c r="C482" s="1" t="n">
        <v>46131</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14803-2023</t>
        </is>
      </c>
      <c r="B483" s="1" t="n">
        <v>45013</v>
      </c>
      <c r="C483" s="1" t="n">
        <v>46131</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60732-2025</t>
        </is>
      </c>
      <c r="B484" s="1" t="n">
        <v>45995</v>
      </c>
      <c r="C484" s="1" t="n">
        <v>46131</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60690-2025</t>
        </is>
      </c>
      <c r="B485" s="1" t="n">
        <v>45996</v>
      </c>
      <c r="C485" s="1" t="n">
        <v>46131</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30358-2023</t>
        </is>
      </c>
      <c r="B486" s="1" t="n">
        <v>45111</v>
      </c>
      <c r="C486" s="1" t="n">
        <v>46131</v>
      </c>
      <c r="D486" t="inlineStr">
        <is>
          <t>NORRBOTTENS LÄN</t>
        </is>
      </c>
      <c r="E486" t="inlineStr">
        <is>
          <t>LULEÅ</t>
        </is>
      </c>
      <c r="G486" t="n">
        <v>3.9</v>
      </c>
      <c r="H486" t="n">
        <v>0</v>
      </c>
      <c r="I486" t="n">
        <v>0</v>
      </c>
      <c r="J486" t="n">
        <v>0</v>
      </c>
      <c r="K486" t="n">
        <v>0</v>
      </c>
      <c r="L486" t="n">
        <v>0</v>
      </c>
      <c r="M486" t="n">
        <v>0</v>
      </c>
      <c r="N486" t="n">
        <v>0</v>
      </c>
      <c r="O486" t="n">
        <v>0</v>
      </c>
      <c r="P486" t="n">
        <v>0</v>
      </c>
      <c r="Q486" t="n">
        <v>0</v>
      </c>
      <c r="R486" s="2" t="inlineStr"/>
    </row>
    <row r="487" ht="15" customHeight="1">
      <c r="A487" t="inlineStr">
        <is>
          <t>A 19238-2025</t>
        </is>
      </c>
      <c r="B487" s="1" t="n">
        <v>45769.47217592593</v>
      </c>
      <c r="C487" s="1" t="n">
        <v>46131</v>
      </c>
      <c r="D487" t="inlineStr">
        <is>
          <t>NORRBOTTENS LÄN</t>
        </is>
      </c>
      <c r="E487" t="inlineStr">
        <is>
          <t>LULEÅ</t>
        </is>
      </c>
      <c r="G487" t="n">
        <v>4.9</v>
      </c>
      <c r="H487" t="n">
        <v>0</v>
      </c>
      <c r="I487" t="n">
        <v>0</v>
      </c>
      <c r="J487" t="n">
        <v>0</v>
      </c>
      <c r="K487" t="n">
        <v>0</v>
      </c>
      <c r="L487" t="n">
        <v>0</v>
      </c>
      <c r="M487" t="n">
        <v>0</v>
      </c>
      <c r="N487" t="n">
        <v>0</v>
      </c>
      <c r="O487" t="n">
        <v>0</v>
      </c>
      <c r="P487" t="n">
        <v>0</v>
      </c>
      <c r="Q487" t="n">
        <v>0</v>
      </c>
      <c r="R487" s="2" t="inlineStr"/>
    </row>
    <row r="488" ht="15" customHeight="1">
      <c r="A488" t="inlineStr">
        <is>
          <t>A 57264-2022</t>
        </is>
      </c>
      <c r="B488" s="1" t="n">
        <v>44895</v>
      </c>
      <c r="C488" s="1" t="n">
        <v>46131</v>
      </c>
      <c r="D488" t="inlineStr">
        <is>
          <t>NORRBOTTENS LÄN</t>
        </is>
      </c>
      <c r="E488" t="inlineStr">
        <is>
          <t>LULEÅ</t>
        </is>
      </c>
      <c r="G488" t="n">
        <v>8</v>
      </c>
      <c r="H488" t="n">
        <v>0</v>
      </c>
      <c r="I488" t="n">
        <v>0</v>
      </c>
      <c r="J488" t="n">
        <v>0</v>
      </c>
      <c r="K488" t="n">
        <v>0</v>
      </c>
      <c r="L488" t="n">
        <v>0</v>
      </c>
      <c r="M488" t="n">
        <v>0</v>
      </c>
      <c r="N488" t="n">
        <v>0</v>
      </c>
      <c r="O488" t="n">
        <v>0</v>
      </c>
      <c r="P488" t="n">
        <v>0</v>
      </c>
      <c r="Q488" t="n">
        <v>0</v>
      </c>
      <c r="R488" s="2" t="inlineStr"/>
    </row>
    <row r="489" ht="15" customHeight="1">
      <c r="A489" t="inlineStr">
        <is>
          <t>A 61146-2025</t>
        </is>
      </c>
      <c r="B489" s="1" t="n">
        <v>45999</v>
      </c>
      <c r="C489" s="1" t="n">
        <v>46131</v>
      </c>
      <c r="D489" t="inlineStr">
        <is>
          <t>NORRBOTTENS LÄN</t>
        </is>
      </c>
      <c r="E489" t="inlineStr">
        <is>
          <t>LULEÅ</t>
        </is>
      </c>
      <c r="G489" t="n">
        <v>2</v>
      </c>
      <c r="H489" t="n">
        <v>0</v>
      </c>
      <c r="I489" t="n">
        <v>0</v>
      </c>
      <c r="J489" t="n">
        <v>0</v>
      </c>
      <c r="K489" t="n">
        <v>0</v>
      </c>
      <c r="L489" t="n">
        <v>0</v>
      </c>
      <c r="M489" t="n">
        <v>0</v>
      </c>
      <c r="N489" t="n">
        <v>0</v>
      </c>
      <c r="O489" t="n">
        <v>0</v>
      </c>
      <c r="P489" t="n">
        <v>0</v>
      </c>
      <c r="Q489" t="n">
        <v>0</v>
      </c>
      <c r="R489" s="2" t="inlineStr"/>
    </row>
    <row r="490" ht="15" customHeight="1">
      <c r="A490" t="inlineStr">
        <is>
          <t>A 14196-2025</t>
        </is>
      </c>
      <c r="B490" s="1" t="n">
        <v>45740</v>
      </c>
      <c r="C490" s="1" t="n">
        <v>46131</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61104-2025</t>
        </is>
      </c>
      <c r="B491" s="1" t="n">
        <v>46000.44612268519</v>
      </c>
      <c r="C491" s="1" t="n">
        <v>46131</v>
      </c>
      <c r="D491" t="inlineStr">
        <is>
          <t>NORRBOTTENS LÄN</t>
        </is>
      </c>
      <c r="E491" t="inlineStr">
        <is>
          <t>LULEÅ</t>
        </is>
      </c>
      <c r="G491" t="n">
        <v>4.6</v>
      </c>
      <c r="H491" t="n">
        <v>0</v>
      </c>
      <c r="I491" t="n">
        <v>0</v>
      </c>
      <c r="J491" t="n">
        <v>0</v>
      </c>
      <c r="K491" t="n">
        <v>0</v>
      </c>
      <c r="L491" t="n">
        <v>0</v>
      </c>
      <c r="M491" t="n">
        <v>0</v>
      </c>
      <c r="N491" t="n">
        <v>0</v>
      </c>
      <c r="O491" t="n">
        <v>0</v>
      </c>
      <c r="P491" t="n">
        <v>0</v>
      </c>
      <c r="Q491" t="n">
        <v>0</v>
      </c>
      <c r="R491" s="2" t="inlineStr"/>
    </row>
    <row r="492" ht="15" customHeight="1">
      <c r="A492" t="inlineStr">
        <is>
          <t>A 61272-2025</t>
        </is>
      </c>
      <c r="B492" s="1" t="n">
        <v>46000.6856712963</v>
      </c>
      <c r="C492" s="1" t="n">
        <v>46131</v>
      </c>
      <c r="D492" t="inlineStr">
        <is>
          <t>NORRBOTTENS LÄN</t>
        </is>
      </c>
      <c r="E492" t="inlineStr">
        <is>
          <t>LULEÅ</t>
        </is>
      </c>
      <c r="G492" t="n">
        <v>3.3</v>
      </c>
      <c r="H492" t="n">
        <v>0</v>
      </c>
      <c r="I492" t="n">
        <v>0</v>
      </c>
      <c r="J492" t="n">
        <v>0</v>
      </c>
      <c r="K492" t="n">
        <v>0</v>
      </c>
      <c r="L492" t="n">
        <v>0</v>
      </c>
      <c r="M492" t="n">
        <v>0</v>
      </c>
      <c r="N492" t="n">
        <v>0</v>
      </c>
      <c r="O492" t="n">
        <v>0</v>
      </c>
      <c r="P492" t="n">
        <v>0</v>
      </c>
      <c r="Q492" t="n">
        <v>0</v>
      </c>
      <c r="R492" s="2" t="inlineStr"/>
    </row>
    <row r="493" ht="15" customHeight="1">
      <c r="A493" t="inlineStr">
        <is>
          <t>A 54824-2022</t>
        </is>
      </c>
      <c r="B493" s="1" t="n">
        <v>44883.92393518519</v>
      </c>
      <c r="C493" s="1" t="n">
        <v>46131</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30784-2024</t>
        </is>
      </c>
      <c r="B494" s="1" t="n">
        <v>45496</v>
      </c>
      <c r="C494" s="1" t="n">
        <v>46131</v>
      </c>
      <c r="D494" t="inlineStr">
        <is>
          <t>NORRBOTTENS LÄN</t>
        </is>
      </c>
      <c r="E494" t="inlineStr">
        <is>
          <t>LULEÅ</t>
        </is>
      </c>
      <c r="F494" t="inlineStr">
        <is>
          <t>Naturvårdsverket</t>
        </is>
      </c>
      <c r="G494" t="n">
        <v>13.2</v>
      </c>
      <c r="H494" t="n">
        <v>0</v>
      </c>
      <c r="I494" t="n">
        <v>0</v>
      </c>
      <c r="J494" t="n">
        <v>0</v>
      </c>
      <c r="K494" t="n">
        <v>0</v>
      </c>
      <c r="L494" t="n">
        <v>0</v>
      </c>
      <c r="M494" t="n">
        <v>0</v>
      </c>
      <c r="N494" t="n">
        <v>0</v>
      </c>
      <c r="O494" t="n">
        <v>0</v>
      </c>
      <c r="P494" t="n">
        <v>0</v>
      </c>
      <c r="Q494" t="n">
        <v>0</v>
      </c>
      <c r="R494" s="2" t="inlineStr"/>
    </row>
    <row r="495" ht="15" customHeight="1">
      <c r="A495" t="inlineStr">
        <is>
          <t>A 30788-2024</t>
        </is>
      </c>
      <c r="B495" s="1" t="n">
        <v>45496</v>
      </c>
      <c r="C495" s="1" t="n">
        <v>46131</v>
      </c>
      <c r="D495" t="inlineStr">
        <is>
          <t>NORRBOTTENS LÄN</t>
        </is>
      </c>
      <c r="E495" t="inlineStr">
        <is>
          <t>LULEÅ</t>
        </is>
      </c>
      <c r="F495" t="inlineStr">
        <is>
          <t>Naturvårdsverket</t>
        </is>
      </c>
      <c r="G495" t="n">
        <v>6.7</v>
      </c>
      <c r="H495" t="n">
        <v>0</v>
      </c>
      <c r="I495" t="n">
        <v>0</v>
      </c>
      <c r="J495" t="n">
        <v>0</v>
      </c>
      <c r="K495" t="n">
        <v>0</v>
      </c>
      <c r="L495" t="n">
        <v>0</v>
      </c>
      <c r="M495" t="n">
        <v>0</v>
      </c>
      <c r="N495" t="n">
        <v>0</v>
      </c>
      <c r="O495" t="n">
        <v>0</v>
      </c>
      <c r="P495" t="n">
        <v>0</v>
      </c>
      <c r="Q495" t="n">
        <v>0</v>
      </c>
      <c r="R495" s="2" t="inlineStr"/>
    </row>
    <row r="496" ht="15" customHeight="1">
      <c r="A496" t="inlineStr">
        <is>
          <t>A 61520-2025</t>
        </is>
      </c>
      <c r="B496" s="1" t="n">
        <v>46001.68658564815</v>
      </c>
      <c r="C496" s="1" t="n">
        <v>46131</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49720-2024</t>
        </is>
      </c>
      <c r="B497" s="1" t="n">
        <v>45596.72625</v>
      </c>
      <c r="C497" s="1" t="n">
        <v>46131</v>
      </c>
      <c r="D497" t="inlineStr">
        <is>
          <t>NORRBOTTENS LÄN</t>
        </is>
      </c>
      <c r="E497" t="inlineStr">
        <is>
          <t>LULEÅ</t>
        </is>
      </c>
      <c r="G497" t="n">
        <v>3.3</v>
      </c>
      <c r="H497" t="n">
        <v>0</v>
      </c>
      <c r="I497" t="n">
        <v>0</v>
      </c>
      <c r="J497" t="n">
        <v>0</v>
      </c>
      <c r="K497" t="n">
        <v>0</v>
      </c>
      <c r="L497" t="n">
        <v>0</v>
      </c>
      <c r="M497" t="n">
        <v>0</v>
      </c>
      <c r="N497" t="n">
        <v>0</v>
      </c>
      <c r="O497" t="n">
        <v>0</v>
      </c>
      <c r="P497" t="n">
        <v>0</v>
      </c>
      <c r="Q497" t="n">
        <v>0</v>
      </c>
      <c r="R497" s="2" t="inlineStr"/>
    </row>
    <row r="498" ht="15" customHeight="1">
      <c r="A498" t="inlineStr">
        <is>
          <t>A 4940-2025</t>
        </is>
      </c>
      <c r="B498" s="1" t="n">
        <v>45688.69949074074</v>
      </c>
      <c r="C498" s="1" t="n">
        <v>46131</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61634-2025</t>
        </is>
      </c>
      <c r="B499" s="1" t="n">
        <v>46002.41836805556</v>
      </c>
      <c r="C499" s="1" t="n">
        <v>46131</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17176-2024</t>
        </is>
      </c>
      <c r="B500" s="1" t="n">
        <v>45412</v>
      </c>
      <c r="C500" s="1" t="n">
        <v>46131</v>
      </c>
      <c r="D500" t="inlineStr">
        <is>
          <t>NORRBOTTENS LÄN</t>
        </is>
      </c>
      <c r="E500" t="inlineStr">
        <is>
          <t>LULEÅ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57826-2022</t>
        </is>
      </c>
      <c r="B501" s="1" t="n">
        <v>44897</v>
      </c>
      <c r="C501" s="1" t="n">
        <v>46131</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62188-2025</t>
        </is>
      </c>
      <c r="B502" s="1" t="n">
        <v>46006.5471412037</v>
      </c>
      <c r="C502" s="1" t="n">
        <v>46131</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7168-2025</t>
        </is>
      </c>
      <c r="B503" s="1" t="n">
        <v>45702.40306712963</v>
      </c>
      <c r="C503" s="1" t="n">
        <v>46131</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62135-2025</t>
        </is>
      </c>
      <c r="B504" s="1" t="n">
        <v>46006</v>
      </c>
      <c r="C504" s="1" t="n">
        <v>46131</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62190-2025</t>
        </is>
      </c>
      <c r="B505" s="1" t="n">
        <v>46006.54785879629</v>
      </c>
      <c r="C505" s="1" t="n">
        <v>46131</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62191-2025</t>
        </is>
      </c>
      <c r="B506" s="1" t="n">
        <v>46006.54866898148</v>
      </c>
      <c r="C506" s="1" t="n">
        <v>46131</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20063-2023</t>
        </is>
      </c>
      <c r="B507" s="1" t="n">
        <v>45054</v>
      </c>
      <c r="C507" s="1" t="n">
        <v>46131</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37304-2024</t>
        </is>
      </c>
      <c r="B508" s="1" t="n">
        <v>45540</v>
      </c>
      <c r="C508" s="1" t="n">
        <v>46131</v>
      </c>
      <c r="D508" t="inlineStr">
        <is>
          <t>NORRBOTTENS LÄN</t>
        </is>
      </c>
      <c r="E508" t="inlineStr">
        <is>
          <t>LULEÅ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62783-2025</t>
        </is>
      </c>
      <c r="B509" s="1" t="n">
        <v>46008.61600694444</v>
      </c>
      <c r="C509" s="1" t="n">
        <v>46131</v>
      </c>
      <c r="D509" t="inlineStr">
        <is>
          <t>NORRBOTTENS LÄN</t>
        </is>
      </c>
      <c r="E509" t="inlineStr">
        <is>
          <t>LULEÅ</t>
        </is>
      </c>
      <c r="G509" t="n">
        <v>5.6</v>
      </c>
      <c r="H509" t="n">
        <v>0</v>
      </c>
      <c r="I509" t="n">
        <v>0</v>
      </c>
      <c r="J509" t="n">
        <v>0</v>
      </c>
      <c r="K509" t="n">
        <v>0</v>
      </c>
      <c r="L509" t="n">
        <v>0</v>
      </c>
      <c r="M509" t="n">
        <v>0</v>
      </c>
      <c r="N509" t="n">
        <v>0</v>
      </c>
      <c r="O509" t="n">
        <v>0</v>
      </c>
      <c r="P509" t="n">
        <v>0</v>
      </c>
      <c r="Q509" t="n">
        <v>0</v>
      </c>
      <c r="R509" s="2" t="inlineStr"/>
    </row>
    <row r="510" ht="15" customHeight="1">
      <c r="A510" t="inlineStr">
        <is>
          <t>A 62565-2025</t>
        </is>
      </c>
      <c r="B510" s="1" t="n">
        <v>46007.69832175926</v>
      </c>
      <c r="C510" s="1" t="n">
        <v>46131</v>
      </c>
      <c r="D510" t="inlineStr">
        <is>
          <t>NORRBOTTENS LÄN</t>
        </is>
      </c>
      <c r="E510" t="inlineStr">
        <is>
          <t>LULEÅ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45077.82532407407</v>
      </c>
      <c r="C511" s="1" t="n">
        <v>46131</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63359-2025</t>
        </is>
      </c>
      <c r="B512" s="1" t="n">
        <v>46010.67465277778</v>
      </c>
      <c r="C512" s="1" t="n">
        <v>46131</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63941-2025</t>
        </is>
      </c>
      <c r="B513" s="1" t="n">
        <v>46010</v>
      </c>
      <c r="C513" s="1" t="n">
        <v>46131</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62993-2025</t>
        </is>
      </c>
      <c r="B514" s="1" t="n">
        <v>46009.53162037037</v>
      </c>
      <c r="C514" s="1" t="n">
        <v>46131</v>
      </c>
      <c r="D514" t="inlineStr">
        <is>
          <t>NORRBOTTENS LÄN</t>
        </is>
      </c>
      <c r="E514" t="inlineStr">
        <is>
          <t>LULEÅ</t>
        </is>
      </c>
      <c r="G514" t="n">
        <v>9.6</v>
      </c>
      <c r="H514" t="n">
        <v>0</v>
      </c>
      <c r="I514" t="n">
        <v>0</v>
      </c>
      <c r="J514" t="n">
        <v>0</v>
      </c>
      <c r="K514" t="n">
        <v>0</v>
      </c>
      <c r="L514" t="n">
        <v>0</v>
      </c>
      <c r="M514" t="n">
        <v>0</v>
      </c>
      <c r="N514" t="n">
        <v>0</v>
      </c>
      <c r="O514" t="n">
        <v>0</v>
      </c>
      <c r="P514" t="n">
        <v>0</v>
      </c>
      <c r="Q514" t="n">
        <v>0</v>
      </c>
      <c r="R514" s="2" t="inlineStr"/>
    </row>
    <row r="515" ht="15" customHeight="1">
      <c r="A515" t="inlineStr">
        <is>
          <t>A 44462-2025</t>
        </is>
      </c>
      <c r="B515" s="1" t="n">
        <v>45916</v>
      </c>
      <c r="C515" s="1" t="n">
        <v>46131</v>
      </c>
      <c r="D515" t="inlineStr">
        <is>
          <t>NORRBOTTENS LÄN</t>
        </is>
      </c>
      <c r="E515" t="inlineStr">
        <is>
          <t>LULEÅ</t>
        </is>
      </c>
      <c r="G515" t="n">
        <v>5</v>
      </c>
      <c r="H515" t="n">
        <v>0</v>
      </c>
      <c r="I515" t="n">
        <v>0</v>
      </c>
      <c r="J515" t="n">
        <v>0</v>
      </c>
      <c r="K515" t="n">
        <v>0</v>
      </c>
      <c r="L515" t="n">
        <v>0</v>
      </c>
      <c r="M515" t="n">
        <v>0</v>
      </c>
      <c r="N515" t="n">
        <v>0</v>
      </c>
      <c r="O515" t="n">
        <v>0</v>
      </c>
      <c r="P515" t="n">
        <v>0</v>
      </c>
      <c r="Q515" t="n">
        <v>0</v>
      </c>
      <c r="R515" s="2" t="inlineStr"/>
    </row>
    <row r="516" ht="15" customHeight="1">
      <c r="A516" t="inlineStr">
        <is>
          <t>A 22007-2024</t>
        </is>
      </c>
      <c r="B516" s="1" t="n">
        <v>45443</v>
      </c>
      <c r="C516" s="1" t="n">
        <v>46131</v>
      </c>
      <c r="D516" t="inlineStr">
        <is>
          <t>NORRBOTTENS LÄN</t>
        </is>
      </c>
      <c r="E516" t="inlineStr">
        <is>
          <t>LULEÅ</t>
        </is>
      </c>
      <c r="G516" t="n">
        <v>1.4</v>
      </c>
      <c r="H516" t="n">
        <v>0</v>
      </c>
      <c r="I516" t="n">
        <v>0</v>
      </c>
      <c r="J516" t="n">
        <v>0</v>
      </c>
      <c r="K516" t="n">
        <v>0</v>
      </c>
      <c r="L516" t="n">
        <v>0</v>
      </c>
      <c r="M516" t="n">
        <v>0</v>
      </c>
      <c r="N516" t="n">
        <v>0</v>
      </c>
      <c r="O516" t="n">
        <v>0</v>
      </c>
      <c r="P516" t="n">
        <v>0</v>
      </c>
      <c r="Q516" t="n">
        <v>0</v>
      </c>
      <c r="R516" s="2" t="inlineStr"/>
    </row>
    <row r="517" ht="15" customHeight="1">
      <c r="A517" t="inlineStr">
        <is>
          <t>A 63211-2025</t>
        </is>
      </c>
      <c r="B517" s="1" t="n">
        <v>46010.47768518519</v>
      </c>
      <c r="C517" s="1" t="n">
        <v>46131</v>
      </c>
      <c r="D517" t="inlineStr">
        <is>
          <t>NORRBOTTENS LÄN</t>
        </is>
      </c>
      <c r="E517" t="inlineStr">
        <is>
          <t>LULEÅ</t>
        </is>
      </c>
      <c r="G517" t="n">
        <v>0.8</v>
      </c>
      <c r="H517" t="n">
        <v>0</v>
      </c>
      <c r="I517" t="n">
        <v>0</v>
      </c>
      <c r="J517" t="n">
        <v>0</v>
      </c>
      <c r="K517" t="n">
        <v>0</v>
      </c>
      <c r="L517" t="n">
        <v>0</v>
      </c>
      <c r="M517" t="n">
        <v>0</v>
      </c>
      <c r="N517" t="n">
        <v>0</v>
      </c>
      <c r="O517" t="n">
        <v>0</v>
      </c>
      <c r="P517" t="n">
        <v>0</v>
      </c>
      <c r="Q517" t="n">
        <v>0</v>
      </c>
      <c r="R517" s="2" t="inlineStr"/>
    </row>
    <row r="518" ht="15" customHeight="1">
      <c r="A518" t="inlineStr">
        <is>
          <t>A 63210-2025</t>
        </is>
      </c>
      <c r="B518" s="1" t="n">
        <v>46010.4771875</v>
      </c>
      <c r="C518" s="1" t="n">
        <v>46131</v>
      </c>
      <c r="D518" t="inlineStr">
        <is>
          <t>NORRBOTTENS LÄN</t>
        </is>
      </c>
      <c r="E518" t="inlineStr">
        <is>
          <t>LULEÅ</t>
        </is>
      </c>
      <c r="G518" t="n">
        <v>10</v>
      </c>
      <c r="H518" t="n">
        <v>0</v>
      </c>
      <c r="I518" t="n">
        <v>0</v>
      </c>
      <c r="J518" t="n">
        <v>0</v>
      </c>
      <c r="K518" t="n">
        <v>0</v>
      </c>
      <c r="L518" t="n">
        <v>0</v>
      </c>
      <c r="M518" t="n">
        <v>0</v>
      </c>
      <c r="N518" t="n">
        <v>0</v>
      </c>
      <c r="O518" t="n">
        <v>0</v>
      </c>
      <c r="P518" t="n">
        <v>0</v>
      </c>
      <c r="Q518" t="n">
        <v>0</v>
      </c>
      <c r="R518" s="2" t="inlineStr"/>
    </row>
    <row r="519" ht="15" customHeight="1">
      <c r="A519" t="inlineStr">
        <is>
          <t>A 57815-2022</t>
        </is>
      </c>
      <c r="B519" s="1" t="n">
        <v>44897.92459490741</v>
      </c>
      <c r="C519" s="1" t="n">
        <v>46131</v>
      </c>
      <c r="D519" t="inlineStr">
        <is>
          <t>NORRBOTTENS LÄN</t>
        </is>
      </c>
      <c r="E519" t="inlineStr">
        <is>
          <t>LULEÅ</t>
        </is>
      </c>
      <c r="G519" t="n">
        <v>2.4</v>
      </c>
      <c r="H519" t="n">
        <v>0</v>
      </c>
      <c r="I519" t="n">
        <v>0</v>
      </c>
      <c r="J519" t="n">
        <v>0</v>
      </c>
      <c r="K519" t="n">
        <v>0</v>
      </c>
      <c r="L519" t="n">
        <v>0</v>
      </c>
      <c r="M519" t="n">
        <v>0</v>
      </c>
      <c r="N519" t="n">
        <v>0</v>
      </c>
      <c r="O519" t="n">
        <v>0</v>
      </c>
      <c r="P519" t="n">
        <v>0</v>
      </c>
      <c r="Q519" t="n">
        <v>0</v>
      </c>
      <c r="R519" s="2" t="inlineStr"/>
    </row>
    <row r="520" ht="15" customHeight="1">
      <c r="A520" t="inlineStr">
        <is>
          <t>A 25791-2024</t>
        </is>
      </c>
      <c r="B520" s="1" t="n">
        <v>45463</v>
      </c>
      <c r="C520" s="1" t="n">
        <v>46131</v>
      </c>
      <c r="D520" t="inlineStr">
        <is>
          <t>NORRBOTTENS LÄN</t>
        </is>
      </c>
      <c r="E520" t="inlineStr">
        <is>
          <t>LULEÅ</t>
        </is>
      </c>
      <c r="G520" t="n">
        <v>3.6</v>
      </c>
      <c r="H520" t="n">
        <v>0</v>
      </c>
      <c r="I520" t="n">
        <v>0</v>
      </c>
      <c r="J520" t="n">
        <v>0</v>
      </c>
      <c r="K520" t="n">
        <v>0</v>
      </c>
      <c r="L520" t="n">
        <v>0</v>
      </c>
      <c r="M520" t="n">
        <v>0</v>
      </c>
      <c r="N520" t="n">
        <v>0</v>
      </c>
      <c r="O520" t="n">
        <v>0</v>
      </c>
      <c r="P520" t="n">
        <v>0</v>
      </c>
      <c r="Q520" t="n">
        <v>0</v>
      </c>
      <c r="R520" s="2" t="inlineStr"/>
    </row>
    <row r="521" ht="15" customHeight="1">
      <c r="A521" t="inlineStr">
        <is>
          <t>A 63204-2025</t>
        </is>
      </c>
      <c r="B521" s="1" t="n">
        <v>46010.46950231482</v>
      </c>
      <c r="C521" s="1" t="n">
        <v>46131</v>
      </c>
      <c r="D521" t="inlineStr">
        <is>
          <t>NORRBOTTENS LÄN</t>
        </is>
      </c>
      <c r="E521" t="inlineStr">
        <is>
          <t>LULEÅ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42822-2024</t>
        </is>
      </c>
      <c r="B522" s="1" t="n">
        <v>45566.59611111111</v>
      </c>
      <c r="C522" s="1" t="n">
        <v>46131</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63725-2025</t>
        </is>
      </c>
      <c r="B523" s="1" t="n">
        <v>46010</v>
      </c>
      <c r="C523" s="1" t="n">
        <v>46131</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58831-2024</t>
        </is>
      </c>
      <c r="B524" s="1" t="n">
        <v>45635</v>
      </c>
      <c r="C524" s="1" t="n">
        <v>46131</v>
      </c>
      <c r="D524" t="inlineStr">
        <is>
          <t>NORRBOTTENS LÄN</t>
        </is>
      </c>
      <c r="E524" t="inlineStr">
        <is>
          <t>LULEÅ</t>
        </is>
      </c>
      <c r="G524" t="n">
        <v>0.3</v>
      </c>
      <c r="H524" t="n">
        <v>0</v>
      </c>
      <c r="I524" t="n">
        <v>0</v>
      </c>
      <c r="J524" t="n">
        <v>0</v>
      </c>
      <c r="K524" t="n">
        <v>0</v>
      </c>
      <c r="L524" t="n">
        <v>0</v>
      </c>
      <c r="M524" t="n">
        <v>0</v>
      </c>
      <c r="N524" t="n">
        <v>0</v>
      </c>
      <c r="O524" t="n">
        <v>0</v>
      </c>
      <c r="P524" t="n">
        <v>0</v>
      </c>
      <c r="Q524" t="n">
        <v>0</v>
      </c>
      <c r="R524" s="2" t="inlineStr"/>
    </row>
    <row r="525" ht="15" customHeight="1">
      <c r="A525" t="inlineStr">
        <is>
          <t>A 63233-2025</t>
        </is>
      </c>
      <c r="B525" s="1" t="n">
        <v>46010.51313657407</v>
      </c>
      <c r="C525" s="1" t="n">
        <v>46131</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58823-2024</t>
        </is>
      </c>
      <c r="B526" s="1" t="n">
        <v>45635</v>
      </c>
      <c r="C526" s="1" t="n">
        <v>46131</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58827-2024</t>
        </is>
      </c>
      <c r="B527" s="1" t="n">
        <v>45635</v>
      </c>
      <c r="C527" s="1" t="n">
        <v>46131</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62947-2025</t>
        </is>
      </c>
      <c r="B528" s="1" t="n">
        <v>46009</v>
      </c>
      <c r="C528" s="1" t="n">
        <v>46131</v>
      </c>
      <c r="D528" t="inlineStr">
        <is>
          <t>NORRBOTTENS LÄN</t>
        </is>
      </c>
      <c r="E528" t="inlineStr">
        <is>
          <t>LULEÅ</t>
        </is>
      </c>
      <c r="G528" t="n">
        <v>2.9</v>
      </c>
      <c r="H528" t="n">
        <v>0</v>
      </c>
      <c r="I528" t="n">
        <v>0</v>
      </c>
      <c r="J528" t="n">
        <v>0</v>
      </c>
      <c r="K528" t="n">
        <v>0</v>
      </c>
      <c r="L528" t="n">
        <v>0</v>
      </c>
      <c r="M528" t="n">
        <v>0</v>
      </c>
      <c r="N528" t="n">
        <v>0</v>
      </c>
      <c r="O528" t="n">
        <v>0</v>
      </c>
      <c r="P528" t="n">
        <v>0</v>
      </c>
      <c r="Q528" t="n">
        <v>0</v>
      </c>
      <c r="R528" s="2" t="inlineStr"/>
    </row>
    <row r="529" ht="15" customHeight="1">
      <c r="A529" t="inlineStr">
        <is>
          <t>A 63942-2025</t>
        </is>
      </c>
      <c r="B529" s="1" t="n">
        <v>46010</v>
      </c>
      <c r="C529" s="1" t="n">
        <v>46131</v>
      </c>
      <c r="D529" t="inlineStr">
        <is>
          <t>NORRBOTTENS LÄN</t>
        </is>
      </c>
      <c r="E529" t="inlineStr">
        <is>
          <t>LULEÅ</t>
        </is>
      </c>
      <c r="G529" t="n">
        <v>5.7</v>
      </c>
      <c r="H529" t="n">
        <v>0</v>
      </c>
      <c r="I529" t="n">
        <v>0</v>
      </c>
      <c r="J529" t="n">
        <v>0</v>
      </c>
      <c r="K529" t="n">
        <v>0</v>
      </c>
      <c r="L529" t="n">
        <v>0</v>
      </c>
      <c r="M529" t="n">
        <v>0</v>
      </c>
      <c r="N529" t="n">
        <v>0</v>
      </c>
      <c r="O529" t="n">
        <v>0</v>
      </c>
      <c r="P529" t="n">
        <v>0</v>
      </c>
      <c r="Q529" t="n">
        <v>0</v>
      </c>
      <c r="R529" s="2" t="inlineStr"/>
    </row>
    <row r="530" ht="15" customHeight="1">
      <c r="A530" t="inlineStr">
        <is>
          <t>A 63943-2025</t>
        </is>
      </c>
      <c r="B530" s="1" t="n">
        <v>46010</v>
      </c>
      <c r="C530" s="1" t="n">
        <v>46131</v>
      </c>
      <c r="D530" t="inlineStr">
        <is>
          <t>NORRBOTTENS LÄN</t>
        </is>
      </c>
      <c r="E530" t="inlineStr">
        <is>
          <t>LULEÅ</t>
        </is>
      </c>
      <c r="G530" t="n">
        <v>2.3</v>
      </c>
      <c r="H530" t="n">
        <v>0</v>
      </c>
      <c r="I530" t="n">
        <v>0</v>
      </c>
      <c r="J530" t="n">
        <v>0</v>
      </c>
      <c r="K530" t="n">
        <v>0</v>
      </c>
      <c r="L530" t="n">
        <v>0</v>
      </c>
      <c r="M530" t="n">
        <v>0</v>
      </c>
      <c r="N530" t="n">
        <v>0</v>
      </c>
      <c r="O530" t="n">
        <v>0</v>
      </c>
      <c r="P530" t="n">
        <v>0</v>
      </c>
      <c r="Q530" t="n">
        <v>0</v>
      </c>
      <c r="R530" s="2" t="inlineStr"/>
    </row>
    <row r="531" ht="15" customHeight="1">
      <c r="A531" t="inlineStr">
        <is>
          <t>A 44443-2025</t>
        </is>
      </c>
      <c r="B531" s="1" t="n">
        <v>45916</v>
      </c>
      <c r="C531" s="1" t="n">
        <v>46131</v>
      </c>
      <c r="D531" t="inlineStr">
        <is>
          <t>NORRBOTTENS LÄN</t>
        </is>
      </c>
      <c r="E531" t="inlineStr">
        <is>
          <t>LULEÅ</t>
        </is>
      </c>
      <c r="G531" t="n">
        <v>8.9</v>
      </c>
      <c r="H531" t="n">
        <v>0</v>
      </c>
      <c r="I531" t="n">
        <v>0</v>
      </c>
      <c r="J531" t="n">
        <v>0</v>
      </c>
      <c r="K531" t="n">
        <v>0</v>
      </c>
      <c r="L531" t="n">
        <v>0</v>
      </c>
      <c r="M531" t="n">
        <v>0</v>
      </c>
      <c r="N531" t="n">
        <v>0</v>
      </c>
      <c r="O531" t="n">
        <v>0</v>
      </c>
      <c r="P531" t="n">
        <v>0</v>
      </c>
      <c r="Q531" t="n">
        <v>0</v>
      </c>
      <c r="R531" s="2" t="inlineStr"/>
    </row>
    <row r="532" ht="15" customHeight="1">
      <c r="A532" t="inlineStr">
        <is>
          <t>A 44463-2025</t>
        </is>
      </c>
      <c r="B532" s="1" t="n">
        <v>45916</v>
      </c>
      <c r="C532" s="1" t="n">
        <v>46131</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63208-2025</t>
        </is>
      </c>
      <c r="B533" s="1" t="n">
        <v>46010.47444444444</v>
      </c>
      <c r="C533" s="1" t="n">
        <v>46131</v>
      </c>
      <c r="D533" t="inlineStr">
        <is>
          <t>NORRBOTTENS LÄN</t>
        </is>
      </c>
      <c r="E533" t="inlineStr">
        <is>
          <t>LULEÅ</t>
        </is>
      </c>
      <c r="G533" t="n">
        <v>3.5</v>
      </c>
      <c r="H533" t="n">
        <v>0</v>
      </c>
      <c r="I533" t="n">
        <v>0</v>
      </c>
      <c r="J533" t="n">
        <v>0</v>
      </c>
      <c r="K533" t="n">
        <v>0</v>
      </c>
      <c r="L533" t="n">
        <v>0</v>
      </c>
      <c r="M533" t="n">
        <v>0</v>
      </c>
      <c r="N533" t="n">
        <v>0</v>
      </c>
      <c r="O533" t="n">
        <v>0</v>
      </c>
      <c r="P533" t="n">
        <v>0</v>
      </c>
      <c r="Q533" t="n">
        <v>0</v>
      </c>
      <c r="R533" s="2" t="inlineStr"/>
    </row>
    <row r="534" ht="15" customHeight="1">
      <c r="A534" t="inlineStr">
        <is>
          <t>A 63940-2025</t>
        </is>
      </c>
      <c r="B534" s="1" t="n">
        <v>46010</v>
      </c>
      <c r="C534" s="1" t="n">
        <v>46131</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22017-2024</t>
        </is>
      </c>
      <c r="B535" s="1" t="n">
        <v>45443</v>
      </c>
      <c r="C535" s="1" t="n">
        <v>46131</v>
      </c>
      <c r="D535" t="inlineStr">
        <is>
          <t>NORRBOTTENS LÄN</t>
        </is>
      </c>
      <c r="E535" t="inlineStr">
        <is>
          <t>LULEÅ</t>
        </is>
      </c>
      <c r="G535" t="n">
        <v>0.2</v>
      </c>
      <c r="H535" t="n">
        <v>0</v>
      </c>
      <c r="I535" t="n">
        <v>0</v>
      </c>
      <c r="J535" t="n">
        <v>0</v>
      </c>
      <c r="K535" t="n">
        <v>0</v>
      </c>
      <c r="L535" t="n">
        <v>0</v>
      </c>
      <c r="M535" t="n">
        <v>0</v>
      </c>
      <c r="N535" t="n">
        <v>0</v>
      </c>
      <c r="O535" t="n">
        <v>0</v>
      </c>
      <c r="P535" t="n">
        <v>0</v>
      </c>
      <c r="Q535" t="n">
        <v>0</v>
      </c>
      <c r="R535" s="2" t="inlineStr"/>
    </row>
    <row r="536" ht="15" customHeight="1">
      <c r="A536" t="inlineStr">
        <is>
          <t>A 62899-2025</t>
        </is>
      </c>
      <c r="B536" s="1" t="n">
        <v>46009.34431712963</v>
      </c>
      <c r="C536" s="1" t="n">
        <v>46131</v>
      </c>
      <c r="D536" t="inlineStr">
        <is>
          <t>NORRBOTTENS LÄN</t>
        </is>
      </c>
      <c r="E536" t="inlineStr">
        <is>
          <t>LULEÅ</t>
        </is>
      </c>
      <c r="F536" t="inlineStr">
        <is>
          <t>SCA</t>
        </is>
      </c>
      <c r="G536" t="n">
        <v>5.6</v>
      </c>
      <c r="H536" t="n">
        <v>0</v>
      </c>
      <c r="I536" t="n">
        <v>0</v>
      </c>
      <c r="J536" t="n">
        <v>0</v>
      </c>
      <c r="K536" t="n">
        <v>0</v>
      </c>
      <c r="L536" t="n">
        <v>0</v>
      </c>
      <c r="M536" t="n">
        <v>0</v>
      </c>
      <c r="N536" t="n">
        <v>0</v>
      </c>
      <c r="O536" t="n">
        <v>0</v>
      </c>
      <c r="P536" t="n">
        <v>0</v>
      </c>
      <c r="Q536" t="n">
        <v>0</v>
      </c>
      <c r="R536" s="2" t="inlineStr"/>
    </row>
    <row r="537" ht="15" customHeight="1">
      <c r="A537" t="inlineStr">
        <is>
          <t>A 62039-2025</t>
        </is>
      </c>
      <c r="B537" s="1" t="n">
        <v>46005</v>
      </c>
      <c r="C537" s="1" t="n">
        <v>46131</v>
      </c>
      <c r="D537" t="inlineStr">
        <is>
          <t>NORRBOTTENS LÄN</t>
        </is>
      </c>
      <c r="E537" t="inlineStr">
        <is>
          <t>LULEÅ</t>
        </is>
      </c>
      <c r="G537" t="n">
        <v>0.7</v>
      </c>
      <c r="H537" t="n">
        <v>0</v>
      </c>
      <c r="I537" t="n">
        <v>0</v>
      </c>
      <c r="J537" t="n">
        <v>0</v>
      </c>
      <c r="K537" t="n">
        <v>0</v>
      </c>
      <c r="L537" t="n">
        <v>0</v>
      </c>
      <c r="M537" t="n">
        <v>0</v>
      </c>
      <c r="N537" t="n">
        <v>0</v>
      </c>
      <c r="O537" t="n">
        <v>0</v>
      </c>
      <c r="P537" t="n">
        <v>0</v>
      </c>
      <c r="Q537" t="n">
        <v>0</v>
      </c>
      <c r="R537" s="2" t="inlineStr"/>
    </row>
    <row r="538" ht="15" customHeight="1">
      <c r="A538" t="inlineStr">
        <is>
          <t>A 64062-2025</t>
        </is>
      </c>
      <c r="B538" s="1" t="n">
        <v>46010</v>
      </c>
      <c r="C538" s="1" t="n">
        <v>46131</v>
      </c>
      <c r="D538" t="inlineStr">
        <is>
          <t>NORRBOTTENS LÄN</t>
        </is>
      </c>
      <c r="E538" t="inlineStr">
        <is>
          <t>LULEÅ</t>
        </is>
      </c>
      <c r="G538" t="n">
        <v>0.3</v>
      </c>
      <c r="H538" t="n">
        <v>0</v>
      </c>
      <c r="I538" t="n">
        <v>0</v>
      </c>
      <c r="J538" t="n">
        <v>0</v>
      </c>
      <c r="K538" t="n">
        <v>0</v>
      </c>
      <c r="L538" t="n">
        <v>0</v>
      </c>
      <c r="M538" t="n">
        <v>0</v>
      </c>
      <c r="N538" t="n">
        <v>0</v>
      </c>
      <c r="O538" t="n">
        <v>0</v>
      </c>
      <c r="P538" t="n">
        <v>0</v>
      </c>
      <c r="Q538" t="n">
        <v>0</v>
      </c>
      <c r="R538" s="2" t="inlineStr"/>
    </row>
    <row r="539" ht="15" customHeight="1">
      <c r="A539" t="inlineStr">
        <is>
          <t>A 17900-2025</t>
        </is>
      </c>
      <c r="B539" s="1" t="n">
        <v>45758.69837962963</v>
      </c>
      <c r="C539" s="1" t="n">
        <v>46131</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26234-2023</t>
        </is>
      </c>
      <c r="B540" s="1" t="n">
        <v>45086</v>
      </c>
      <c r="C540" s="1" t="n">
        <v>46131</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61557-2024</t>
        </is>
      </c>
      <c r="B541" s="1" t="n">
        <v>45646.61081018519</v>
      </c>
      <c r="C541" s="1" t="n">
        <v>46131</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63403-2025</t>
        </is>
      </c>
      <c r="B542" s="1" t="n">
        <v>46012.60145833333</v>
      </c>
      <c r="C542" s="1" t="n">
        <v>46131</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52698-2024</t>
        </is>
      </c>
      <c r="B543" s="1" t="n">
        <v>45610</v>
      </c>
      <c r="C543" s="1" t="n">
        <v>46131</v>
      </c>
      <c r="D543" t="inlineStr">
        <is>
          <t>NORRBOTTENS LÄN</t>
        </is>
      </c>
      <c r="E543" t="inlineStr">
        <is>
          <t>LULEÅ</t>
        </is>
      </c>
      <c r="G543" t="n">
        <v>8.9</v>
      </c>
      <c r="H543" t="n">
        <v>0</v>
      </c>
      <c r="I543" t="n">
        <v>0</v>
      </c>
      <c r="J543" t="n">
        <v>0</v>
      </c>
      <c r="K543" t="n">
        <v>0</v>
      </c>
      <c r="L543" t="n">
        <v>0</v>
      </c>
      <c r="M543" t="n">
        <v>0</v>
      </c>
      <c r="N543" t="n">
        <v>0</v>
      </c>
      <c r="O543" t="n">
        <v>0</v>
      </c>
      <c r="P543" t="n">
        <v>0</v>
      </c>
      <c r="Q543" t="n">
        <v>0</v>
      </c>
      <c r="R543" s="2" t="inlineStr"/>
    </row>
    <row r="544" ht="15" customHeight="1">
      <c r="A544" t="inlineStr">
        <is>
          <t>A 63766-2025</t>
        </is>
      </c>
      <c r="B544" s="1" t="n">
        <v>46018.78116898148</v>
      </c>
      <c r="C544" s="1" t="n">
        <v>46131</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137-2026</t>
        </is>
      </c>
      <c r="B545" s="1" t="n">
        <v>46020</v>
      </c>
      <c r="C545" s="1" t="n">
        <v>46131</v>
      </c>
      <c r="D545" t="inlineStr">
        <is>
          <t>NORRBOTTENS LÄN</t>
        </is>
      </c>
      <c r="E545" t="inlineStr">
        <is>
          <t>LULEÅ</t>
        </is>
      </c>
      <c r="G545" t="n">
        <v>1.9</v>
      </c>
      <c r="H545" t="n">
        <v>0</v>
      </c>
      <c r="I545" t="n">
        <v>0</v>
      </c>
      <c r="J545" t="n">
        <v>0</v>
      </c>
      <c r="K545" t="n">
        <v>0</v>
      </c>
      <c r="L545" t="n">
        <v>0</v>
      </c>
      <c r="M545" t="n">
        <v>0</v>
      </c>
      <c r="N545" t="n">
        <v>0</v>
      </c>
      <c r="O545" t="n">
        <v>0</v>
      </c>
      <c r="P545" t="n">
        <v>0</v>
      </c>
      <c r="Q545" t="n">
        <v>0</v>
      </c>
      <c r="R545" s="2" t="inlineStr"/>
    </row>
    <row r="546" ht="15" customHeight="1">
      <c r="A546" t="inlineStr">
        <is>
          <t>A 63854-2025</t>
        </is>
      </c>
      <c r="B546" s="1" t="n">
        <v>46020.47179398148</v>
      </c>
      <c r="C546" s="1" t="n">
        <v>46131</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8229-2024</t>
        </is>
      </c>
      <c r="B547" s="1" t="n">
        <v>45351</v>
      </c>
      <c r="C547" s="1" t="n">
        <v>46131</v>
      </c>
      <c r="D547" t="inlineStr">
        <is>
          <t>NORRBOTTENS LÄN</t>
        </is>
      </c>
      <c r="E547" t="inlineStr">
        <is>
          <t>LULEÅ</t>
        </is>
      </c>
      <c r="G547" t="n">
        <v>14.8</v>
      </c>
      <c r="H547" t="n">
        <v>0</v>
      </c>
      <c r="I547" t="n">
        <v>0</v>
      </c>
      <c r="J547" t="n">
        <v>0</v>
      </c>
      <c r="K547" t="n">
        <v>0</v>
      </c>
      <c r="L547" t="n">
        <v>0</v>
      </c>
      <c r="M547" t="n">
        <v>0</v>
      </c>
      <c r="N547" t="n">
        <v>0</v>
      </c>
      <c r="O547" t="n">
        <v>0</v>
      </c>
      <c r="P547" t="n">
        <v>0</v>
      </c>
      <c r="Q547" t="n">
        <v>0</v>
      </c>
      <c r="R547" s="2" t="inlineStr"/>
    </row>
    <row r="548" ht="15" customHeight="1">
      <c r="A548" t="inlineStr">
        <is>
          <t>A 24979-2024</t>
        </is>
      </c>
      <c r="B548" s="1" t="n">
        <v>45461</v>
      </c>
      <c r="C548" s="1" t="n">
        <v>46131</v>
      </c>
      <c r="D548" t="inlineStr">
        <is>
          <t>NORRBOTTENS LÄN</t>
        </is>
      </c>
      <c r="E548" t="inlineStr">
        <is>
          <t>LULEÅ</t>
        </is>
      </c>
      <c r="G548" t="n">
        <v>16.3</v>
      </c>
      <c r="H548" t="n">
        <v>0</v>
      </c>
      <c r="I548" t="n">
        <v>0</v>
      </c>
      <c r="J548" t="n">
        <v>0</v>
      </c>
      <c r="K548" t="n">
        <v>0</v>
      </c>
      <c r="L548" t="n">
        <v>0</v>
      </c>
      <c r="M548" t="n">
        <v>0</v>
      </c>
      <c r="N548" t="n">
        <v>0</v>
      </c>
      <c r="O548" t="n">
        <v>0</v>
      </c>
      <c r="P548" t="n">
        <v>0</v>
      </c>
      <c r="Q548" t="n">
        <v>0</v>
      </c>
      <c r="R548" s="2" t="inlineStr"/>
    </row>
    <row r="549" ht="15" customHeight="1">
      <c r="A549" t="inlineStr">
        <is>
          <t>A 64021-2025</t>
        </is>
      </c>
      <c r="B549" s="1" t="n">
        <v>46021.46907407408</v>
      </c>
      <c r="C549" s="1" t="n">
        <v>46131</v>
      </c>
      <c r="D549" t="inlineStr">
        <is>
          <t>NORRBOTTENS LÄN</t>
        </is>
      </c>
      <c r="E549" t="inlineStr">
        <is>
          <t>LULEÅ</t>
        </is>
      </c>
      <c r="G549" t="n">
        <v>7.8</v>
      </c>
      <c r="H549" t="n">
        <v>0</v>
      </c>
      <c r="I549" t="n">
        <v>0</v>
      </c>
      <c r="J549" t="n">
        <v>0</v>
      </c>
      <c r="K549" t="n">
        <v>0</v>
      </c>
      <c r="L549" t="n">
        <v>0</v>
      </c>
      <c r="M549" t="n">
        <v>0</v>
      </c>
      <c r="N549" t="n">
        <v>0</v>
      </c>
      <c r="O549" t="n">
        <v>0</v>
      </c>
      <c r="P549" t="n">
        <v>0</v>
      </c>
      <c r="Q549" t="n">
        <v>0</v>
      </c>
      <c r="R549" s="2" t="inlineStr"/>
    </row>
    <row r="550" ht="15" customHeight="1">
      <c r="A550" t="inlineStr">
        <is>
          <t>A 132-2026</t>
        </is>
      </c>
      <c r="B550" s="1" t="n">
        <v>46024.60086805555</v>
      </c>
      <c r="C550" s="1" t="n">
        <v>46131</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46131</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57140-2025</t>
        </is>
      </c>
      <c r="B552" s="1" t="n">
        <v>45978</v>
      </c>
      <c r="C552" s="1" t="n">
        <v>46131</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307-2026</t>
        </is>
      </c>
      <c r="B553" s="1" t="n">
        <v>46027.55047453703</v>
      </c>
      <c r="C553" s="1" t="n">
        <v>46131</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30787-2024</t>
        </is>
      </c>
      <c r="B554" s="1" t="n">
        <v>45496.95108796296</v>
      </c>
      <c r="C554" s="1" t="n">
        <v>46131</v>
      </c>
      <c r="D554" t="inlineStr">
        <is>
          <t>NORRBOTTENS LÄN</t>
        </is>
      </c>
      <c r="E554" t="inlineStr">
        <is>
          <t>LULEÅ</t>
        </is>
      </c>
      <c r="F554" t="inlineStr">
        <is>
          <t>Naturvårdsverket</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214-2026</t>
        </is>
      </c>
      <c r="B555" s="1" t="n">
        <v>46026.64652777778</v>
      </c>
      <c r="C555" s="1" t="n">
        <v>46131</v>
      </c>
      <c r="D555" t="inlineStr">
        <is>
          <t>NORRBOTTENS LÄN</t>
        </is>
      </c>
      <c r="E555" t="inlineStr">
        <is>
          <t>LULEÅ</t>
        </is>
      </c>
      <c r="G555" t="n">
        <v>15.4</v>
      </c>
      <c r="H555" t="n">
        <v>0</v>
      </c>
      <c r="I555" t="n">
        <v>0</v>
      </c>
      <c r="J555" t="n">
        <v>0</v>
      </c>
      <c r="K555" t="n">
        <v>0</v>
      </c>
      <c r="L555" t="n">
        <v>0</v>
      </c>
      <c r="M555" t="n">
        <v>0</v>
      </c>
      <c r="N555" t="n">
        <v>0</v>
      </c>
      <c r="O555" t="n">
        <v>0</v>
      </c>
      <c r="P555" t="n">
        <v>0</v>
      </c>
      <c r="Q555" t="n">
        <v>0</v>
      </c>
      <c r="R555" s="2" t="inlineStr"/>
    </row>
    <row r="556" ht="15" customHeight="1">
      <c r="A556" t="inlineStr">
        <is>
          <t>A 315-2026</t>
        </is>
      </c>
      <c r="B556" s="1" t="n">
        <v>46027.56204861111</v>
      </c>
      <c r="C556" s="1" t="n">
        <v>46131</v>
      </c>
      <c r="D556" t="inlineStr">
        <is>
          <t>NORRBOTTENS LÄN</t>
        </is>
      </c>
      <c r="E556" t="inlineStr">
        <is>
          <t>LULEÅ</t>
        </is>
      </c>
      <c r="G556" t="n">
        <v>1.4</v>
      </c>
      <c r="H556" t="n">
        <v>0</v>
      </c>
      <c r="I556" t="n">
        <v>0</v>
      </c>
      <c r="J556" t="n">
        <v>0</v>
      </c>
      <c r="K556" t="n">
        <v>0</v>
      </c>
      <c r="L556" t="n">
        <v>0</v>
      </c>
      <c r="M556" t="n">
        <v>0</v>
      </c>
      <c r="N556" t="n">
        <v>0</v>
      </c>
      <c r="O556" t="n">
        <v>0</v>
      </c>
      <c r="P556" t="n">
        <v>0</v>
      </c>
      <c r="Q556" t="n">
        <v>0</v>
      </c>
      <c r="R556" s="2" t="inlineStr"/>
    </row>
    <row r="557" ht="15" customHeight="1">
      <c r="A557" t="inlineStr">
        <is>
          <t>A 42854-2024</t>
        </is>
      </c>
      <c r="B557" s="1" t="n">
        <v>45566.64958333333</v>
      </c>
      <c r="C557" s="1" t="n">
        <v>46131</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19533-2025</t>
        </is>
      </c>
      <c r="B558" s="1" t="n">
        <v>45770.47331018518</v>
      </c>
      <c r="C558" s="1" t="n">
        <v>46131</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15848-2022</t>
        </is>
      </c>
      <c r="B559" s="1" t="n">
        <v>44664</v>
      </c>
      <c r="C559" s="1" t="n">
        <v>46131</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303-2026</t>
        </is>
      </c>
      <c r="B560" s="1" t="n">
        <v>46027.53427083333</v>
      </c>
      <c r="C560" s="1" t="n">
        <v>46131</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305-2026</t>
        </is>
      </c>
      <c r="B561" s="1" t="n">
        <v>46027</v>
      </c>
      <c r="C561" s="1" t="n">
        <v>46131</v>
      </c>
      <c r="D561" t="inlineStr">
        <is>
          <t>NORRBOTTENS LÄN</t>
        </is>
      </c>
      <c r="E561" t="inlineStr">
        <is>
          <t>LULEÅ</t>
        </is>
      </c>
      <c r="G561" t="n">
        <v>3.6</v>
      </c>
      <c r="H561" t="n">
        <v>0</v>
      </c>
      <c r="I561" t="n">
        <v>0</v>
      </c>
      <c r="J561" t="n">
        <v>0</v>
      </c>
      <c r="K561" t="n">
        <v>0</v>
      </c>
      <c r="L561" t="n">
        <v>0</v>
      </c>
      <c r="M561" t="n">
        <v>0</v>
      </c>
      <c r="N561" t="n">
        <v>0</v>
      </c>
      <c r="O561" t="n">
        <v>0</v>
      </c>
      <c r="P561" t="n">
        <v>0</v>
      </c>
      <c r="Q561" t="n">
        <v>0</v>
      </c>
      <c r="R561" s="2" t="inlineStr"/>
    </row>
    <row r="562" ht="15" customHeight="1">
      <c r="A562" t="inlineStr">
        <is>
          <t>A 1116-2026</t>
        </is>
      </c>
      <c r="B562" s="1" t="n">
        <v>46030</v>
      </c>
      <c r="C562" s="1" t="n">
        <v>46131</v>
      </c>
      <c r="D562" t="inlineStr">
        <is>
          <t>NORRBOTTENS LÄN</t>
        </is>
      </c>
      <c r="E562" t="inlineStr">
        <is>
          <t>LULEÅ</t>
        </is>
      </c>
      <c r="G562" t="n">
        <v>17.7</v>
      </c>
      <c r="H562" t="n">
        <v>0</v>
      </c>
      <c r="I562" t="n">
        <v>0</v>
      </c>
      <c r="J562" t="n">
        <v>0</v>
      </c>
      <c r="K562" t="n">
        <v>0</v>
      </c>
      <c r="L562" t="n">
        <v>0</v>
      </c>
      <c r="M562" t="n">
        <v>0</v>
      </c>
      <c r="N562" t="n">
        <v>0</v>
      </c>
      <c r="O562" t="n">
        <v>0</v>
      </c>
      <c r="P562" t="n">
        <v>0</v>
      </c>
      <c r="Q562" t="n">
        <v>0</v>
      </c>
      <c r="R562" s="2" t="inlineStr"/>
    </row>
    <row r="563" ht="15" customHeight="1">
      <c r="A563" t="inlineStr">
        <is>
          <t>A 60106-2024</t>
        </is>
      </c>
      <c r="B563" s="1" t="n">
        <v>45642.56950231481</v>
      </c>
      <c r="C563" s="1" t="n">
        <v>46131</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12685-2023</t>
        </is>
      </c>
      <c r="B564" s="1" t="n">
        <v>44999</v>
      </c>
      <c r="C564" s="1" t="n">
        <v>46131</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12602-2024</t>
        </is>
      </c>
      <c r="B565" s="1" t="n">
        <v>45381</v>
      </c>
      <c r="C565" s="1" t="n">
        <v>46131</v>
      </c>
      <c r="D565" t="inlineStr">
        <is>
          <t>NORRBOTTENS LÄN</t>
        </is>
      </c>
      <c r="E565" t="inlineStr">
        <is>
          <t>LULEÅ</t>
        </is>
      </c>
      <c r="G565" t="n">
        <v>5.6</v>
      </c>
      <c r="H565" t="n">
        <v>0</v>
      </c>
      <c r="I565" t="n">
        <v>0</v>
      </c>
      <c r="J565" t="n">
        <v>0</v>
      </c>
      <c r="K565" t="n">
        <v>0</v>
      </c>
      <c r="L565" t="n">
        <v>0</v>
      </c>
      <c r="M565" t="n">
        <v>0</v>
      </c>
      <c r="N565" t="n">
        <v>0</v>
      </c>
      <c r="O565" t="n">
        <v>0</v>
      </c>
      <c r="P565" t="n">
        <v>0</v>
      </c>
      <c r="Q565" t="n">
        <v>0</v>
      </c>
      <c r="R565" s="2" t="inlineStr"/>
    </row>
    <row r="566" ht="15" customHeight="1">
      <c r="A566" t="inlineStr">
        <is>
          <t>A 52854-2022</t>
        </is>
      </c>
      <c r="B566" s="1" t="n">
        <v>44872</v>
      </c>
      <c r="C566" s="1" t="n">
        <v>46131</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46030.44842592593</v>
      </c>
      <c r="C567" s="1" t="n">
        <v>46131</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46034.55488425926</v>
      </c>
      <c r="C568" s="1" t="n">
        <v>46131</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1666-2026</t>
        </is>
      </c>
      <c r="B569" s="1" t="n">
        <v>46034.55892361111</v>
      </c>
      <c r="C569" s="1" t="n">
        <v>46131</v>
      </c>
      <c r="D569" t="inlineStr">
        <is>
          <t>NORRBOTTENS LÄN</t>
        </is>
      </c>
      <c r="E569" t="inlineStr">
        <is>
          <t>LULEÅ</t>
        </is>
      </c>
      <c r="G569" t="n">
        <v>2.5</v>
      </c>
      <c r="H569" t="n">
        <v>0</v>
      </c>
      <c r="I569" t="n">
        <v>0</v>
      </c>
      <c r="J569" t="n">
        <v>0</v>
      </c>
      <c r="K569" t="n">
        <v>0</v>
      </c>
      <c r="L569" t="n">
        <v>0</v>
      </c>
      <c r="M569" t="n">
        <v>0</v>
      </c>
      <c r="N569" t="n">
        <v>0</v>
      </c>
      <c r="O569" t="n">
        <v>0</v>
      </c>
      <c r="P569" t="n">
        <v>0</v>
      </c>
      <c r="Q569" t="n">
        <v>0</v>
      </c>
      <c r="R569" s="2" t="inlineStr"/>
    </row>
    <row r="570" ht="15" customHeight="1">
      <c r="A570" t="inlineStr">
        <is>
          <t>A 59115-2021</t>
        </is>
      </c>
      <c r="B570" s="1" t="n">
        <v>44490.43877314815</v>
      </c>
      <c r="C570" s="1" t="n">
        <v>46131</v>
      </c>
      <c r="D570" t="inlineStr">
        <is>
          <t>NORRBOTTENS LÄN</t>
        </is>
      </c>
      <c r="E570" t="inlineStr">
        <is>
          <t>LULEÅ</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12551-2024</t>
        </is>
      </c>
      <c r="B571" s="1" t="n">
        <v>45379</v>
      </c>
      <c r="C571" s="1" t="n">
        <v>46131</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60727-2024</t>
        </is>
      </c>
      <c r="B572" s="1" t="n">
        <v>45644.54008101852</v>
      </c>
      <c r="C572" s="1" t="n">
        <v>46131</v>
      </c>
      <c r="D572" t="inlineStr">
        <is>
          <t>NORRBOTTENS LÄN</t>
        </is>
      </c>
      <c r="E572" t="inlineStr">
        <is>
          <t>LULEÅ</t>
        </is>
      </c>
      <c r="G572" t="n">
        <v>18.7</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46034.56065972222</v>
      </c>
      <c r="C573" s="1" t="n">
        <v>46131</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46034.55708333333</v>
      </c>
      <c r="C574" s="1" t="n">
        <v>46131</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14160-2024</t>
        </is>
      </c>
      <c r="B575" s="1" t="n">
        <v>45392</v>
      </c>
      <c r="C575" s="1" t="n">
        <v>46131</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1928-2026</t>
        </is>
      </c>
      <c r="B576" s="1" t="n">
        <v>46035.57373842593</v>
      </c>
      <c r="C576" s="1" t="n">
        <v>46131</v>
      </c>
      <c r="D576" t="inlineStr">
        <is>
          <t>NORRBOTTENS LÄN</t>
        </is>
      </c>
      <c r="E576" t="inlineStr">
        <is>
          <t>LULEÅ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42103-2024</t>
        </is>
      </c>
      <c r="B577" s="1" t="n">
        <v>45562</v>
      </c>
      <c r="C577" s="1" t="n">
        <v>46131</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46035.57366898148</v>
      </c>
      <c r="C578" s="1" t="n">
        <v>46131</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30289-2023</t>
        </is>
      </c>
      <c r="B579" s="1" t="n">
        <v>45110</v>
      </c>
      <c r="C579" s="1" t="n">
        <v>46131</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2547-2026</t>
        </is>
      </c>
      <c r="B580" s="1" t="n">
        <v>46037.46954861111</v>
      </c>
      <c r="C580" s="1" t="n">
        <v>46131</v>
      </c>
      <c r="D580" t="inlineStr">
        <is>
          <t>NORRBOTTENS LÄN</t>
        </is>
      </c>
      <c r="E580" t="inlineStr">
        <is>
          <t>LULEÅ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2567-2026</t>
        </is>
      </c>
      <c r="B581" s="1" t="n">
        <v>46037.49084490741</v>
      </c>
      <c r="C581" s="1" t="n">
        <v>46131</v>
      </c>
      <c r="D581" t="inlineStr">
        <is>
          <t>NORRBOTTENS LÄN</t>
        </is>
      </c>
      <c r="E581" t="inlineStr">
        <is>
          <t>LULEÅ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2539-2026</t>
        </is>
      </c>
      <c r="B582" s="1" t="n">
        <v>46037.45152777778</v>
      </c>
      <c r="C582" s="1" t="n">
        <v>46131</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3304-2026</t>
        </is>
      </c>
      <c r="B583" s="1" t="n">
        <v>46041.66304398148</v>
      </c>
      <c r="C583" s="1" t="n">
        <v>46131</v>
      </c>
      <c r="D583" t="inlineStr">
        <is>
          <t>NORRBOTTENS LÄN</t>
        </is>
      </c>
      <c r="E583" t="inlineStr">
        <is>
          <t>LULEÅ</t>
        </is>
      </c>
      <c r="G583" t="n">
        <v>4.9</v>
      </c>
      <c r="H583" t="n">
        <v>0</v>
      </c>
      <c r="I583" t="n">
        <v>0</v>
      </c>
      <c r="J583" t="n">
        <v>0</v>
      </c>
      <c r="K583" t="n">
        <v>0</v>
      </c>
      <c r="L583" t="n">
        <v>0</v>
      </c>
      <c r="M583" t="n">
        <v>0</v>
      </c>
      <c r="N583" t="n">
        <v>0</v>
      </c>
      <c r="O583" t="n">
        <v>0</v>
      </c>
      <c r="P583" t="n">
        <v>0</v>
      </c>
      <c r="Q583" t="n">
        <v>0</v>
      </c>
      <c r="R583" s="2" t="inlineStr"/>
    </row>
    <row r="584" ht="15" customHeight="1">
      <c r="A584" t="inlineStr">
        <is>
          <t>A 23819-2023</t>
        </is>
      </c>
      <c r="B584" s="1" t="n">
        <v>45075</v>
      </c>
      <c r="C584" s="1" t="n">
        <v>46131</v>
      </c>
      <c r="D584" t="inlineStr">
        <is>
          <t>NORRBOTTENS LÄN</t>
        </is>
      </c>
      <c r="E584" t="inlineStr">
        <is>
          <t>LULEÅ</t>
        </is>
      </c>
      <c r="G584" t="n">
        <v>1.3</v>
      </c>
      <c r="H584" t="n">
        <v>0</v>
      </c>
      <c r="I584" t="n">
        <v>0</v>
      </c>
      <c r="J584" t="n">
        <v>0</v>
      </c>
      <c r="K584" t="n">
        <v>0</v>
      </c>
      <c r="L584" t="n">
        <v>0</v>
      </c>
      <c r="M584" t="n">
        <v>0</v>
      </c>
      <c r="N584" t="n">
        <v>0</v>
      </c>
      <c r="O584" t="n">
        <v>0</v>
      </c>
      <c r="P584" t="n">
        <v>0</v>
      </c>
      <c r="Q584" t="n">
        <v>0</v>
      </c>
      <c r="R584" s="2" t="inlineStr"/>
    </row>
    <row r="585" ht="15" customHeight="1">
      <c r="A585" t="inlineStr">
        <is>
          <t>A 9282-2023</t>
        </is>
      </c>
      <c r="B585" s="1" t="n">
        <v>44977</v>
      </c>
      <c r="C585" s="1" t="n">
        <v>46131</v>
      </c>
      <c r="D585" t="inlineStr">
        <is>
          <t>NORRBOTTENS LÄN</t>
        </is>
      </c>
      <c r="E585" t="inlineStr">
        <is>
          <t>LULEÅ</t>
        </is>
      </c>
      <c r="G585" t="n">
        <v>1.1</v>
      </c>
      <c r="H585" t="n">
        <v>0</v>
      </c>
      <c r="I585" t="n">
        <v>0</v>
      </c>
      <c r="J585" t="n">
        <v>0</v>
      </c>
      <c r="K585" t="n">
        <v>0</v>
      </c>
      <c r="L585" t="n">
        <v>0</v>
      </c>
      <c r="M585" t="n">
        <v>0</v>
      </c>
      <c r="N585" t="n">
        <v>0</v>
      </c>
      <c r="O585" t="n">
        <v>0</v>
      </c>
      <c r="P585" t="n">
        <v>0</v>
      </c>
      <c r="Q585" t="n">
        <v>0</v>
      </c>
      <c r="R585" s="2" t="inlineStr"/>
    </row>
    <row r="586" ht="15" customHeight="1">
      <c r="A586" t="inlineStr">
        <is>
          <t>A 1312-2024</t>
        </is>
      </c>
      <c r="B586" s="1" t="n">
        <v>45303</v>
      </c>
      <c r="C586" s="1" t="n">
        <v>46131</v>
      </c>
      <c r="D586" t="inlineStr">
        <is>
          <t>NORRBOTTENS LÄN</t>
        </is>
      </c>
      <c r="E586" t="inlineStr">
        <is>
          <t>LULEÅ</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3306-2026</t>
        </is>
      </c>
      <c r="B587" s="1" t="n">
        <v>46041.66591435186</v>
      </c>
      <c r="C587" s="1" t="n">
        <v>46131</v>
      </c>
      <c r="D587" t="inlineStr">
        <is>
          <t>NORRBOTTENS LÄN</t>
        </is>
      </c>
      <c r="E587" t="inlineStr">
        <is>
          <t>LULEÅ</t>
        </is>
      </c>
      <c r="G587" t="n">
        <v>4.4</v>
      </c>
      <c r="H587" t="n">
        <v>0</v>
      </c>
      <c r="I587" t="n">
        <v>0</v>
      </c>
      <c r="J587" t="n">
        <v>0</v>
      </c>
      <c r="K587" t="n">
        <v>0</v>
      </c>
      <c r="L587" t="n">
        <v>0</v>
      </c>
      <c r="M587" t="n">
        <v>0</v>
      </c>
      <c r="N587" t="n">
        <v>0</v>
      </c>
      <c r="O587" t="n">
        <v>0</v>
      </c>
      <c r="P587" t="n">
        <v>0</v>
      </c>
      <c r="Q587" t="n">
        <v>0</v>
      </c>
      <c r="R587" s="2" t="inlineStr"/>
    </row>
    <row r="588" ht="15" customHeight="1">
      <c r="A588" t="inlineStr">
        <is>
          <t>A 25578-2024</t>
        </is>
      </c>
      <c r="B588" s="1" t="n">
        <v>45463</v>
      </c>
      <c r="C588" s="1" t="n">
        <v>46131</v>
      </c>
      <c r="D588" t="inlineStr">
        <is>
          <t>NORRBOTTENS LÄN</t>
        </is>
      </c>
      <c r="E588" t="inlineStr">
        <is>
          <t>LULEÅ</t>
        </is>
      </c>
      <c r="G588" t="n">
        <v>7.9</v>
      </c>
      <c r="H588" t="n">
        <v>0</v>
      </c>
      <c r="I588" t="n">
        <v>0</v>
      </c>
      <c r="J588" t="n">
        <v>0</v>
      </c>
      <c r="K588" t="n">
        <v>0</v>
      </c>
      <c r="L588" t="n">
        <v>0</v>
      </c>
      <c r="M588" t="n">
        <v>0</v>
      </c>
      <c r="N588" t="n">
        <v>0</v>
      </c>
      <c r="O588" t="n">
        <v>0</v>
      </c>
      <c r="P588" t="n">
        <v>0</v>
      </c>
      <c r="Q588" t="n">
        <v>0</v>
      </c>
      <c r="R588" s="2" t="inlineStr"/>
    </row>
    <row r="589" ht="15" customHeight="1">
      <c r="A589" t="inlineStr">
        <is>
          <t>A 18166-2023</t>
        </is>
      </c>
      <c r="B589" s="1" t="n">
        <v>45040.94335648148</v>
      </c>
      <c r="C589" s="1" t="n">
        <v>46131</v>
      </c>
      <c r="D589" t="inlineStr">
        <is>
          <t>NORRBOTTENS LÄN</t>
        </is>
      </c>
      <c r="E589" t="inlineStr">
        <is>
          <t>LULEÅ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30727-2023</t>
        </is>
      </c>
      <c r="B590" s="1" t="n">
        <v>45112</v>
      </c>
      <c r="C590" s="1" t="n">
        <v>46131</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72756-2021</t>
        </is>
      </c>
      <c r="B591" s="1" t="n">
        <v>44546.92277777778</v>
      </c>
      <c r="C591" s="1" t="n">
        <v>46131</v>
      </c>
      <c r="D591" t="inlineStr">
        <is>
          <t>NORRBOTTENS LÄN</t>
        </is>
      </c>
      <c r="E591" t="inlineStr">
        <is>
          <t>LULEÅ</t>
        </is>
      </c>
      <c r="G591" t="n">
        <v>1.9</v>
      </c>
      <c r="H591" t="n">
        <v>0</v>
      </c>
      <c r="I591" t="n">
        <v>0</v>
      </c>
      <c r="J591" t="n">
        <v>0</v>
      </c>
      <c r="K591" t="n">
        <v>0</v>
      </c>
      <c r="L591" t="n">
        <v>0</v>
      </c>
      <c r="M591" t="n">
        <v>0</v>
      </c>
      <c r="N591" t="n">
        <v>0</v>
      </c>
      <c r="O591" t="n">
        <v>0</v>
      </c>
      <c r="P591" t="n">
        <v>0</v>
      </c>
      <c r="Q591" t="n">
        <v>0</v>
      </c>
      <c r="R591" s="2" t="inlineStr"/>
    </row>
    <row r="592" ht="15" customHeight="1">
      <c r="A592" t="inlineStr">
        <is>
          <t>A 72752-2021</t>
        </is>
      </c>
      <c r="B592" s="1" t="n">
        <v>44546.92262731482</v>
      </c>
      <c r="C592" s="1" t="n">
        <v>46131</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12408-2026</t>
        </is>
      </c>
      <c r="B593" s="1" t="n">
        <v>46090.41934027777</v>
      </c>
      <c r="C593" s="1" t="n">
        <v>46131</v>
      </c>
      <c r="D593" t="inlineStr">
        <is>
          <t>NORRBOTTENS LÄN</t>
        </is>
      </c>
      <c r="E593" t="inlineStr">
        <is>
          <t>LULEÅ</t>
        </is>
      </c>
      <c r="G593" t="n">
        <v>11.4</v>
      </c>
      <c r="H593" t="n">
        <v>0</v>
      </c>
      <c r="I593" t="n">
        <v>0</v>
      </c>
      <c r="J593" t="n">
        <v>0</v>
      </c>
      <c r="K593" t="n">
        <v>0</v>
      </c>
      <c r="L593" t="n">
        <v>0</v>
      </c>
      <c r="M593" t="n">
        <v>0</v>
      </c>
      <c r="N593" t="n">
        <v>0</v>
      </c>
      <c r="O593" t="n">
        <v>0</v>
      </c>
      <c r="P593" t="n">
        <v>0</v>
      </c>
      <c r="Q593" t="n">
        <v>0</v>
      </c>
      <c r="R593" s="2" t="inlineStr"/>
    </row>
    <row r="594" ht="15" customHeight="1">
      <c r="A594" t="inlineStr">
        <is>
          <t>A 7880-2025</t>
        </is>
      </c>
      <c r="B594" s="1" t="n">
        <v>45706.785</v>
      </c>
      <c r="C594" s="1" t="n">
        <v>46131</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38358-2023</t>
        </is>
      </c>
      <c r="B595" s="1" t="n">
        <v>45161.94293981481</v>
      </c>
      <c r="C595" s="1" t="n">
        <v>46131</v>
      </c>
      <c r="D595" t="inlineStr">
        <is>
          <t>NORRBOTTENS LÄN</t>
        </is>
      </c>
      <c r="E595" t="inlineStr">
        <is>
          <t>LULEÅ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49208-2024</t>
        </is>
      </c>
      <c r="B596" s="1" t="n">
        <v>45595.37256944444</v>
      </c>
      <c r="C596" s="1" t="n">
        <v>46131</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46131</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63910-2025</t>
        </is>
      </c>
      <c r="B598" s="1" t="n">
        <v>46010</v>
      </c>
      <c r="C598" s="1" t="n">
        <v>46131</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8521-2022</t>
        </is>
      </c>
      <c r="B599" s="1" t="n">
        <v>44610</v>
      </c>
      <c r="C599" s="1" t="n">
        <v>46131</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62732-2021</t>
        </is>
      </c>
      <c r="B600" s="1" t="n">
        <v>44503</v>
      </c>
      <c r="C600" s="1" t="n">
        <v>46131</v>
      </c>
      <c r="D600" t="inlineStr">
        <is>
          <t>NORRBOTTENS LÄN</t>
        </is>
      </c>
      <c r="E600" t="inlineStr">
        <is>
          <t>LULEÅ</t>
        </is>
      </c>
      <c r="G600" t="n">
        <v>2.5</v>
      </c>
      <c r="H600" t="n">
        <v>0</v>
      </c>
      <c r="I600" t="n">
        <v>0</v>
      </c>
      <c r="J600" t="n">
        <v>0</v>
      </c>
      <c r="K600" t="n">
        <v>0</v>
      </c>
      <c r="L600" t="n">
        <v>0</v>
      </c>
      <c r="M600" t="n">
        <v>0</v>
      </c>
      <c r="N600" t="n">
        <v>0</v>
      </c>
      <c r="O600" t="n">
        <v>0</v>
      </c>
      <c r="P600" t="n">
        <v>0</v>
      </c>
      <c r="Q600" t="n">
        <v>0</v>
      </c>
      <c r="R600" s="2" t="inlineStr"/>
    </row>
    <row r="601" ht="15" customHeight="1">
      <c r="A601" t="inlineStr">
        <is>
          <t>A 29555-2024</t>
        </is>
      </c>
      <c r="B601" s="1" t="n">
        <v>45484</v>
      </c>
      <c r="C601" s="1" t="n">
        <v>46131</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59400-2024</t>
        </is>
      </c>
      <c r="B602" s="1" t="n">
        <v>45638</v>
      </c>
      <c r="C602" s="1" t="n">
        <v>46131</v>
      </c>
      <c r="D602" t="inlineStr">
        <is>
          <t>NORRBOTTENS LÄN</t>
        </is>
      </c>
      <c r="E602" t="inlineStr">
        <is>
          <t>LULEÅ</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12608-2026</t>
        </is>
      </c>
      <c r="B603" s="1" t="n">
        <v>46090</v>
      </c>
      <c r="C603" s="1" t="n">
        <v>46131</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12765-2026</t>
        </is>
      </c>
      <c r="B604" s="1" t="n">
        <v>46091.66613425926</v>
      </c>
      <c r="C604" s="1" t="n">
        <v>46131</v>
      </c>
      <c r="D604" t="inlineStr">
        <is>
          <t>NORRBOTTENS LÄN</t>
        </is>
      </c>
      <c r="E604" t="inlineStr">
        <is>
          <t>LULEÅ</t>
        </is>
      </c>
      <c r="G604" t="n">
        <v>13.1</v>
      </c>
      <c r="H604" t="n">
        <v>0</v>
      </c>
      <c r="I604" t="n">
        <v>0</v>
      </c>
      <c r="J604" t="n">
        <v>0</v>
      </c>
      <c r="K604" t="n">
        <v>0</v>
      </c>
      <c r="L604" t="n">
        <v>0</v>
      </c>
      <c r="M604" t="n">
        <v>0</v>
      </c>
      <c r="N604" t="n">
        <v>0</v>
      </c>
      <c r="O604" t="n">
        <v>0</v>
      </c>
      <c r="P604" t="n">
        <v>0</v>
      </c>
      <c r="Q604" t="n">
        <v>0</v>
      </c>
      <c r="R604" s="2" t="inlineStr"/>
    </row>
    <row r="605" ht="15" customHeight="1">
      <c r="A605" t="inlineStr">
        <is>
          <t>A 19983-2025</t>
        </is>
      </c>
      <c r="B605" s="1" t="n">
        <v>45771.71908564815</v>
      </c>
      <c r="C605" s="1" t="n">
        <v>46131</v>
      </c>
      <c r="D605" t="inlineStr">
        <is>
          <t>NORRBOTTENS LÄN</t>
        </is>
      </c>
      <c r="E605" t="inlineStr">
        <is>
          <t>LULEÅ</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11982-2023</t>
        </is>
      </c>
      <c r="B606" s="1" t="n">
        <v>44994</v>
      </c>
      <c r="C606" s="1" t="n">
        <v>46131</v>
      </c>
      <c r="D606" t="inlineStr">
        <is>
          <t>NORRBOTTENS LÄN</t>
        </is>
      </c>
      <c r="E606" t="inlineStr">
        <is>
          <t>LULEÅ</t>
        </is>
      </c>
      <c r="G606" t="n">
        <v>0.7</v>
      </c>
      <c r="H606" t="n">
        <v>0</v>
      </c>
      <c r="I606" t="n">
        <v>0</v>
      </c>
      <c r="J606" t="n">
        <v>0</v>
      </c>
      <c r="K606" t="n">
        <v>0</v>
      </c>
      <c r="L606" t="n">
        <v>0</v>
      </c>
      <c r="M606" t="n">
        <v>0</v>
      </c>
      <c r="N606" t="n">
        <v>0</v>
      </c>
      <c r="O606" t="n">
        <v>0</v>
      </c>
      <c r="P606" t="n">
        <v>0</v>
      </c>
      <c r="Q606" t="n">
        <v>0</v>
      </c>
      <c r="R606" s="2" t="inlineStr"/>
    </row>
    <row r="607" ht="15" customHeight="1">
      <c r="A607" t="inlineStr">
        <is>
          <t>A 14990-2024</t>
        </is>
      </c>
      <c r="B607" s="1" t="n">
        <v>45399.36019675926</v>
      </c>
      <c r="C607" s="1" t="n">
        <v>46131</v>
      </c>
      <c r="D607" t="inlineStr">
        <is>
          <t>NORRBOTTENS LÄN</t>
        </is>
      </c>
      <c r="E607" t="inlineStr">
        <is>
          <t>LULEÅ</t>
        </is>
      </c>
      <c r="G607" t="n">
        <v>1</v>
      </c>
      <c r="H607" t="n">
        <v>0</v>
      </c>
      <c r="I607" t="n">
        <v>0</v>
      </c>
      <c r="J607" t="n">
        <v>0</v>
      </c>
      <c r="K607" t="n">
        <v>0</v>
      </c>
      <c r="L607" t="n">
        <v>0</v>
      </c>
      <c r="M607" t="n">
        <v>0</v>
      </c>
      <c r="N607" t="n">
        <v>0</v>
      </c>
      <c r="O607" t="n">
        <v>0</v>
      </c>
      <c r="P607" t="n">
        <v>0</v>
      </c>
      <c r="Q607" t="n">
        <v>0</v>
      </c>
      <c r="R607" s="2" t="inlineStr"/>
    </row>
    <row r="608" ht="15" customHeight="1">
      <c r="A608" t="inlineStr">
        <is>
          <t>A 35918-2024</t>
        </is>
      </c>
      <c r="B608" s="1" t="n">
        <v>45533</v>
      </c>
      <c r="C608" s="1" t="n">
        <v>46131</v>
      </c>
      <c r="D608" t="inlineStr">
        <is>
          <t>NORRBOTTENS LÄN</t>
        </is>
      </c>
      <c r="E608" t="inlineStr">
        <is>
          <t>LULEÅ</t>
        </is>
      </c>
      <c r="G608" t="n">
        <v>1.5</v>
      </c>
      <c r="H608" t="n">
        <v>0</v>
      </c>
      <c r="I608" t="n">
        <v>0</v>
      </c>
      <c r="J608" t="n">
        <v>0</v>
      </c>
      <c r="K608" t="n">
        <v>0</v>
      </c>
      <c r="L608" t="n">
        <v>0</v>
      </c>
      <c r="M608" t="n">
        <v>0</v>
      </c>
      <c r="N608" t="n">
        <v>0</v>
      </c>
      <c r="O608" t="n">
        <v>0</v>
      </c>
      <c r="P608" t="n">
        <v>0</v>
      </c>
      <c r="Q608" t="n">
        <v>0</v>
      </c>
      <c r="R608" s="2" t="inlineStr"/>
    </row>
    <row r="609" ht="15" customHeight="1">
      <c r="A609" t="inlineStr">
        <is>
          <t>A 19986-2025</t>
        </is>
      </c>
      <c r="B609" s="1" t="n">
        <v>45771.71979166667</v>
      </c>
      <c r="C609" s="1" t="n">
        <v>46131</v>
      </c>
      <c r="D609" t="inlineStr">
        <is>
          <t>NORRBOTTENS LÄN</t>
        </is>
      </c>
      <c r="E609" t="inlineStr">
        <is>
          <t>LULEÅ</t>
        </is>
      </c>
      <c r="F609" t="inlineStr">
        <is>
          <t>Naturvårdsverket</t>
        </is>
      </c>
      <c r="G609" t="n">
        <v>1.3</v>
      </c>
      <c r="H609" t="n">
        <v>0</v>
      </c>
      <c r="I609" t="n">
        <v>0</v>
      </c>
      <c r="J609" t="n">
        <v>0</v>
      </c>
      <c r="K609" t="n">
        <v>0</v>
      </c>
      <c r="L609" t="n">
        <v>0</v>
      </c>
      <c r="M609" t="n">
        <v>0</v>
      </c>
      <c r="N609" t="n">
        <v>0</v>
      </c>
      <c r="O609" t="n">
        <v>0</v>
      </c>
      <c r="P609" t="n">
        <v>0</v>
      </c>
      <c r="Q609" t="n">
        <v>0</v>
      </c>
      <c r="R609" s="2" t="inlineStr"/>
    </row>
    <row r="610" ht="15" customHeight="1">
      <c r="A610" t="inlineStr">
        <is>
          <t>A 13695-2026</t>
        </is>
      </c>
      <c r="B610" s="1" t="n">
        <v>46097</v>
      </c>
      <c r="C610" s="1" t="n">
        <v>46131</v>
      </c>
      <c r="D610" t="inlineStr">
        <is>
          <t>NORRBOTTENS LÄN</t>
        </is>
      </c>
      <c r="E610" t="inlineStr">
        <is>
          <t>LULEÅ</t>
        </is>
      </c>
      <c r="G610" t="n">
        <v>5.5</v>
      </c>
      <c r="H610" t="n">
        <v>0</v>
      </c>
      <c r="I610" t="n">
        <v>0</v>
      </c>
      <c r="J610" t="n">
        <v>0</v>
      </c>
      <c r="K610" t="n">
        <v>0</v>
      </c>
      <c r="L610" t="n">
        <v>0</v>
      </c>
      <c r="M610" t="n">
        <v>0</v>
      </c>
      <c r="N610" t="n">
        <v>0</v>
      </c>
      <c r="O610" t="n">
        <v>0</v>
      </c>
      <c r="P610" t="n">
        <v>0</v>
      </c>
      <c r="Q610" t="n">
        <v>0</v>
      </c>
      <c r="R610" s="2" t="inlineStr"/>
    </row>
    <row r="611" ht="15" customHeight="1">
      <c r="A611" t="inlineStr">
        <is>
          <t>A 15127-2023</t>
        </is>
      </c>
      <c r="B611" s="1" t="n">
        <v>45016</v>
      </c>
      <c r="C611" s="1" t="n">
        <v>46131</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12323-2023</t>
        </is>
      </c>
      <c r="B612" s="1" t="n">
        <v>44995</v>
      </c>
      <c r="C612" s="1" t="n">
        <v>46131</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14445-2026</t>
        </is>
      </c>
      <c r="B613" s="1" t="n">
        <v>46100.51125</v>
      </c>
      <c r="C613" s="1" t="n">
        <v>46131</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14450-2026</t>
        </is>
      </c>
      <c r="B614" s="1" t="n">
        <v>46100.5114699074</v>
      </c>
      <c r="C614" s="1" t="n">
        <v>46131</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60387-2024</t>
        </is>
      </c>
      <c r="B615" s="1" t="n">
        <v>45643.48357638889</v>
      </c>
      <c r="C615" s="1" t="n">
        <v>46131</v>
      </c>
      <c r="D615" t="inlineStr">
        <is>
          <t>NORRBOTTENS LÄN</t>
        </is>
      </c>
      <c r="E615" t="inlineStr">
        <is>
          <t>LULEÅ</t>
        </is>
      </c>
      <c r="G615" t="n">
        <v>3.4</v>
      </c>
      <c r="H615" t="n">
        <v>0</v>
      </c>
      <c r="I615" t="n">
        <v>0</v>
      </c>
      <c r="J615" t="n">
        <v>0</v>
      </c>
      <c r="K615" t="n">
        <v>0</v>
      </c>
      <c r="L615" t="n">
        <v>0</v>
      </c>
      <c r="M615" t="n">
        <v>0</v>
      </c>
      <c r="N615" t="n">
        <v>0</v>
      </c>
      <c r="O615" t="n">
        <v>0</v>
      </c>
      <c r="P615" t="n">
        <v>0</v>
      </c>
      <c r="Q615" t="n">
        <v>0</v>
      </c>
      <c r="R615" s="2" t="inlineStr"/>
    </row>
    <row r="616" ht="15" customHeight="1">
      <c r="A616" t="inlineStr">
        <is>
          <t>A 4137-2024</t>
        </is>
      </c>
      <c r="B616" s="1" t="n">
        <v>45323</v>
      </c>
      <c r="C616" s="1" t="n">
        <v>46131</v>
      </c>
      <c r="D616" t="inlineStr">
        <is>
          <t>NORRBOTTENS LÄN</t>
        </is>
      </c>
      <c r="E616" t="inlineStr">
        <is>
          <t>LULEÅ</t>
        </is>
      </c>
      <c r="G616" t="n">
        <v>13.1</v>
      </c>
      <c r="H616" t="n">
        <v>0</v>
      </c>
      <c r="I616" t="n">
        <v>0</v>
      </c>
      <c r="J616" t="n">
        <v>0</v>
      </c>
      <c r="K616" t="n">
        <v>0</v>
      </c>
      <c r="L616" t="n">
        <v>0</v>
      </c>
      <c r="M616" t="n">
        <v>0</v>
      </c>
      <c r="N616" t="n">
        <v>0</v>
      </c>
      <c r="O616" t="n">
        <v>0</v>
      </c>
      <c r="P616" t="n">
        <v>0</v>
      </c>
      <c r="Q616" t="n">
        <v>0</v>
      </c>
      <c r="R616" s="2" t="inlineStr"/>
    </row>
    <row r="617" ht="15" customHeight="1">
      <c r="A617" t="inlineStr">
        <is>
          <t>A 52667-2024</t>
        </is>
      </c>
      <c r="B617" s="1" t="n">
        <v>45610</v>
      </c>
      <c r="C617" s="1" t="n">
        <v>46131</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14446-2026</t>
        </is>
      </c>
      <c r="B618" s="1" t="n">
        <v>46100.51131944444</v>
      </c>
      <c r="C618" s="1" t="n">
        <v>46131</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14448-2026</t>
        </is>
      </c>
      <c r="B619" s="1" t="n">
        <v>46100.51137731481</v>
      </c>
      <c r="C619" s="1" t="n">
        <v>46131</v>
      </c>
      <c r="D619" t="inlineStr">
        <is>
          <t>NORRBOTTENS LÄN</t>
        </is>
      </c>
      <c r="E619" t="inlineStr">
        <is>
          <t>LULEÅ</t>
        </is>
      </c>
      <c r="G619" t="n">
        <v>0.7</v>
      </c>
      <c r="H619" t="n">
        <v>0</v>
      </c>
      <c r="I619" t="n">
        <v>0</v>
      </c>
      <c r="J619" t="n">
        <v>0</v>
      </c>
      <c r="K619" t="n">
        <v>0</v>
      </c>
      <c r="L619" t="n">
        <v>0</v>
      </c>
      <c r="M619" t="n">
        <v>0</v>
      </c>
      <c r="N619" t="n">
        <v>0</v>
      </c>
      <c r="O619" t="n">
        <v>0</v>
      </c>
      <c r="P619" t="n">
        <v>0</v>
      </c>
      <c r="Q619" t="n">
        <v>0</v>
      </c>
      <c r="R619" s="2" t="inlineStr"/>
    </row>
    <row r="620" ht="15" customHeight="1">
      <c r="A620" t="inlineStr">
        <is>
          <t>A 14083-2026</t>
        </is>
      </c>
      <c r="B620" s="1" t="n">
        <v>46099.37385416667</v>
      </c>
      <c r="C620" s="1" t="n">
        <v>46131</v>
      </c>
      <c r="D620" t="inlineStr">
        <is>
          <t>NORRBOTTENS LÄN</t>
        </is>
      </c>
      <c r="E620" t="inlineStr">
        <is>
          <t>LULEÅ</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57115-2024</t>
        </is>
      </c>
      <c r="B621" s="1" t="n">
        <v>45629.36509259259</v>
      </c>
      <c r="C621" s="1" t="n">
        <v>46131</v>
      </c>
      <c r="D621" t="inlineStr">
        <is>
          <t>NORRBOTTENS LÄN</t>
        </is>
      </c>
      <c r="E621" t="inlineStr">
        <is>
          <t>LULEÅ</t>
        </is>
      </c>
      <c r="G621" t="n">
        <v>10.4</v>
      </c>
      <c r="H621" t="n">
        <v>0</v>
      </c>
      <c r="I621" t="n">
        <v>0</v>
      </c>
      <c r="J621" t="n">
        <v>0</v>
      </c>
      <c r="K621" t="n">
        <v>0</v>
      </c>
      <c r="L621" t="n">
        <v>0</v>
      </c>
      <c r="M621" t="n">
        <v>0</v>
      </c>
      <c r="N621" t="n">
        <v>0</v>
      </c>
      <c r="O621" t="n">
        <v>0</v>
      </c>
      <c r="P621" t="n">
        <v>0</v>
      </c>
      <c r="Q621" t="n">
        <v>0</v>
      </c>
      <c r="R621" s="2" t="inlineStr"/>
    </row>
    <row r="622" ht="15" customHeight="1">
      <c r="A622" t="inlineStr">
        <is>
          <t>A 817-2025</t>
        </is>
      </c>
      <c r="B622" s="1" t="n">
        <v>45664</v>
      </c>
      <c r="C622" s="1" t="n">
        <v>46131</v>
      </c>
      <c r="D622" t="inlineStr">
        <is>
          <t>NORRBOTTENS LÄN</t>
        </is>
      </c>
      <c r="E622" t="inlineStr">
        <is>
          <t>LULEÅ</t>
        </is>
      </c>
      <c r="G622" t="n">
        <v>2.6</v>
      </c>
      <c r="H622" t="n">
        <v>0</v>
      </c>
      <c r="I622" t="n">
        <v>0</v>
      </c>
      <c r="J622" t="n">
        <v>0</v>
      </c>
      <c r="K622" t="n">
        <v>0</v>
      </c>
      <c r="L622" t="n">
        <v>0</v>
      </c>
      <c r="M622" t="n">
        <v>0</v>
      </c>
      <c r="N622" t="n">
        <v>0</v>
      </c>
      <c r="O622" t="n">
        <v>0</v>
      </c>
      <c r="P622" t="n">
        <v>0</v>
      </c>
      <c r="Q622" t="n">
        <v>0</v>
      </c>
      <c r="R622" s="2" t="inlineStr"/>
    </row>
    <row r="623" ht="15" customHeight="1">
      <c r="A623" t="inlineStr">
        <is>
          <t>A 14447-2026</t>
        </is>
      </c>
      <c r="B623" s="1" t="n">
        <v>46100.5113425926</v>
      </c>
      <c r="C623" s="1" t="n">
        <v>46131</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14449-2026</t>
        </is>
      </c>
      <c r="B624" s="1" t="n">
        <v>46100.51145833333</v>
      </c>
      <c r="C624" s="1" t="n">
        <v>46131</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8903-2025</t>
        </is>
      </c>
      <c r="B625" s="1" t="n">
        <v>45712</v>
      </c>
      <c r="C625" s="1" t="n">
        <v>46131</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18053-2024</t>
        </is>
      </c>
      <c r="B626" s="1" t="n">
        <v>45420</v>
      </c>
      <c r="C626" s="1" t="n">
        <v>46131</v>
      </c>
      <c r="D626" t="inlineStr">
        <is>
          <t>NORRBOTTENS LÄN</t>
        </is>
      </c>
      <c r="E626" t="inlineStr">
        <is>
          <t>LULEÅ</t>
        </is>
      </c>
      <c r="G626" t="n">
        <v>3.7</v>
      </c>
      <c r="H626" t="n">
        <v>0</v>
      </c>
      <c r="I626" t="n">
        <v>0</v>
      </c>
      <c r="J626" t="n">
        <v>0</v>
      </c>
      <c r="K626" t="n">
        <v>0</v>
      </c>
      <c r="L626" t="n">
        <v>0</v>
      </c>
      <c r="M626" t="n">
        <v>0</v>
      </c>
      <c r="N626" t="n">
        <v>0</v>
      </c>
      <c r="O626" t="n">
        <v>0</v>
      </c>
      <c r="P626" t="n">
        <v>0</v>
      </c>
      <c r="Q626" t="n">
        <v>0</v>
      </c>
      <c r="R626" s="2" t="inlineStr"/>
    </row>
    <row r="627" ht="15" customHeight="1">
      <c r="A627" t="inlineStr">
        <is>
          <t>A 14837-2026</t>
        </is>
      </c>
      <c r="B627" s="1" t="n">
        <v>46104</v>
      </c>
      <c r="C627" s="1" t="n">
        <v>46131</v>
      </c>
      <c r="D627" t="inlineStr">
        <is>
          <t>NORRBOTTENS LÄN</t>
        </is>
      </c>
      <c r="E627" t="inlineStr">
        <is>
          <t>LULEÅ</t>
        </is>
      </c>
      <c r="G627" t="n">
        <v>0.7</v>
      </c>
      <c r="H627" t="n">
        <v>0</v>
      </c>
      <c r="I627" t="n">
        <v>0</v>
      </c>
      <c r="J627" t="n">
        <v>0</v>
      </c>
      <c r="K627" t="n">
        <v>0</v>
      </c>
      <c r="L627" t="n">
        <v>0</v>
      </c>
      <c r="M627" t="n">
        <v>0</v>
      </c>
      <c r="N627" t="n">
        <v>0</v>
      </c>
      <c r="O627" t="n">
        <v>0</v>
      </c>
      <c r="P627" t="n">
        <v>0</v>
      </c>
      <c r="Q627" t="n">
        <v>0</v>
      </c>
      <c r="R627" s="2" t="inlineStr"/>
    </row>
    <row r="628" ht="15" customHeight="1">
      <c r="A628" t="inlineStr">
        <is>
          <t>A 14945-2026</t>
        </is>
      </c>
      <c r="B628" s="1" t="n">
        <v>46104</v>
      </c>
      <c r="C628" s="1" t="n">
        <v>46131</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14935-2026</t>
        </is>
      </c>
      <c r="B629" s="1" t="n">
        <v>46104</v>
      </c>
      <c r="C629" s="1" t="n">
        <v>46131</v>
      </c>
      <c r="D629" t="inlineStr">
        <is>
          <t>NORRBOTTENS LÄN</t>
        </is>
      </c>
      <c r="E629" t="inlineStr">
        <is>
          <t>LULEÅ</t>
        </is>
      </c>
      <c r="G629" t="n">
        <v>1.6</v>
      </c>
      <c r="H629" t="n">
        <v>0</v>
      </c>
      <c r="I629" t="n">
        <v>0</v>
      </c>
      <c r="J629" t="n">
        <v>0</v>
      </c>
      <c r="K629" t="n">
        <v>0</v>
      </c>
      <c r="L629" t="n">
        <v>0</v>
      </c>
      <c r="M629" t="n">
        <v>0</v>
      </c>
      <c r="N629" t="n">
        <v>0</v>
      </c>
      <c r="O629" t="n">
        <v>0</v>
      </c>
      <c r="P629" t="n">
        <v>0</v>
      </c>
      <c r="Q629" t="n">
        <v>0</v>
      </c>
      <c r="R629" s="2" t="inlineStr"/>
    </row>
    <row r="630" ht="15" customHeight="1">
      <c r="A630" t="inlineStr">
        <is>
          <t>A 8750-2025</t>
        </is>
      </c>
      <c r="B630" s="1" t="n">
        <v>45712.56173611111</v>
      </c>
      <c r="C630" s="1" t="n">
        <v>46131</v>
      </c>
      <c r="D630" t="inlineStr">
        <is>
          <t>NORRBOTTENS LÄN</t>
        </is>
      </c>
      <c r="E630" t="inlineStr">
        <is>
          <t>LULEÅ</t>
        </is>
      </c>
      <c r="G630" t="n">
        <v>10.8</v>
      </c>
      <c r="H630" t="n">
        <v>0</v>
      </c>
      <c r="I630" t="n">
        <v>0</v>
      </c>
      <c r="J630" t="n">
        <v>0</v>
      </c>
      <c r="K630" t="n">
        <v>0</v>
      </c>
      <c r="L630" t="n">
        <v>0</v>
      </c>
      <c r="M630" t="n">
        <v>0</v>
      </c>
      <c r="N630" t="n">
        <v>0</v>
      </c>
      <c r="O630" t="n">
        <v>0</v>
      </c>
      <c r="P630" t="n">
        <v>0</v>
      </c>
      <c r="Q630" t="n">
        <v>0</v>
      </c>
      <c r="R630" s="2" t="inlineStr"/>
    </row>
    <row r="631" ht="15" customHeight="1">
      <c r="A631" t="inlineStr">
        <is>
          <t>A 7505-2026</t>
        </is>
      </c>
      <c r="B631" s="1" t="n">
        <v>46059.57208333333</v>
      </c>
      <c r="C631" s="1" t="n">
        <v>46131</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43861-2023</t>
        </is>
      </c>
      <c r="B632" s="1" t="n">
        <v>45187</v>
      </c>
      <c r="C632" s="1" t="n">
        <v>46131</v>
      </c>
      <c r="D632" t="inlineStr">
        <is>
          <t>NORRBOTTENS LÄN</t>
        </is>
      </c>
      <c r="E632" t="inlineStr">
        <is>
          <t>LULEÅ</t>
        </is>
      </c>
      <c r="G632" t="n">
        <v>5.1</v>
      </c>
      <c r="H632" t="n">
        <v>0</v>
      </c>
      <c r="I632" t="n">
        <v>0</v>
      </c>
      <c r="J632" t="n">
        <v>0</v>
      </c>
      <c r="K632" t="n">
        <v>0</v>
      </c>
      <c r="L632" t="n">
        <v>0</v>
      </c>
      <c r="M632" t="n">
        <v>0</v>
      </c>
      <c r="N632" t="n">
        <v>0</v>
      </c>
      <c r="O632" t="n">
        <v>0</v>
      </c>
      <c r="P632" t="n">
        <v>0</v>
      </c>
      <c r="Q632" t="n">
        <v>0</v>
      </c>
      <c r="R632" s="2" t="inlineStr"/>
    </row>
    <row r="633" ht="15" customHeight="1">
      <c r="A633" t="inlineStr">
        <is>
          <t>A 60721-2024</t>
        </is>
      </c>
      <c r="B633" s="1" t="n">
        <v>45644</v>
      </c>
      <c r="C633" s="1" t="n">
        <v>46131</v>
      </c>
      <c r="D633" t="inlineStr">
        <is>
          <t>NORRBOTTENS LÄN</t>
        </is>
      </c>
      <c r="E633" t="inlineStr">
        <is>
          <t>LULEÅ</t>
        </is>
      </c>
      <c r="G633" t="n">
        <v>0.3</v>
      </c>
      <c r="H633" t="n">
        <v>0</v>
      </c>
      <c r="I633" t="n">
        <v>0</v>
      </c>
      <c r="J633" t="n">
        <v>0</v>
      </c>
      <c r="K633" t="n">
        <v>0</v>
      </c>
      <c r="L633" t="n">
        <v>0</v>
      </c>
      <c r="M633" t="n">
        <v>0</v>
      </c>
      <c r="N633" t="n">
        <v>0</v>
      </c>
      <c r="O633" t="n">
        <v>0</v>
      </c>
      <c r="P633" t="n">
        <v>0</v>
      </c>
      <c r="Q633" t="n">
        <v>0</v>
      </c>
      <c r="R633" s="2" t="inlineStr"/>
    </row>
    <row r="634" ht="15" customHeight="1">
      <c r="A634" t="inlineStr">
        <is>
          <t>A 10608-2025</t>
        </is>
      </c>
      <c r="B634" s="1" t="n">
        <v>45721</v>
      </c>
      <c r="C634" s="1" t="n">
        <v>46131</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14929-2026</t>
        </is>
      </c>
      <c r="B635" s="1" t="n">
        <v>46104</v>
      </c>
      <c r="C635" s="1" t="n">
        <v>46131</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46131</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46131</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14997-2026</t>
        </is>
      </c>
      <c r="B638" s="1" t="n">
        <v>46104.59447916667</v>
      </c>
      <c r="C638" s="1" t="n">
        <v>46131</v>
      </c>
      <c r="D638" t="inlineStr">
        <is>
          <t>NORRBOTTENS LÄN</t>
        </is>
      </c>
      <c r="E638" t="inlineStr">
        <is>
          <t>LULEÅ</t>
        </is>
      </c>
      <c r="G638" t="n">
        <v>1.7</v>
      </c>
      <c r="H638" t="n">
        <v>0</v>
      </c>
      <c r="I638" t="n">
        <v>0</v>
      </c>
      <c r="J638" t="n">
        <v>0</v>
      </c>
      <c r="K638" t="n">
        <v>0</v>
      </c>
      <c r="L638" t="n">
        <v>0</v>
      </c>
      <c r="M638" t="n">
        <v>0</v>
      </c>
      <c r="N638" t="n">
        <v>0</v>
      </c>
      <c r="O638" t="n">
        <v>0</v>
      </c>
      <c r="P638" t="n">
        <v>0</v>
      </c>
      <c r="Q638" t="n">
        <v>0</v>
      </c>
      <c r="R638" s="2" t="inlineStr"/>
    </row>
    <row r="639" ht="15" customHeight="1">
      <c r="A639" t="inlineStr">
        <is>
          <t>A 14569-2026</t>
        </is>
      </c>
      <c r="B639" s="1" t="n">
        <v>46100.89247685186</v>
      </c>
      <c r="C639" s="1" t="n">
        <v>46131</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61942-2024</t>
        </is>
      </c>
      <c r="B640" s="1" t="n">
        <v>45653.48405092592</v>
      </c>
      <c r="C640" s="1" t="n">
        <v>46131</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30120-2025</t>
        </is>
      </c>
      <c r="B641" s="1" t="n">
        <v>45826</v>
      </c>
      <c r="C641" s="1" t="n">
        <v>46131</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c r="U641">
        <f>HYPERLINK("https://klasma.github.io/Logging_2580/knärot/A 30120-2025 karta knärot.png", "A 30120-2025")</f>
        <v/>
      </c>
      <c r="V641">
        <f>HYPERLINK("https://klasma.github.io/Logging_2580/klagomål/A 30120-2025 FSC-klagomål.docx", "A 30120-2025")</f>
        <v/>
      </c>
      <c r="W641">
        <f>HYPERLINK("https://klasma.github.io/Logging_2580/klagomålsmail/A 30120-2025 FSC-klagomål mail.docx", "A 30120-2025")</f>
        <v/>
      </c>
      <c r="X641">
        <f>HYPERLINK("https://klasma.github.io/Logging_2580/tillsyn/A 30120-2025 tillsynsbegäran.docx", "A 30120-2025")</f>
        <v/>
      </c>
      <c r="Y641">
        <f>HYPERLINK("https://klasma.github.io/Logging_2580/tillsynsmail/A 30120-2025 tillsynsbegäran mail.docx", "A 30120-2025")</f>
        <v/>
      </c>
    </row>
    <row r="642" ht="15" customHeight="1">
      <c r="A642" t="inlineStr">
        <is>
          <t>A 14839-2026</t>
        </is>
      </c>
      <c r="B642" s="1" t="n">
        <v>46104</v>
      </c>
      <c r="C642" s="1" t="n">
        <v>46131</v>
      </c>
      <c r="D642" t="inlineStr">
        <is>
          <t>NORRBOTTENS LÄN</t>
        </is>
      </c>
      <c r="E642" t="inlineStr">
        <is>
          <t>LULEÅ</t>
        </is>
      </c>
      <c r="G642" t="n">
        <v>6.3</v>
      </c>
      <c r="H642" t="n">
        <v>0</v>
      </c>
      <c r="I642" t="n">
        <v>0</v>
      </c>
      <c r="J642" t="n">
        <v>0</v>
      </c>
      <c r="K642" t="n">
        <v>0</v>
      </c>
      <c r="L642" t="n">
        <v>0</v>
      </c>
      <c r="M642" t="n">
        <v>0</v>
      </c>
      <c r="N642" t="n">
        <v>0</v>
      </c>
      <c r="O642" t="n">
        <v>0</v>
      </c>
      <c r="P642" t="n">
        <v>0</v>
      </c>
      <c r="Q642" t="n">
        <v>0</v>
      </c>
      <c r="R642" s="2" t="inlineStr"/>
    </row>
    <row r="643" ht="15" customHeight="1">
      <c r="A643" t="inlineStr">
        <is>
          <t>A 12116-2025</t>
        </is>
      </c>
      <c r="B643" s="1" t="n">
        <v>45729.36509259259</v>
      </c>
      <c r="C643" s="1" t="n">
        <v>46131</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48059-2023</t>
        </is>
      </c>
      <c r="B644" s="1" t="n">
        <v>45204</v>
      </c>
      <c r="C644" s="1" t="n">
        <v>46131</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15283-2026</t>
        </is>
      </c>
      <c r="B645" s="1" t="n">
        <v>46105.6125925926</v>
      </c>
      <c r="C645" s="1" t="n">
        <v>46131</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8494-2026</t>
        </is>
      </c>
      <c r="B646" s="1" t="n">
        <v>46065.48962962963</v>
      </c>
      <c r="C646" s="1" t="n">
        <v>46131</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57327-2024</t>
        </is>
      </c>
      <c r="B647" s="1" t="n">
        <v>45629.62572916667</v>
      </c>
      <c r="C647" s="1" t="n">
        <v>46131</v>
      </c>
      <c r="D647" t="inlineStr">
        <is>
          <t>NORRBOTTENS LÄN</t>
        </is>
      </c>
      <c r="E647" t="inlineStr">
        <is>
          <t>LULEÅ</t>
        </is>
      </c>
      <c r="F647" t="inlineStr">
        <is>
          <t>Övriga Aktiebolag</t>
        </is>
      </c>
      <c r="G647" t="n">
        <v>6.5</v>
      </c>
      <c r="H647" t="n">
        <v>0</v>
      </c>
      <c r="I647" t="n">
        <v>0</v>
      </c>
      <c r="J647" t="n">
        <v>0</v>
      </c>
      <c r="K647" t="n">
        <v>0</v>
      </c>
      <c r="L647" t="n">
        <v>0</v>
      </c>
      <c r="M647" t="n">
        <v>0</v>
      </c>
      <c r="N647" t="n">
        <v>0</v>
      </c>
      <c r="O647" t="n">
        <v>0</v>
      </c>
      <c r="P647" t="n">
        <v>0</v>
      </c>
      <c r="Q647" t="n">
        <v>0</v>
      </c>
      <c r="R647" s="2" t="inlineStr"/>
    </row>
    <row r="648" ht="15" customHeight="1">
      <c r="A648" t="inlineStr">
        <is>
          <t>A 43765-2023</t>
        </is>
      </c>
      <c r="B648" s="1" t="n">
        <v>45187</v>
      </c>
      <c r="C648" s="1" t="n">
        <v>46131</v>
      </c>
      <c r="D648" t="inlineStr">
        <is>
          <t>NORRBOTTENS LÄN</t>
        </is>
      </c>
      <c r="E648" t="inlineStr">
        <is>
          <t>LULEÅ</t>
        </is>
      </c>
      <c r="G648" t="n">
        <v>13.7</v>
      </c>
      <c r="H648" t="n">
        <v>0</v>
      </c>
      <c r="I648" t="n">
        <v>0</v>
      </c>
      <c r="J648" t="n">
        <v>0</v>
      </c>
      <c r="K648" t="n">
        <v>0</v>
      </c>
      <c r="L648" t="n">
        <v>0</v>
      </c>
      <c r="M648" t="n">
        <v>0</v>
      </c>
      <c r="N648" t="n">
        <v>0</v>
      </c>
      <c r="O648" t="n">
        <v>0</v>
      </c>
      <c r="P648" t="n">
        <v>0</v>
      </c>
      <c r="Q648" t="n">
        <v>0</v>
      </c>
      <c r="R648" s="2" t="inlineStr"/>
    </row>
    <row r="649" ht="15" customHeight="1">
      <c r="A649" t="inlineStr">
        <is>
          <t>A 13068-2024</t>
        </is>
      </c>
      <c r="B649" s="1" t="n">
        <v>45385</v>
      </c>
      <c r="C649" s="1" t="n">
        <v>46131</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52240-2023</t>
        </is>
      </c>
      <c r="B650" s="1" t="n">
        <v>45224</v>
      </c>
      <c r="C650" s="1" t="n">
        <v>46131</v>
      </c>
      <c r="D650" t="inlineStr">
        <is>
          <t>NORRBOTTENS LÄN</t>
        </is>
      </c>
      <c r="E650" t="inlineStr">
        <is>
          <t>LULEÅ</t>
        </is>
      </c>
      <c r="G650" t="n">
        <v>4.5</v>
      </c>
      <c r="H650" t="n">
        <v>0</v>
      </c>
      <c r="I650" t="n">
        <v>0</v>
      </c>
      <c r="J650" t="n">
        <v>0</v>
      </c>
      <c r="K650" t="n">
        <v>0</v>
      </c>
      <c r="L650" t="n">
        <v>0</v>
      </c>
      <c r="M650" t="n">
        <v>0</v>
      </c>
      <c r="N650" t="n">
        <v>0</v>
      </c>
      <c r="O650" t="n">
        <v>0</v>
      </c>
      <c r="P650" t="n">
        <v>0</v>
      </c>
      <c r="Q650" t="n">
        <v>0</v>
      </c>
      <c r="R650" s="2" t="inlineStr"/>
    </row>
    <row r="651" ht="15" customHeight="1">
      <c r="A651" t="inlineStr">
        <is>
          <t>A 8501-2026</t>
        </is>
      </c>
      <c r="B651" s="1" t="n">
        <v>46065.50854166667</v>
      </c>
      <c r="C651" s="1" t="n">
        <v>46131</v>
      </c>
      <c r="D651" t="inlineStr">
        <is>
          <t>NORRBOTTENS LÄN</t>
        </is>
      </c>
      <c r="E651" t="inlineStr">
        <is>
          <t>LULEÅ</t>
        </is>
      </c>
      <c r="G651" t="n">
        <v>4</v>
      </c>
      <c r="H651" t="n">
        <v>0</v>
      </c>
      <c r="I651" t="n">
        <v>0</v>
      </c>
      <c r="J651" t="n">
        <v>0</v>
      </c>
      <c r="K651" t="n">
        <v>0</v>
      </c>
      <c r="L651" t="n">
        <v>0</v>
      </c>
      <c r="M651" t="n">
        <v>0</v>
      </c>
      <c r="N651" t="n">
        <v>0</v>
      </c>
      <c r="O651" t="n">
        <v>0</v>
      </c>
      <c r="P651" t="n">
        <v>0</v>
      </c>
      <c r="Q651" t="n">
        <v>0</v>
      </c>
      <c r="R651" s="2" t="inlineStr"/>
    </row>
    <row r="652" ht="15" customHeight="1">
      <c r="A652" t="inlineStr">
        <is>
          <t>A 8504-2026</t>
        </is>
      </c>
      <c r="B652" s="1" t="n">
        <v>46065.5119212963</v>
      </c>
      <c r="C652" s="1" t="n">
        <v>46131</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8502-2026</t>
        </is>
      </c>
      <c r="B653" s="1" t="n">
        <v>46065.51049768519</v>
      </c>
      <c r="C653" s="1" t="n">
        <v>46131</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53960-2023</t>
        </is>
      </c>
      <c r="B654" s="1" t="n">
        <v>45225</v>
      </c>
      <c r="C654" s="1" t="n">
        <v>46131</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736-2025</t>
        </is>
      </c>
      <c r="B655" s="1" t="n">
        <v>45664</v>
      </c>
      <c r="C655" s="1" t="n">
        <v>46131</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53985-2023</t>
        </is>
      </c>
      <c r="B656" s="1" t="n">
        <v>45225</v>
      </c>
      <c r="C656" s="1" t="n">
        <v>46131</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1017-2025</t>
        </is>
      </c>
      <c r="B657" s="1" t="n">
        <v>45665</v>
      </c>
      <c r="C657" s="1" t="n">
        <v>46131</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46131</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1685-2025</t>
        </is>
      </c>
      <c r="B659" s="1" t="n">
        <v>45670.69877314815</v>
      </c>
      <c r="C659" s="1" t="n">
        <v>46131</v>
      </c>
      <c r="D659" t="inlineStr">
        <is>
          <t>NORRBOTTENS LÄN</t>
        </is>
      </c>
      <c r="E659" t="inlineStr">
        <is>
          <t>LULEÅ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10163-2026</t>
        </is>
      </c>
      <c r="B660" s="1" t="n">
        <v>46076</v>
      </c>
      <c r="C660" s="1" t="n">
        <v>46131</v>
      </c>
      <c r="D660" t="inlineStr">
        <is>
          <t>NORRBOTTENS LÄN</t>
        </is>
      </c>
      <c r="E660" t="inlineStr">
        <is>
          <t>LULEÅ</t>
        </is>
      </c>
      <c r="G660" t="n">
        <v>1.2</v>
      </c>
      <c r="H660" t="n">
        <v>0</v>
      </c>
      <c r="I660" t="n">
        <v>0</v>
      </c>
      <c r="J660" t="n">
        <v>0</v>
      </c>
      <c r="K660" t="n">
        <v>0</v>
      </c>
      <c r="L660" t="n">
        <v>0</v>
      </c>
      <c r="M660" t="n">
        <v>0</v>
      </c>
      <c r="N660" t="n">
        <v>0</v>
      </c>
      <c r="O660" t="n">
        <v>0</v>
      </c>
      <c r="P660" t="n">
        <v>0</v>
      </c>
      <c r="Q660" t="n">
        <v>0</v>
      </c>
      <c r="R660" s="2" t="inlineStr"/>
    </row>
    <row r="661" ht="15" customHeight="1">
      <c r="A661" t="inlineStr">
        <is>
          <t>A 58759-2023</t>
        </is>
      </c>
      <c r="B661" s="1" t="n">
        <v>45251</v>
      </c>
      <c r="C661" s="1" t="n">
        <v>46131</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10156-2026</t>
        </is>
      </c>
      <c r="B662" s="1" t="n">
        <v>46076.3806712963</v>
      </c>
      <c r="C662" s="1" t="n">
        <v>46131</v>
      </c>
      <c r="D662" t="inlineStr">
        <is>
          <t>NORRBOTTENS LÄN</t>
        </is>
      </c>
      <c r="E662" t="inlineStr">
        <is>
          <t>LULEÅ</t>
        </is>
      </c>
      <c r="F662" t="inlineStr">
        <is>
          <t>Övriga Aktiebolag</t>
        </is>
      </c>
      <c r="G662" t="n">
        <v>9.1</v>
      </c>
      <c r="H662" t="n">
        <v>0</v>
      </c>
      <c r="I662" t="n">
        <v>0</v>
      </c>
      <c r="J662" t="n">
        <v>0</v>
      </c>
      <c r="K662" t="n">
        <v>0</v>
      </c>
      <c r="L662" t="n">
        <v>0</v>
      </c>
      <c r="M662" t="n">
        <v>0</v>
      </c>
      <c r="N662" t="n">
        <v>0</v>
      </c>
      <c r="O662" t="n">
        <v>0</v>
      </c>
      <c r="P662" t="n">
        <v>0</v>
      </c>
      <c r="Q662" t="n">
        <v>0</v>
      </c>
      <c r="R662" s="2" t="inlineStr"/>
    </row>
    <row r="663" ht="15" customHeight="1">
      <c r="A663" t="inlineStr">
        <is>
          <t>A 10166-2026</t>
        </is>
      </c>
      <c r="B663" s="1" t="n">
        <v>46076.41243055555</v>
      </c>
      <c r="C663" s="1" t="n">
        <v>46131</v>
      </c>
      <c r="D663" t="inlineStr">
        <is>
          <t>NORRBOTTENS LÄN</t>
        </is>
      </c>
      <c r="E663" t="inlineStr">
        <is>
          <t>LULEÅ</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11135-2025</t>
        </is>
      </c>
      <c r="B664" s="1" t="n">
        <v>45723.65663194445</v>
      </c>
      <c r="C664" s="1" t="n">
        <v>46131</v>
      </c>
      <c r="D664" t="inlineStr">
        <is>
          <t>NORRBOTTENS LÄN</t>
        </is>
      </c>
      <c r="E664" t="inlineStr">
        <is>
          <t>LULEÅ</t>
        </is>
      </c>
      <c r="G664" t="n">
        <v>16.7</v>
      </c>
      <c r="H664" t="n">
        <v>0</v>
      </c>
      <c r="I664" t="n">
        <v>0</v>
      </c>
      <c r="J664" t="n">
        <v>0</v>
      </c>
      <c r="K664" t="n">
        <v>0</v>
      </c>
      <c r="L664" t="n">
        <v>0</v>
      </c>
      <c r="M664" t="n">
        <v>0</v>
      </c>
      <c r="N664" t="n">
        <v>0</v>
      </c>
      <c r="O664" t="n">
        <v>0</v>
      </c>
      <c r="P664" t="n">
        <v>0</v>
      </c>
      <c r="Q664" t="n">
        <v>0</v>
      </c>
      <c r="R664" s="2" t="inlineStr"/>
    </row>
    <row r="665" ht="15" customHeight="1">
      <c r="A665" t="inlineStr">
        <is>
          <t>A 11845-2025</t>
        </is>
      </c>
      <c r="B665" s="1" t="n">
        <v>45727</v>
      </c>
      <c r="C665" s="1" t="n">
        <v>46131</v>
      </c>
      <c r="D665" t="inlineStr">
        <is>
          <t>NORRBOTTENS LÄN</t>
        </is>
      </c>
      <c r="E665" t="inlineStr">
        <is>
          <t>LULEÅ</t>
        </is>
      </c>
      <c r="G665" t="n">
        <v>9.6</v>
      </c>
      <c r="H665" t="n">
        <v>0</v>
      </c>
      <c r="I665" t="n">
        <v>0</v>
      </c>
      <c r="J665" t="n">
        <v>0</v>
      </c>
      <c r="K665" t="n">
        <v>0</v>
      </c>
      <c r="L665" t="n">
        <v>0</v>
      </c>
      <c r="M665" t="n">
        <v>0</v>
      </c>
      <c r="N665" t="n">
        <v>0</v>
      </c>
      <c r="O665" t="n">
        <v>0</v>
      </c>
      <c r="P665" t="n">
        <v>0</v>
      </c>
      <c r="Q665" t="n">
        <v>0</v>
      </c>
      <c r="R665" s="2" t="inlineStr"/>
    </row>
    <row r="666" ht="15" customHeight="1">
      <c r="A666" t="inlineStr">
        <is>
          <t>A 10192-2026</t>
        </is>
      </c>
      <c r="B666" s="1" t="n">
        <v>46076.45981481481</v>
      </c>
      <c r="C666" s="1" t="n">
        <v>46131</v>
      </c>
      <c r="D666" t="inlineStr">
        <is>
          <t>NORRBOTTENS LÄN</t>
        </is>
      </c>
      <c r="E666" t="inlineStr">
        <is>
          <t>LULEÅ</t>
        </is>
      </c>
      <c r="G666" t="n">
        <v>6.4</v>
      </c>
      <c r="H666" t="n">
        <v>0</v>
      </c>
      <c r="I666" t="n">
        <v>0</v>
      </c>
      <c r="J666" t="n">
        <v>0</v>
      </c>
      <c r="K666" t="n">
        <v>0</v>
      </c>
      <c r="L666" t="n">
        <v>0</v>
      </c>
      <c r="M666" t="n">
        <v>0</v>
      </c>
      <c r="N666" t="n">
        <v>0</v>
      </c>
      <c r="O666" t="n">
        <v>0</v>
      </c>
      <c r="P666" t="n">
        <v>0</v>
      </c>
      <c r="Q666" t="n">
        <v>0</v>
      </c>
      <c r="R666" s="2" t="inlineStr"/>
    </row>
    <row r="667" ht="15" customHeight="1">
      <c r="A667" t="inlineStr">
        <is>
          <t>A 29332-2025</t>
        </is>
      </c>
      <c r="B667" s="1" t="n">
        <v>45824</v>
      </c>
      <c r="C667" s="1" t="n">
        <v>46131</v>
      </c>
      <c r="D667" t="inlineStr">
        <is>
          <t>NORRBOTTENS LÄN</t>
        </is>
      </c>
      <c r="E667" t="inlineStr">
        <is>
          <t>LULEÅ</t>
        </is>
      </c>
      <c r="G667" t="n">
        <v>3</v>
      </c>
      <c r="H667" t="n">
        <v>0</v>
      </c>
      <c r="I667" t="n">
        <v>0</v>
      </c>
      <c r="J667" t="n">
        <v>0</v>
      </c>
      <c r="K667" t="n">
        <v>0</v>
      </c>
      <c r="L667" t="n">
        <v>0</v>
      </c>
      <c r="M667" t="n">
        <v>0</v>
      </c>
      <c r="N667" t="n">
        <v>0</v>
      </c>
      <c r="O667" t="n">
        <v>0</v>
      </c>
      <c r="P667" t="n">
        <v>0</v>
      </c>
      <c r="Q667" t="n">
        <v>0</v>
      </c>
      <c r="R667" s="2" t="inlineStr"/>
    </row>
    <row r="668" ht="15" customHeight="1">
      <c r="A668" t="inlineStr">
        <is>
          <t>A 17899-2025</t>
        </is>
      </c>
      <c r="B668" s="1" t="n">
        <v>45758.69832175926</v>
      </c>
      <c r="C668" s="1" t="n">
        <v>46131</v>
      </c>
      <c r="D668" t="inlineStr">
        <is>
          <t>NORRBOTTENS LÄN</t>
        </is>
      </c>
      <c r="E668" t="inlineStr">
        <is>
          <t>LULEÅ</t>
        </is>
      </c>
      <c r="G668" t="n">
        <v>3.1</v>
      </c>
      <c r="H668" t="n">
        <v>0</v>
      </c>
      <c r="I668" t="n">
        <v>0</v>
      </c>
      <c r="J668" t="n">
        <v>0</v>
      </c>
      <c r="K668" t="n">
        <v>0</v>
      </c>
      <c r="L668" t="n">
        <v>0</v>
      </c>
      <c r="M668" t="n">
        <v>0</v>
      </c>
      <c r="N668" t="n">
        <v>0</v>
      </c>
      <c r="O668" t="n">
        <v>0</v>
      </c>
      <c r="P668" t="n">
        <v>0</v>
      </c>
      <c r="Q668" t="n">
        <v>0</v>
      </c>
      <c r="R668" s="2" t="inlineStr"/>
    </row>
    <row r="669" ht="15" customHeight="1">
      <c r="A669" t="inlineStr">
        <is>
          <t>A 4237-2025</t>
        </is>
      </c>
      <c r="B669" s="1" t="n">
        <v>45685</v>
      </c>
      <c r="C669" s="1" t="n">
        <v>46131</v>
      </c>
      <c r="D669" t="inlineStr">
        <is>
          <t>NORRBOTTENS LÄN</t>
        </is>
      </c>
      <c r="E669" t="inlineStr">
        <is>
          <t>LULEÅ</t>
        </is>
      </c>
      <c r="G669" t="n">
        <v>4.9</v>
      </c>
      <c r="H669" t="n">
        <v>0</v>
      </c>
      <c r="I669" t="n">
        <v>0</v>
      </c>
      <c r="J669" t="n">
        <v>0</v>
      </c>
      <c r="K669" t="n">
        <v>0</v>
      </c>
      <c r="L669" t="n">
        <v>0</v>
      </c>
      <c r="M669" t="n">
        <v>0</v>
      </c>
      <c r="N669" t="n">
        <v>0</v>
      </c>
      <c r="O669" t="n">
        <v>0</v>
      </c>
      <c r="P669" t="n">
        <v>0</v>
      </c>
      <c r="Q669" t="n">
        <v>0</v>
      </c>
      <c r="R669" s="2" t="inlineStr"/>
    </row>
    <row r="670" ht="15" customHeight="1">
      <c r="A670" t="inlineStr">
        <is>
          <t>A 47246-2022</t>
        </is>
      </c>
      <c r="B670" s="1" t="n">
        <v>44852</v>
      </c>
      <c r="C670" s="1" t="n">
        <v>46131</v>
      </c>
      <c r="D670" t="inlineStr">
        <is>
          <t>NORRBOTTENS LÄN</t>
        </is>
      </c>
      <c r="E670" t="inlineStr">
        <is>
          <t>LULEÅ</t>
        </is>
      </c>
      <c r="G670" t="n">
        <v>2.9</v>
      </c>
      <c r="H670" t="n">
        <v>0</v>
      </c>
      <c r="I670" t="n">
        <v>0</v>
      </c>
      <c r="J670" t="n">
        <v>0</v>
      </c>
      <c r="K670" t="n">
        <v>0</v>
      </c>
      <c r="L670" t="n">
        <v>0</v>
      </c>
      <c r="M670" t="n">
        <v>0</v>
      </c>
      <c r="N670" t="n">
        <v>0</v>
      </c>
      <c r="O670" t="n">
        <v>0</v>
      </c>
      <c r="P670" t="n">
        <v>0</v>
      </c>
      <c r="Q670" t="n">
        <v>0</v>
      </c>
      <c r="R670" s="2" t="inlineStr"/>
    </row>
    <row r="671" ht="15" customHeight="1">
      <c r="A671" t="inlineStr">
        <is>
          <t>A 11049-2026</t>
        </is>
      </c>
      <c r="B671" s="1" t="n">
        <v>46079.58974537037</v>
      </c>
      <c r="C671" s="1" t="n">
        <v>46131</v>
      </c>
      <c r="D671" t="inlineStr">
        <is>
          <t>NORRBOTTENS LÄN</t>
        </is>
      </c>
      <c r="E671" t="inlineStr">
        <is>
          <t>LULEÅ</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27305-2022</t>
        </is>
      </c>
      <c r="B672" s="1" t="n">
        <v>44741</v>
      </c>
      <c r="C672" s="1" t="n">
        <v>46131</v>
      </c>
      <c r="D672" t="inlineStr">
        <is>
          <t>NORRBOTTENS LÄN</t>
        </is>
      </c>
      <c r="E672" t="inlineStr">
        <is>
          <t>LULEÅ</t>
        </is>
      </c>
      <c r="G672" t="n">
        <v>1.4</v>
      </c>
      <c r="H672" t="n">
        <v>0</v>
      </c>
      <c r="I672" t="n">
        <v>0</v>
      </c>
      <c r="J672" t="n">
        <v>0</v>
      </c>
      <c r="K672" t="n">
        <v>0</v>
      </c>
      <c r="L672" t="n">
        <v>0</v>
      </c>
      <c r="M672" t="n">
        <v>0</v>
      </c>
      <c r="N672" t="n">
        <v>0</v>
      </c>
      <c r="O672" t="n">
        <v>0</v>
      </c>
      <c r="P672" t="n">
        <v>0</v>
      </c>
      <c r="Q672" t="n">
        <v>0</v>
      </c>
      <c r="R672" s="2" t="inlineStr"/>
    </row>
    <row r="673" ht="15" customHeight="1">
      <c r="A673" t="inlineStr">
        <is>
          <t>A 48409-2023</t>
        </is>
      </c>
      <c r="B673" s="1" t="n">
        <v>45205</v>
      </c>
      <c r="C673" s="1" t="n">
        <v>46131</v>
      </c>
      <c r="D673" t="inlineStr">
        <is>
          <t>NORRBOTTENS LÄN</t>
        </is>
      </c>
      <c r="E673" t="inlineStr">
        <is>
          <t>LULEÅ</t>
        </is>
      </c>
      <c r="G673" t="n">
        <v>7.9</v>
      </c>
      <c r="H673" t="n">
        <v>0</v>
      </c>
      <c r="I673" t="n">
        <v>0</v>
      </c>
      <c r="J673" t="n">
        <v>0</v>
      </c>
      <c r="K673" t="n">
        <v>0</v>
      </c>
      <c r="L673" t="n">
        <v>0</v>
      </c>
      <c r="M673" t="n">
        <v>0</v>
      </c>
      <c r="N673" t="n">
        <v>0</v>
      </c>
      <c r="O673" t="n">
        <v>0</v>
      </c>
      <c r="P673" t="n">
        <v>0</v>
      </c>
      <c r="Q673" t="n">
        <v>0</v>
      </c>
      <c r="R673" s="2" t="inlineStr"/>
    </row>
    <row r="674" ht="15" customHeight="1">
      <c r="A674" t="inlineStr">
        <is>
          <t>A 48410-2023</t>
        </is>
      </c>
      <c r="B674" s="1" t="n">
        <v>45205</v>
      </c>
      <c r="C674" s="1" t="n">
        <v>46131</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9250-2025</t>
        </is>
      </c>
      <c r="B675" s="1" t="n">
        <v>45714</v>
      </c>
      <c r="C675" s="1" t="n">
        <v>46131</v>
      </c>
      <c r="D675" t="inlineStr">
        <is>
          <t>NORRBOTTENS LÄN</t>
        </is>
      </c>
      <c r="E675" t="inlineStr">
        <is>
          <t>LULEÅ</t>
        </is>
      </c>
      <c r="G675" t="n">
        <v>2.1</v>
      </c>
      <c r="H675" t="n">
        <v>0</v>
      </c>
      <c r="I675" t="n">
        <v>0</v>
      </c>
      <c r="J675" t="n">
        <v>0</v>
      </c>
      <c r="K675" t="n">
        <v>0</v>
      </c>
      <c r="L675" t="n">
        <v>0</v>
      </c>
      <c r="M675" t="n">
        <v>0</v>
      </c>
      <c r="N675" t="n">
        <v>0</v>
      </c>
      <c r="O675" t="n">
        <v>0</v>
      </c>
      <c r="P675" t="n">
        <v>0</v>
      </c>
      <c r="Q675" t="n">
        <v>0</v>
      </c>
      <c r="R675" s="2" t="inlineStr"/>
    </row>
    <row r="676" ht="15" customHeight="1">
      <c r="A676" t="inlineStr">
        <is>
          <t>A 10183-2025</t>
        </is>
      </c>
      <c r="B676" s="1" t="n">
        <v>45719</v>
      </c>
      <c r="C676" s="1" t="n">
        <v>46131</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26267-2022</t>
        </is>
      </c>
      <c r="B677" s="1" t="n">
        <v>44735.5158912037</v>
      </c>
      <c r="C677" s="1" t="n">
        <v>46131</v>
      </c>
      <c r="D677" t="inlineStr">
        <is>
          <t>NORRBOTTENS LÄN</t>
        </is>
      </c>
      <c r="E677" t="inlineStr">
        <is>
          <t>LULEÅ</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63801-2023</t>
        </is>
      </c>
      <c r="B678" s="1" t="n">
        <v>45278.42126157408</v>
      </c>
      <c r="C678" s="1" t="n">
        <v>46131</v>
      </c>
      <c r="D678" t="inlineStr">
        <is>
          <t>NORRBOTTENS LÄN</t>
        </is>
      </c>
      <c r="E678" t="inlineStr">
        <is>
          <t>LULEÅ</t>
        </is>
      </c>
      <c r="G678" t="n">
        <v>1.2</v>
      </c>
      <c r="H678" t="n">
        <v>0</v>
      </c>
      <c r="I678" t="n">
        <v>0</v>
      </c>
      <c r="J678" t="n">
        <v>0</v>
      </c>
      <c r="K678" t="n">
        <v>0</v>
      </c>
      <c r="L678" t="n">
        <v>0</v>
      </c>
      <c r="M678" t="n">
        <v>0</v>
      </c>
      <c r="N678" t="n">
        <v>0</v>
      </c>
      <c r="O678" t="n">
        <v>0</v>
      </c>
      <c r="P678" t="n">
        <v>0</v>
      </c>
      <c r="Q678" t="n">
        <v>0</v>
      </c>
      <c r="R678" s="2" t="inlineStr"/>
    </row>
    <row r="679" ht="15" customHeight="1">
      <c r="A679" t="inlineStr">
        <is>
          <t>A 16052-2025</t>
        </is>
      </c>
      <c r="B679" s="1" t="n">
        <v>45749.64261574074</v>
      </c>
      <c r="C679" s="1" t="n">
        <v>46131</v>
      </c>
      <c r="D679" t="inlineStr">
        <is>
          <t>NORRBOTTENS LÄN</t>
        </is>
      </c>
      <c r="E679" t="inlineStr">
        <is>
          <t>LULEÅ</t>
        </is>
      </c>
      <c r="G679" t="n">
        <v>4.3</v>
      </c>
      <c r="H679" t="n">
        <v>0</v>
      </c>
      <c r="I679" t="n">
        <v>0</v>
      </c>
      <c r="J679" t="n">
        <v>0</v>
      </c>
      <c r="K679" t="n">
        <v>0</v>
      </c>
      <c r="L679" t="n">
        <v>0</v>
      </c>
      <c r="M679" t="n">
        <v>0</v>
      </c>
      <c r="N679" t="n">
        <v>0</v>
      </c>
      <c r="O679" t="n">
        <v>0</v>
      </c>
      <c r="P679" t="n">
        <v>0</v>
      </c>
      <c r="Q679" t="n">
        <v>0</v>
      </c>
      <c r="R679" s="2" t="inlineStr"/>
    </row>
    <row r="680" ht="15" customHeight="1">
      <c r="A680" t="inlineStr">
        <is>
          <t>A 17290-2025</t>
        </is>
      </c>
      <c r="B680" s="1" t="n">
        <v>45756.58515046296</v>
      </c>
      <c r="C680" s="1" t="n">
        <v>46131</v>
      </c>
      <c r="D680" t="inlineStr">
        <is>
          <t>NORRBOTTENS LÄN</t>
        </is>
      </c>
      <c r="E680" t="inlineStr">
        <is>
          <t>LULEÅ</t>
        </is>
      </c>
      <c r="G680" t="n">
        <v>5.6</v>
      </c>
      <c r="H680" t="n">
        <v>0</v>
      </c>
      <c r="I680" t="n">
        <v>0</v>
      </c>
      <c r="J680" t="n">
        <v>0</v>
      </c>
      <c r="K680" t="n">
        <v>0</v>
      </c>
      <c r="L680" t="n">
        <v>0</v>
      </c>
      <c r="M680" t="n">
        <v>0</v>
      </c>
      <c r="N680" t="n">
        <v>0</v>
      </c>
      <c r="O680" t="n">
        <v>0</v>
      </c>
      <c r="P680" t="n">
        <v>0</v>
      </c>
      <c r="Q680" t="n">
        <v>0</v>
      </c>
      <c r="R680" s="2" t="inlineStr"/>
    </row>
    <row r="681" ht="15" customHeight="1">
      <c r="A681" t="inlineStr">
        <is>
          <t>A 11298-2026</t>
        </is>
      </c>
      <c r="B681" s="1" t="n">
        <v>46080.62799768519</v>
      </c>
      <c r="C681" s="1" t="n">
        <v>46131</v>
      </c>
      <c r="D681" t="inlineStr">
        <is>
          <t>NORRBOTTENS LÄN</t>
        </is>
      </c>
      <c r="E681" t="inlineStr">
        <is>
          <t>LULEÅ</t>
        </is>
      </c>
      <c r="G681" t="n">
        <v>2.2</v>
      </c>
      <c r="H681" t="n">
        <v>0</v>
      </c>
      <c r="I681" t="n">
        <v>0</v>
      </c>
      <c r="J681" t="n">
        <v>0</v>
      </c>
      <c r="K681" t="n">
        <v>0</v>
      </c>
      <c r="L681" t="n">
        <v>0</v>
      </c>
      <c r="M681" t="n">
        <v>0</v>
      </c>
      <c r="N681" t="n">
        <v>0</v>
      </c>
      <c r="O681" t="n">
        <v>0</v>
      </c>
      <c r="P681" t="n">
        <v>0</v>
      </c>
      <c r="Q681" t="n">
        <v>0</v>
      </c>
      <c r="R681" s="2" t="inlineStr"/>
    </row>
    <row r="682" ht="15" customHeight="1">
      <c r="A682" t="inlineStr">
        <is>
          <t>A 11853-2025</t>
        </is>
      </c>
      <c r="B682" s="1" t="n">
        <v>45727</v>
      </c>
      <c r="C682" s="1" t="n">
        <v>46131</v>
      </c>
      <c r="D682" t="inlineStr">
        <is>
          <t>NORRBOTTENS LÄN</t>
        </is>
      </c>
      <c r="E682" t="inlineStr">
        <is>
          <t>LULEÅ</t>
        </is>
      </c>
      <c r="G682" t="n">
        <v>6</v>
      </c>
      <c r="H682" t="n">
        <v>0</v>
      </c>
      <c r="I682" t="n">
        <v>0</v>
      </c>
      <c r="J682" t="n">
        <v>0</v>
      </c>
      <c r="K682" t="n">
        <v>0</v>
      </c>
      <c r="L682" t="n">
        <v>0</v>
      </c>
      <c r="M682" t="n">
        <v>0</v>
      </c>
      <c r="N682" t="n">
        <v>0</v>
      </c>
      <c r="O682" t="n">
        <v>0</v>
      </c>
      <c r="P682" t="n">
        <v>0</v>
      </c>
      <c r="Q682" t="n">
        <v>0</v>
      </c>
      <c r="R682" s="2" t="inlineStr"/>
    </row>
    <row r="683" ht="15" customHeight="1">
      <c r="A683" t="inlineStr">
        <is>
          <t>A 59681-2023</t>
        </is>
      </c>
      <c r="B683" s="1" t="n">
        <v>45255</v>
      </c>
      <c r="C683" s="1" t="n">
        <v>46131</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28275-2022</t>
        </is>
      </c>
      <c r="B684" s="1" t="n">
        <v>44746</v>
      </c>
      <c r="C684" s="1" t="n">
        <v>46131</v>
      </c>
      <c r="D684" t="inlineStr">
        <is>
          <t>NORRBOTTENS LÄN</t>
        </is>
      </c>
      <c r="E684" t="inlineStr">
        <is>
          <t>LULEÅ</t>
        </is>
      </c>
      <c r="G684" t="n">
        <v>2.7</v>
      </c>
      <c r="H684" t="n">
        <v>0</v>
      </c>
      <c r="I684" t="n">
        <v>0</v>
      </c>
      <c r="J684" t="n">
        <v>0</v>
      </c>
      <c r="K684" t="n">
        <v>0</v>
      </c>
      <c r="L684" t="n">
        <v>0</v>
      </c>
      <c r="M684" t="n">
        <v>0</v>
      </c>
      <c r="N684" t="n">
        <v>0</v>
      </c>
      <c r="O684" t="n">
        <v>0</v>
      </c>
      <c r="P684" t="n">
        <v>0</v>
      </c>
      <c r="Q684" t="n">
        <v>0</v>
      </c>
      <c r="R684" s="2" t="inlineStr"/>
    </row>
    <row r="685" ht="15" customHeight="1">
      <c r="A685" t="inlineStr">
        <is>
          <t>A 23884-2022</t>
        </is>
      </c>
      <c r="B685" s="1" t="n">
        <v>44722.57129629629</v>
      </c>
      <c r="C685" s="1" t="n">
        <v>46131</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11288-2026</t>
        </is>
      </c>
      <c r="B686" s="1" t="n">
        <v>46080.60869212963</v>
      </c>
      <c r="C686" s="1" t="n">
        <v>46131</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18608-2026</t>
        </is>
      </c>
      <c r="B687" s="1" t="n">
        <v>46127.65856481482</v>
      </c>
      <c r="C687" s="1" t="n">
        <v>46131</v>
      </c>
      <c r="D687" t="inlineStr">
        <is>
          <t>NORRBOTTENS LÄN</t>
        </is>
      </c>
      <c r="E687" t="inlineStr">
        <is>
          <t>LULEÅ</t>
        </is>
      </c>
      <c r="G687" t="n">
        <v>6.2</v>
      </c>
      <c r="H687" t="n">
        <v>0</v>
      </c>
      <c r="I687" t="n">
        <v>0</v>
      </c>
      <c r="J687" t="n">
        <v>0</v>
      </c>
      <c r="K687" t="n">
        <v>0</v>
      </c>
      <c r="L687" t="n">
        <v>0</v>
      </c>
      <c r="M687" t="n">
        <v>0</v>
      </c>
      <c r="N687" t="n">
        <v>0</v>
      </c>
      <c r="O687" t="n">
        <v>0</v>
      </c>
      <c r="P687" t="n">
        <v>0</v>
      </c>
      <c r="Q687" t="n">
        <v>0</v>
      </c>
      <c r="R687" s="2" t="inlineStr"/>
    </row>
    <row r="688" ht="15" customHeight="1">
      <c r="A688" t="inlineStr">
        <is>
          <t>A 27303-2022</t>
        </is>
      </c>
      <c r="B688" s="1" t="n">
        <v>44741</v>
      </c>
      <c r="C688" s="1" t="n">
        <v>46131</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58760-2023</t>
        </is>
      </c>
      <c r="B689" s="1" t="n">
        <v>45251</v>
      </c>
      <c r="C689" s="1" t="n">
        <v>46131</v>
      </c>
      <c r="D689" t="inlineStr">
        <is>
          <t>NORRBOTTENS LÄN</t>
        </is>
      </c>
      <c r="E689" t="inlineStr">
        <is>
          <t>LULEÅ</t>
        </is>
      </c>
      <c r="G689" t="n">
        <v>5.4</v>
      </c>
      <c r="H689" t="n">
        <v>0</v>
      </c>
      <c r="I689" t="n">
        <v>0</v>
      </c>
      <c r="J689" t="n">
        <v>0</v>
      </c>
      <c r="K689" t="n">
        <v>0</v>
      </c>
      <c r="L689" t="n">
        <v>0</v>
      </c>
      <c r="M689" t="n">
        <v>0</v>
      </c>
      <c r="N689" t="n">
        <v>0</v>
      </c>
      <c r="O689" t="n">
        <v>0</v>
      </c>
      <c r="P689" t="n">
        <v>0</v>
      </c>
      <c r="Q689" t="n">
        <v>0</v>
      </c>
      <c r="R689" s="2" t="inlineStr"/>
    </row>
    <row r="690" ht="15" customHeight="1">
      <c r="A690" t="inlineStr">
        <is>
          <t>A 38551-2023</t>
        </is>
      </c>
      <c r="B690" s="1" t="n">
        <v>45160</v>
      </c>
      <c r="C690" s="1" t="n">
        <v>46131</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26587-2024</t>
        </is>
      </c>
      <c r="B691" s="1" t="n">
        <v>45469.67459490741</v>
      </c>
      <c r="C691" s="1" t="n">
        <v>46131</v>
      </c>
      <c r="D691" t="inlineStr">
        <is>
          <t>NORRBOTTENS LÄN</t>
        </is>
      </c>
      <c r="E691" t="inlineStr">
        <is>
          <t>LULEÅ</t>
        </is>
      </c>
      <c r="G691" t="n">
        <v>3.9</v>
      </c>
      <c r="H691" t="n">
        <v>0</v>
      </c>
      <c r="I691" t="n">
        <v>0</v>
      </c>
      <c r="J691" t="n">
        <v>0</v>
      </c>
      <c r="K691" t="n">
        <v>0</v>
      </c>
      <c r="L691" t="n">
        <v>0</v>
      </c>
      <c r="M691" t="n">
        <v>0</v>
      </c>
      <c r="N691" t="n">
        <v>0</v>
      </c>
      <c r="O691" t="n">
        <v>0</v>
      </c>
      <c r="P691" t="n">
        <v>0</v>
      </c>
      <c r="Q691" t="n">
        <v>0</v>
      </c>
      <c r="R691" s="2" t="inlineStr"/>
    </row>
    <row r="692" ht="15" customHeight="1">
      <c r="A692" t="inlineStr">
        <is>
          <t>A 49712-2022</t>
        </is>
      </c>
      <c r="B692" s="1" t="n">
        <v>44859</v>
      </c>
      <c r="C692" s="1" t="n">
        <v>46131</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18548-2026</t>
        </is>
      </c>
      <c r="B693" s="1" t="n">
        <v>46127.56789351852</v>
      </c>
      <c r="C693" s="1" t="n">
        <v>46131</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46158-2021</t>
        </is>
      </c>
      <c r="B694" s="1" t="n">
        <v>44442.43422453704</v>
      </c>
      <c r="C694" s="1" t="n">
        <v>46131</v>
      </c>
      <c r="D694" t="inlineStr">
        <is>
          <t>NORRBOTTENS LÄN</t>
        </is>
      </c>
      <c r="E694" t="inlineStr">
        <is>
          <t>LULEÅ</t>
        </is>
      </c>
      <c r="G694" t="n">
        <v>4.8</v>
      </c>
      <c r="H694" t="n">
        <v>0</v>
      </c>
      <c r="I694" t="n">
        <v>0</v>
      </c>
      <c r="J694" t="n">
        <v>0</v>
      </c>
      <c r="K694" t="n">
        <v>0</v>
      </c>
      <c r="L694" t="n">
        <v>0</v>
      </c>
      <c r="M694" t="n">
        <v>0</v>
      </c>
      <c r="N694" t="n">
        <v>0</v>
      </c>
      <c r="O694" t="n">
        <v>0</v>
      </c>
      <c r="P694" t="n">
        <v>0</v>
      </c>
      <c r="Q694" t="n">
        <v>0</v>
      </c>
      <c r="R694" s="2" t="inlineStr"/>
    </row>
    <row r="695" ht="15" customHeight="1">
      <c r="A695" t="inlineStr">
        <is>
          <t>A 8228-2024</t>
        </is>
      </c>
      <c r="B695" s="1" t="n">
        <v>45351</v>
      </c>
      <c r="C695" s="1" t="n">
        <v>46131</v>
      </c>
      <c r="D695" t="inlineStr">
        <is>
          <t>NORRBOTTENS LÄN</t>
        </is>
      </c>
      <c r="E695" t="inlineStr">
        <is>
          <t>LULEÅ</t>
        </is>
      </c>
      <c r="G695" t="n">
        <v>10.1</v>
      </c>
      <c r="H695" t="n">
        <v>0</v>
      </c>
      <c r="I695" t="n">
        <v>0</v>
      </c>
      <c r="J695" t="n">
        <v>0</v>
      </c>
      <c r="K695" t="n">
        <v>0</v>
      </c>
      <c r="L695" t="n">
        <v>0</v>
      </c>
      <c r="M695" t="n">
        <v>0</v>
      </c>
      <c r="N695" t="n">
        <v>0</v>
      </c>
      <c r="O695" t="n">
        <v>0</v>
      </c>
      <c r="P695" t="n">
        <v>0</v>
      </c>
      <c r="Q695" t="n">
        <v>0</v>
      </c>
      <c r="R695" s="2" t="inlineStr"/>
    </row>
    <row r="696" ht="15" customHeight="1">
      <c r="A696" t="inlineStr">
        <is>
          <t>A 12307-2026</t>
        </is>
      </c>
      <c r="B696" s="1" t="n">
        <v>46087.58144675926</v>
      </c>
      <c r="C696" s="1" t="n">
        <v>46131</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61891-2023</t>
        </is>
      </c>
      <c r="B697" s="1" t="n">
        <v>45264</v>
      </c>
      <c r="C697" s="1" t="n">
        <v>46131</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6739-2024</t>
        </is>
      </c>
      <c r="B698" s="1" t="n">
        <v>45342</v>
      </c>
      <c r="C698" s="1" t="n">
        <v>46131</v>
      </c>
      <c r="D698" t="inlineStr">
        <is>
          <t>NORRBOTTENS LÄN</t>
        </is>
      </c>
      <c r="E698" t="inlineStr">
        <is>
          <t>LULEÅ</t>
        </is>
      </c>
      <c r="G698" t="n">
        <v>2.1</v>
      </c>
      <c r="H698" t="n">
        <v>0</v>
      </c>
      <c r="I698" t="n">
        <v>0</v>
      </c>
      <c r="J698" t="n">
        <v>0</v>
      </c>
      <c r="K698" t="n">
        <v>0</v>
      </c>
      <c r="L698" t="n">
        <v>0</v>
      </c>
      <c r="M698" t="n">
        <v>0</v>
      </c>
      <c r="N698" t="n">
        <v>0</v>
      </c>
      <c r="O698" t="n">
        <v>0</v>
      </c>
      <c r="P698" t="n">
        <v>0</v>
      </c>
      <c r="Q698" t="n">
        <v>0</v>
      </c>
      <c r="R698" s="2" t="inlineStr"/>
    </row>
    <row r="699" ht="15" customHeight="1">
      <c r="A699" t="inlineStr">
        <is>
          <t>A 57911-2023</t>
        </is>
      </c>
      <c r="B699" s="1" t="n">
        <v>45247</v>
      </c>
      <c r="C699" s="1" t="n">
        <v>46131</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46131</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29550-2024</t>
        </is>
      </c>
      <c r="B701" s="1" t="n">
        <v>45484</v>
      </c>
      <c r="C701" s="1" t="n">
        <v>46131</v>
      </c>
      <c r="D701" t="inlineStr">
        <is>
          <t>NORRBOTTENS LÄN</t>
        </is>
      </c>
      <c r="E701" t="inlineStr">
        <is>
          <t>LULEÅ</t>
        </is>
      </c>
      <c r="G701" t="n">
        <v>0.8</v>
      </c>
      <c r="H701" t="n">
        <v>0</v>
      </c>
      <c r="I701" t="n">
        <v>0</v>
      </c>
      <c r="J701" t="n">
        <v>0</v>
      </c>
      <c r="K701" t="n">
        <v>0</v>
      </c>
      <c r="L701" t="n">
        <v>0</v>
      </c>
      <c r="M701" t="n">
        <v>0</v>
      </c>
      <c r="N701" t="n">
        <v>0</v>
      </c>
      <c r="O701" t="n">
        <v>0</v>
      </c>
      <c r="P701" t="n">
        <v>0</v>
      </c>
      <c r="Q701" t="n">
        <v>0</v>
      </c>
      <c r="R701" s="2" t="inlineStr"/>
    </row>
    <row r="702" ht="15" customHeight="1">
      <c r="A702" t="inlineStr">
        <is>
          <t>A 46374-2024</t>
        </is>
      </c>
      <c r="B702" s="1" t="n">
        <v>45582</v>
      </c>
      <c r="C702" s="1" t="n">
        <v>46131</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61510-2024</t>
        </is>
      </c>
      <c r="B703" s="1" t="n">
        <v>45646.56674768519</v>
      </c>
      <c r="C703" s="1" t="n">
        <v>46131</v>
      </c>
      <c r="D703" t="inlineStr">
        <is>
          <t>NORRBOTTENS LÄN</t>
        </is>
      </c>
      <c r="E703" t="inlineStr">
        <is>
          <t>LULEÅ</t>
        </is>
      </c>
      <c r="G703" t="n">
        <v>0.6</v>
      </c>
      <c r="H703" t="n">
        <v>0</v>
      </c>
      <c r="I703" t="n">
        <v>0</v>
      </c>
      <c r="J703" t="n">
        <v>0</v>
      </c>
      <c r="K703" t="n">
        <v>0</v>
      </c>
      <c r="L703" t="n">
        <v>0</v>
      </c>
      <c r="M703" t="n">
        <v>0</v>
      </c>
      <c r="N703" t="n">
        <v>0</v>
      </c>
      <c r="O703" t="n">
        <v>0</v>
      </c>
      <c r="P703" t="n">
        <v>0</v>
      </c>
      <c r="Q703" t="n">
        <v>0</v>
      </c>
      <c r="R703" s="2" t="inlineStr"/>
    </row>
    <row r="704" ht="15" customHeight="1">
      <c r="A704" t="inlineStr">
        <is>
          <t>A 4547-2025</t>
        </is>
      </c>
      <c r="B704" s="1" t="n">
        <v>45687.40212962963</v>
      </c>
      <c r="C704" s="1" t="n">
        <v>46131</v>
      </c>
      <c r="D704" t="inlineStr">
        <is>
          <t>NORRBOTTENS LÄN</t>
        </is>
      </c>
      <c r="E704" t="inlineStr">
        <is>
          <t>LULEÅ</t>
        </is>
      </c>
      <c r="G704" t="n">
        <v>1.3</v>
      </c>
      <c r="H704" t="n">
        <v>0</v>
      </c>
      <c r="I704" t="n">
        <v>0</v>
      </c>
      <c r="J704" t="n">
        <v>0</v>
      </c>
      <c r="K704" t="n">
        <v>0</v>
      </c>
      <c r="L704" t="n">
        <v>0</v>
      </c>
      <c r="M704" t="n">
        <v>0</v>
      </c>
      <c r="N704" t="n">
        <v>0</v>
      </c>
      <c r="O704" t="n">
        <v>0</v>
      </c>
      <c r="P704" t="n">
        <v>0</v>
      </c>
      <c r="Q704" t="n">
        <v>0</v>
      </c>
      <c r="R704" s="2" t="inlineStr"/>
    </row>
    <row r="705" ht="15" customHeight="1">
      <c r="A705" t="inlineStr">
        <is>
          <t>A 6269-2023</t>
        </is>
      </c>
      <c r="B705" s="1" t="n">
        <v>44960</v>
      </c>
      <c r="C705" s="1" t="n">
        <v>46131</v>
      </c>
      <c r="D705" t="inlineStr">
        <is>
          <t>NORRBOTTENS LÄN</t>
        </is>
      </c>
      <c r="E705" t="inlineStr">
        <is>
          <t>LULEÅ</t>
        </is>
      </c>
      <c r="G705" t="n">
        <v>2.6</v>
      </c>
      <c r="H705" t="n">
        <v>0</v>
      </c>
      <c r="I705" t="n">
        <v>0</v>
      </c>
      <c r="J705" t="n">
        <v>0</v>
      </c>
      <c r="K705" t="n">
        <v>0</v>
      </c>
      <c r="L705" t="n">
        <v>0</v>
      </c>
      <c r="M705" t="n">
        <v>0</v>
      </c>
      <c r="N705" t="n">
        <v>0</v>
      </c>
      <c r="O705" t="n">
        <v>0</v>
      </c>
      <c r="P705" t="n">
        <v>0</v>
      </c>
      <c r="Q705" t="n">
        <v>0</v>
      </c>
      <c r="R705" s="2" t="inlineStr"/>
    </row>
    <row r="706" ht="15" customHeight="1">
      <c r="A706" t="inlineStr">
        <is>
          <t>A 57764-2022</t>
        </is>
      </c>
      <c r="B706" s="1" t="n">
        <v>44890</v>
      </c>
      <c r="C706" s="1" t="n">
        <v>46131</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62701-2022</t>
        </is>
      </c>
      <c r="B707" s="1" t="n">
        <v>44917</v>
      </c>
      <c r="C707" s="1" t="n">
        <v>46131</v>
      </c>
      <c r="D707" t="inlineStr">
        <is>
          <t>NORRBOTTENS LÄN</t>
        </is>
      </c>
      <c r="E707" t="inlineStr">
        <is>
          <t>LULEÅ</t>
        </is>
      </c>
      <c r="G707" t="n">
        <v>0.5</v>
      </c>
      <c r="H707" t="n">
        <v>0</v>
      </c>
      <c r="I707" t="n">
        <v>0</v>
      </c>
      <c r="J707" t="n">
        <v>0</v>
      </c>
      <c r="K707" t="n">
        <v>0</v>
      </c>
      <c r="L707" t="n">
        <v>0</v>
      </c>
      <c r="M707" t="n">
        <v>0</v>
      </c>
      <c r="N707" t="n">
        <v>0</v>
      </c>
      <c r="O707" t="n">
        <v>0</v>
      </c>
      <c r="P707" t="n">
        <v>0</v>
      </c>
      <c r="Q707" t="n">
        <v>0</v>
      </c>
      <c r="R707" s="2" t="inlineStr"/>
    </row>
    <row r="708" ht="15" customHeight="1">
      <c r="A708" t="inlineStr">
        <is>
          <t>A 1002-2025</t>
        </is>
      </c>
      <c r="B708" s="1" t="n">
        <v>45665</v>
      </c>
      <c r="C708" s="1" t="n">
        <v>46131</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433-2022</t>
        </is>
      </c>
      <c r="B709" s="1" t="n">
        <v>44565.92903935185</v>
      </c>
      <c r="C709" s="1" t="n">
        <v>46131</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12782-2023</t>
        </is>
      </c>
      <c r="B710" s="1" t="n">
        <v>45000</v>
      </c>
      <c r="C710" s="1" t="n">
        <v>46131</v>
      </c>
      <c r="D710" t="inlineStr">
        <is>
          <t>NORRBOTTENS LÄN</t>
        </is>
      </c>
      <c r="E710" t="inlineStr">
        <is>
          <t>LULEÅ</t>
        </is>
      </c>
      <c r="G710" t="n">
        <v>2.8</v>
      </c>
      <c r="H710" t="n">
        <v>0</v>
      </c>
      <c r="I710" t="n">
        <v>0</v>
      </c>
      <c r="J710" t="n">
        <v>0</v>
      </c>
      <c r="K710" t="n">
        <v>0</v>
      </c>
      <c r="L710" t="n">
        <v>0</v>
      </c>
      <c r="M710" t="n">
        <v>0</v>
      </c>
      <c r="N710" t="n">
        <v>0</v>
      </c>
      <c r="O710" t="n">
        <v>0</v>
      </c>
      <c r="P710" t="n">
        <v>0</v>
      </c>
      <c r="Q710" t="n">
        <v>0</v>
      </c>
      <c r="R710" s="2" t="inlineStr"/>
    </row>
    <row r="711" ht="15" customHeight="1">
      <c r="A711" t="inlineStr">
        <is>
          <t>A 44005-2024</t>
        </is>
      </c>
      <c r="B711" s="1" t="n">
        <v>45572.54814814815</v>
      </c>
      <c r="C711" s="1" t="n">
        <v>46131</v>
      </c>
      <c r="D711" t="inlineStr">
        <is>
          <t>NORRBOTTENS LÄN</t>
        </is>
      </c>
      <c r="E711" t="inlineStr">
        <is>
          <t>LULEÅ</t>
        </is>
      </c>
      <c r="G711" t="n">
        <v>14.8</v>
      </c>
      <c r="H711" t="n">
        <v>0</v>
      </c>
      <c r="I711" t="n">
        <v>0</v>
      </c>
      <c r="J711" t="n">
        <v>0</v>
      </c>
      <c r="K711" t="n">
        <v>0</v>
      </c>
      <c r="L711" t="n">
        <v>0</v>
      </c>
      <c r="M711" t="n">
        <v>0</v>
      </c>
      <c r="N711" t="n">
        <v>0</v>
      </c>
      <c r="O711" t="n">
        <v>0</v>
      </c>
      <c r="P711" t="n">
        <v>0</v>
      </c>
      <c r="Q711" t="n">
        <v>0</v>
      </c>
      <c r="R711" s="2" t="inlineStr"/>
    </row>
    <row r="712" ht="15" customHeight="1">
      <c r="A712" t="inlineStr">
        <is>
          <t>A 50632-2021</t>
        </is>
      </c>
      <c r="B712" s="1" t="n">
        <v>44459</v>
      </c>
      <c r="C712" s="1" t="n">
        <v>46131</v>
      </c>
      <c r="D712" t="inlineStr">
        <is>
          <t>NORRBOTTENS LÄN</t>
        </is>
      </c>
      <c r="E712" t="inlineStr">
        <is>
          <t>LULEÅ</t>
        </is>
      </c>
      <c r="G712" t="n">
        <v>3.5</v>
      </c>
      <c r="H712" t="n">
        <v>0</v>
      </c>
      <c r="I712" t="n">
        <v>0</v>
      </c>
      <c r="J712" t="n">
        <v>0</v>
      </c>
      <c r="K712" t="n">
        <v>0</v>
      </c>
      <c r="L712" t="n">
        <v>0</v>
      </c>
      <c r="M712" t="n">
        <v>0</v>
      </c>
      <c r="N712" t="n">
        <v>0</v>
      </c>
      <c r="O712" t="n">
        <v>0</v>
      </c>
      <c r="P712" t="n">
        <v>0</v>
      </c>
      <c r="Q712" t="n">
        <v>0</v>
      </c>
      <c r="R712" s="2" t="inlineStr"/>
    </row>
    <row r="713" ht="15" customHeight="1">
      <c r="A713" t="inlineStr">
        <is>
          <t>A 42102-2024</t>
        </is>
      </c>
      <c r="B713" s="1" t="n">
        <v>45562.35875</v>
      </c>
      <c r="C713" s="1" t="n">
        <v>46131</v>
      </c>
      <c r="D713" t="inlineStr">
        <is>
          <t>NORRBOTTENS LÄN</t>
        </is>
      </c>
      <c r="E713" t="inlineStr">
        <is>
          <t>LULEÅ</t>
        </is>
      </c>
      <c r="G713" t="n">
        <v>0.8</v>
      </c>
      <c r="H713" t="n">
        <v>0</v>
      </c>
      <c r="I713" t="n">
        <v>0</v>
      </c>
      <c r="J713" t="n">
        <v>0</v>
      </c>
      <c r="K713" t="n">
        <v>0</v>
      </c>
      <c r="L713" t="n">
        <v>0</v>
      </c>
      <c r="M713" t="n">
        <v>0</v>
      </c>
      <c r="N713" t="n">
        <v>0</v>
      </c>
      <c r="O713" t="n">
        <v>0</v>
      </c>
      <c r="P713" t="n">
        <v>0</v>
      </c>
      <c r="Q713" t="n">
        <v>0</v>
      </c>
      <c r="R713" s="2" t="inlineStr"/>
    </row>
    <row r="714" ht="15" customHeight="1">
      <c r="A714" t="inlineStr">
        <is>
          <t>A 42422-2024</t>
        </is>
      </c>
      <c r="B714" s="1" t="n">
        <v>45565.38912037037</v>
      </c>
      <c r="C714" s="1" t="n">
        <v>46131</v>
      </c>
      <c r="D714" t="inlineStr">
        <is>
          <t>NORRBOTTENS LÄN</t>
        </is>
      </c>
      <c r="E714" t="inlineStr">
        <is>
          <t>LULEÅ</t>
        </is>
      </c>
      <c r="G714" t="n">
        <v>0.5</v>
      </c>
      <c r="H714" t="n">
        <v>0</v>
      </c>
      <c r="I714" t="n">
        <v>0</v>
      </c>
      <c r="J714" t="n">
        <v>0</v>
      </c>
      <c r="K714" t="n">
        <v>0</v>
      </c>
      <c r="L714" t="n">
        <v>0</v>
      </c>
      <c r="M714" t="n">
        <v>0</v>
      </c>
      <c r="N714" t="n">
        <v>0</v>
      </c>
      <c r="O714" t="n">
        <v>0</v>
      </c>
      <c r="P714" t="n">
        <v>0</v>
      </c>
      <c r="Q714" t="n">
        <v>0</v>
      </c>
      <c r="R714" s="2" t="inlineStr"/>
    </row>
    <row r="715" ht="15" customHeight="1">
      <c r="A715" t="inlineStr">
        <is>
          <t>A 42426-2024</t>
        </is>
      </c>
      <c r="B715" s="1" t="n">
        <v>45565.39958333333</v>
      </c>
      <c r="C715" s="1" t="n">
        <v>46131</v>
      </c>
      <c r="D715" t="inlineStr">
        <is>
          <t>NORRBOTTENS LÄN</t>
        </is>
      </c>
      <c r="E715" t="inlineStr">
        <is>
          <t>LULEÅ</t>
        </is>
      </c>
      <c r="G715" t="n">
        <v>0.5</v>
      </c>
      <c r="H715" t="n">
        <v>0</v>
      </c>
      <c r="I715" t="n">
        <v>0</v>
      </c>
      <c r="J715" t="n">
        <v>0</v>
      </c>
      <c r="K715" t="n">
        <v>0</v>
      </c>
      <c r="L715" t="n">
        <v>0</v>
      </c>
      <c r="M715" t="n">
        <v>0</v>
      </c>
      <c r="N715" t="n">
        <v>0</v>
      </c>
      <c r="O715" t="n">
        <v>0</v>
      </c>
      <c r="P715" t="n">
        <v>0</v>
      </c>
      <c r="Q715" t="n">
        <v>0</v>
      </c>
      <c r="R715" s="2" t="inlineStr"/>
    </row>
    <row r="716" ht="15" customHeight="1">
      <c r="A716" t="inlineStr">
        <is>
          <t>A 41707-2024</t>
        </is>
      </c>
      <c r="B716" s="1" t="n">
        <v>45560.69846064815</v>
      </c>
      <c r="C716" s="1" t="n">
        <v>46131</v>
      </c>
      <c r="D716" t="inlineStr">
        <is>
          <t>NORRBOTTENS LÄN</t>
        </is>
      </c>
      <c r="E716" t="inlineStr">
        <is>
          <t>LULEÅ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41708-2024</t>
        </is>
      </c>
      <c r="B717" s="1" t="n">
        <v>45560.6984837963</v>
      </c>
      <c r="C717" s="1" t="n">
        <v>46131</v>
      </c>
      <c r="D717" t="inlineStr">
        <is>
          <t>NORRBOTTENS LÄN</t>
        </is>
      </c>
      <c r="E717" t="inlineStr">
        <is>
          <t>LULEÅ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61315-2022</t>
        </is>
      </c>
      <c r="B718" s="1" t="n">
        <v>44909</v>
      </c>
      <c r="C718" s="1" t="n">
        <v>46131</v>
      </c>
      <c r="D718" t="inlineStr">
        <is>
          <t>NORRBOTTENS LÄN</t>
        </is>
      </c>
      <c r="E718" t="inlineStr">
        <is>
          <t>LULEÅ</t>
        </is>
      </c>
      <c r="G718" t="n">
        <v>2.8</v>
      </c>
      <c r="H718" t="n">
        <v>0</v>
      </c>
      <c r="I718" t="n">
        <v>0</v>
      </c>
      <c r="J718" t="n">
        <v>0</v>
      </c>
      <c r="K718" t="n">
        <v>0</v>
      </c>
      <c r="L718" t="n">
        <v>0</v>
      </c>
      <c r="M718" t="n">
        <v>0</v>
      </c>
      <c r="N718" t="n">
        <v>0</v>
      </c>
      <c r="O718" t="n">
        <v>0</v>
      </c>
      <c r="P718" t="n">
        <v>0</v>
      </c>
      <c r="Q718" t="n">
        <v>0</v>
      </c>
      <c r="R718" s="2" t="inlineStr"/>
    </row>
    <row r="719" ht="15" customHeight="1">
      <c r="A719" t="inlineStr">
        <is>
          <t>A 11178-2023</t>
        </is>
      </c>
      <c r="B719" s="1" t="n">
        <v>44987</v>
      </c>
      <c r="C719" s="1" t="n">
        <v>46131</v>
      </c>
      <c r="D719" t="inlineStr">
        <is>
          <t>NORRBOTTENS LÄN</t>
        </is>
      </c>
      <c r="E719" t="inlineStr">
        <is>
          <t>LULEÅ</t>
        </is>
      </c>
      <c r="G719" t="n">
        <v>4.7</v>
      </c>
      <c r="H719" t="n">
        <v>0</v>
      </c>
      <c r="I719" t="n">
        <v>0</v>
      </c>
      <c r="J719" t="n">
        <v>0</v>
      </c>
      <c r="K719" t="n">
        <v>0</v>
      </c>
      <c r="L719" t="n">
        <v>0</v>
      </c>
      <c r="M719" t="n">
        <v>0</v>
      </c>
      <c r="N719" t="n">
        <v>0</v>
      </c>
      <c r="O719" t="n">
        <v>0</v>
      </c>
      <c r="P719" t="n">
        <v>0</v>
      </c>
      <c r="Q719" t="n">
        <v>0</v>
      </c>
      <c r="R719" s="2" t="inlineStr"/>
    </row>
    <row r="720" ht="15" customHeight="1">
      <c r="A720" t="inlineStr">
        <is>
          <t>A 7306-2024</t>
        </is>
      </c>
      <c r="B720" s="1" t="n">
        <v>45344</v>
      </c>
      <c r="C720" s="1" t="n">
        <v>46131</v>
      </c>
      <c r="D720" t="inlineStr">
        <is>
          <t>NORRBOTTENS LÄN</t>
        </is>
      </c>
      <c r="E720" t="inlineStr">
        <is>
          <t>LULEÅ</t>
        </is>
      </c>
      <c r="G720" t="n">
        <v>29.2</v>
      </c>
      <c r="H720" t="n">
        <v>0</v>
      </c>
      <c r="I720" t="n">
        <v>0</v>
      </c>
      <c r="J720" t="n">
        <v>0</v>
      </c>
      <c r="K720" t="n">
        <v>0</v>
      </c>
      <c r="L720" t="n">
        <v>0</v>
      </c>
      <c r="M720" t="n">
        <v>0</v>
      </c>
      <c r="N720" t="n">
        <v>0</v>
      </c>
      <c r="O720" t="n">
        <v>0</v>
      </c>
      <c r="P720" t="n">
        <v>0</v>
      </c>
      <c r="Q720" t="n">
        <v>0</v>
      </c>
      <c r="R720" s="2" t="inlineStr"/>
    </row>
    <row r="721" ht="15" customHeight="1">
      <c r="A721" t="inlineStr">
        <is>
          <t>A 49648-2024</t>
        </is>
      </c>
      <c r="B721" s="1" t="n">
        <v>45596</v>
      </c>
      <c r="C721" s="1" t="n">
        <v>46131</v>
      </c>
      <c r="D721" t="inlineStr">
        <is>
          <t>NORRBOTTENS LÄN</t>
        </is>
      </c>
      <c r="E721" t="inlineStr">
        <is>
          <t>LULEÅ</t>
        </is>
      </c>
      <c r="G721" t="n">
        <v>1.1</v>
      </c>
      <c r="H721" t="n">
        <v>0</v>
      </c>
      <c r="I721" t="n">
        <v>0</v>
      </c>
      <c r="J721" t="n">
        <v>0</v>
      </c>
      <c r="K721" t="n">
        <v>0</v>
      </c>
      <c r="L721" t="n">
        <v>0</v>
      </c>
      <c r="M721" t="n">
        <v>0</v>
      </c>
      <c r="N721" t="n">
        <v>0</v>
      </c>
      <c r="O721" t="n">
        <v>0</v>
      </c>
      <c r="P721" t="n">
        <v>0</v>
      </c>
      <c r="Q721" t="n">
        <v>0</v>
      </c>
      <c r="R721" s="2" t="inlineStr"/>
    </row>
    <row r="722" ht="15" customHeight="1">
      <c r="A722" t="inlineStr">
        <is>
          <t>A 44531-2023</t>
        </is>
      </c>
      <c r="B722" s="1" t="n">
        <v>45183</v>
      </c>
      <c r="C722" s="1" t="n">
        <v>46131</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7689-2025</t>
        </is>
      </c>
      <c r="B723" s="1" t="n">
        <v>45706</v>
      </c>
      <c r="C723" s="1" t="n">
        <v>46131</v>
      </c>
      <c r="D723" t="inlineStr">
        <is>
          <t>NORRBOTTENS LÄN</t>
        </is>
      </c>
      <c r="E723" t="inlineStr">
        <is>
          <t>LULEÅ</t>
        </is>
      </c>
      <c r="G723" t="n">
        <v>2</v>
      </c>
      <c r="H723" t="n">
        <v>0</v>
      </c>
      <c r="I723" t="n">
        <v>0</v>
      </c>
      <c r="J723" t="n">
        <v>0</v>
      </c>
      <c r="K723" t="n">
        <v>0</v>
      </c>
      <c r="L723" t="n">
        <v>0</v>
      </c>
      <c r="M723" t="n">
        <v>0</v>
      </c>
      <c r="N723" t="n">
        <v>0</v>
      </c>
      <c r="O723" t="n">
        <v>0</v>
      </c>
      <c r="P723" t="n">
        <v>0</v>
      </c>
      <c r="Q723" t="n">
        <v>0</v>
      </c>
      <c r="R723" s="2" t="inlineStr"/>
    </row>
    <row r="724" ht="15" customHeight="1">
      <c r="A724" t="inlineStr">
        <is>
          <t>A 42024-2024</t>
        </is>
      </c>
      <c r="B724" s="1" t="n">
        <v>45561.72005787037</v>
      </c>
      <c r="C724" s="1" t="n">
        <v>46131</v>
      </c>
      <c r="D724" t="inlineStr">
        <is>
          <t>NORRBOTTENS LÄN</t>
        </is>
      </c>
      <c r="E724" t="inlineStr">
        <is>
          <t>LULEÅ</t>
        </is>
      </c>
      <c r="G724" t="n">
        <v>1.4</v>
      </c>
      <c r="H724" t="n">
        <v>0</v>
      </c>
      <c r="I724" t="n">
        <v>0</v>
      </c>
      <c r="J724" t="n">
        <v>0</v>
      </c>
      <c r="K724" t="n">
        <v>0</v>
      </c>
      <c r="L724" t="n">
        <v>0</v>
      </c>
      <c r="M724" t="n">
        <v>0</v>
      </c>
      <c r="N724" t="n">
        <v>0</v>
      </c>
      <c r="O724" t="n">
        <v>0</v>
      </c>
      <c r="P724" t="n">
        <v>0</v>
      </c>
      <c r="Q724" t="n">
        <v>0</v>
      </c>
      <c r="R724" s="2" t="inlineStr"/>
    </row>
    <row r="725" ht="15" customHeight="1">
      <c r="A725" t="inlineStr">
        <is>
          <t>A 12865-2023</t>
        </is>
      </c>
      <c r="B725" s="1" t="n">
        <v>45001</v>
      </c>
      <c r="C725" s="1" t="n">
        <v>46131</v>
      </c>
      <c r="D725" t="inlineStr">
        <is>
          <t>NORRBOTTENS LÄN</t>
        </is>
      </c>
      <c r="E725" t="inlineStr">
        <is>
          <t>LULEÅ</t>
        </is>
      </c>
      <c r="G725" t="n">
        <v>1.5</v>
      </c>
      <c r="H725" t="n">
        <v>0</v>
      </c>
      <c r="I725" t="n">
        <v>0</v>
      </c>
      <c r="J725" t="n">
        <v>0</v>
      </c>
      <c r="K725" t="n">
        <v>0</v>
      </c>
      <c r="L725" t="n">
        <v>0</v>
      </c>
      <c r="M725" t="n">
        <v>0</v>
      </c>
      <c r="N725" t="n">
        <v>0</v>
      </c>
      <c r="O725" t="n">
        <v>0</v>
      </c>
      <c r="P725" t="n">
        <v>0</v>
      </c>
      <c r="Q725" t="n">
        <v>0</v>
      </c>
      <c r="R725" s="2" t="inlineStr"/>
    </row>
    <row r="726" ht="15" customHeight="1">
      <c r="A726" t="inlineStr">
        <is>
          <t>A 22364-2021</t>
        </is>
      </c>
      <c r="B726" s="1" t="n">
        <v>44322</v>
      </c>
      <c r="C726" s="1" t="n">
        <v>46131</v>
      </c>
      <c r="D726" t="inlineStr">
        <is>
          <t>NORRBOTTENS LÄN</t>
        </is>
      </c>
      <c r="E726" t="inlineStr">
        <is>
          <t>LULEÅ</t>
        </is>
      </c>
      <c r="G726" t="n">
        <v>1.8</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46131</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46131</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60954-2021</t>
        </is>
      </c>
      <c r="B729" s="1" t="n">
        <v>44496</v>
      </c>
      <c r="C729" s="1" t="n">
        <v>46131</v>
      </c>
      <c r="D729" t="inlineStr">
        <is>
          <t>NORRBOTTENS LÄN</t>
        </is>
      </c>
      <c r="E729" t="inlineStr">
        <is>
          <t>LULEÅ</t>
        </is>
      </c>
      <c r="G729" t="n">
        <v>1.9</v>
      </c>
      <c r="H729" t="n">
        <v>0</v>
      </c>
      <c r="I729" t="n">
        <v>0</v>
      </c>
      <c r="J729" t="n">
        <v>0</v>
      </c>
      <c r="K729" t="n">
        <v>0</v>
      </c>
      <c r="L729" t="n">
        <v>0</v>
      </c>
      <c r="M729" t="n">
        <v>0</v>
      </c>
      <c r="N729" t="n">
        <v>0</v>
      </c>
      <c r="O729" t="n">
        <v>0</v>
      </c>
      <c r="P729" t="n">
        <v>0</v>
      </c>
      <c r="Q729" t="n">
        <v>0</v>
      </c>
      <c r="R729" s="2" t="inlineStr"/>
    </row>
    <row r="730" ht="15" customHeight="1">
      <c r="A730" t="inlineStr">
        <is>
          <t>A 45940-2021</t>
        </is>
      </c>
      <c r="B730" s="1" t="n">
        <v>44441</v>
      </c>
      <c r="C730" s="1" t="n">
        <v>46131</v>
      </c>
      <c r="D730" t="inlineStr">
        <is>
          <t>NORRBOTTENS LÄN</t>
        </is>
      </c>
      <c r="E730" t="inlineStr">
        <is>
          <t>LULEÅ</t>
        </is>
      </c>
      <c r="G730" t="n">
        <v>15.2</v>
      </c>
      <c r="H730" t="n">
        <v>0</v>
      </c>
      <c r="I730" t="n">
        <v>0</v>
      </c>
      <c r="J730" t="n">
        <v>0</v>
      </c>
      <c r="K730" t="n">
        <v>0</v>
      </c>
      <c r="L730" t="n">
        <v>0</v>
      </c>
      <c r="M730" t="n">
        <v>0</v>
      </c>
      <c r="N730" t="n">
        <v>0</v>
      </c>
      <c r="O730" t="n">
        <v>0</v>
      </c>
      <c r="P730" t="n">
        <v>0</v>
      </c>
      <c r="Q730" t="n">
        <v>0</v>
      </c>
      <c r="R730" s="2" t="inlineStr"/>
    </row>
    <row r="731" ht="15" customHeight="1">
      <c r="A731" t="inlineStr">
        <is>
          <t>A 35249-2021</t>
        </is>
      </c>
      <c r="B731" s="1" t="n">
        <v>44384</v>
      </c>
      <c r="C731" s="1" t="n">
        <v>46131</v>
      </c>
      <c r="D731" t="inlineStr">
        <is>
          <t>NORRBOTTENS LÄN</t>
        </is>
      </c>
      <c r="E731" t="inlineStr">
        <is>
          <t>LULEÅ</t>
        </is>
      </c>
      <c r="G731" t="n">
        <v>2.4</v>
      </c>
      <c r="H731" t="n">
        <v>0</v>
      </c>
      <c r="I731" t="n">
        <v>0</v>
      </c>
      <c r="J731" t="n">
        <v>0</v>
      </c>
      <c r="K731" t="n">
        <v>0</v>
      </c>
      <c r="L731" t="n">
        <v>0</v>
      </c>
      <c r="M731" t="n">
        <v>0</v>
      </c>
      <c r="N731" t="n">
        <v>0</v>
      </c>
      <c r="O731" t="n">
        <v>0</v>
      </c>
      <c r="P731" t="n">
        <v>0</v>
      </c>
      <c r="Q731" t="n">
        <v>0</v>
      </c>
      <c r="R731" s="2" t="inlineStr"/>
    </row>
    <row r="732" ht="15" customHeight="1">
      <c r="A732" t="inlineStr">
        <is>
          <t>A 17427-2023</t>
        </is>
      </c>
      <c r="B732" s="1" t="n">
        <v>45035</v>
      </c>
      <c r="C732" s="1" t="n">
        <v>46131</v>
      </c>
      <c r="D732" t="inlineStr">
        <is>
          <t>NORRBOTTENS LÄN</t>
        </is>
      </c>
      <c r="E732" t="inlineStr">
        <is>
          <t>LULEÅ</t>
        </is>
      </c>
      <c r="G732" t="n">
        <v>1.3</v>
      </c>
      <c r="H732" t="n">
        <v>0</v>
      </c>
      <c r="I732" t="n">
        <v>0</v>
      </c>
      <c r="J732" t="n">
        <v>0</v>
      </c>
      <c r="K732" t="n">
        <v>0</v>
      </c>
      <c r="L732" t="n">
        <v>0</v>
      </c>
      <c r="M732" t="n">
        <v>0</v>
      </c>
      <c r="N732" t="n">
        <v>0</v>
      </c>
      <c r="O732" t="n">
        <v>0</v>
      </c>
      <c r="P732" t="n">
        <v>0</v>
      </c>
      <c r="Q732" t="n">
        <v>0</v>
      </c>
      <c r="R732" s="2" t="inlineStr"/>
    </row>
    <row r="733" ht="15" customHeight="1">
      <c r="A733" t="inlineStr">
        <is>
          <t>A 2561-2022</t>
        </is>
      </c>
      <c r="B733" s="1" t="n">
        <v>44579</v>
      </c>
      <c r="C733" s="1" t="n">
        <v>46131</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53603-2024</t>
        </is>
      </c>
      <c r="B734" s="1" t="n">
        <v>45614.69736111111</v>
      </c>
      <c r="C734" s="1" t="n">
        <v>46131</v>
      </c>
      <c r="D734" t="inlineStr">
        <is>
          <t>NORRBOTTENS LÄN</t>
        </is>
      </c>
      <c r="E734" t="inlineStr">
        <is>
          <t>LULEÅ</t>
        </is>
      </c>
      <c r="G734" t="n">
        <v>3.2</v>
      </c>
      <c r="H734" t="n">
        <v>0</v>
      </c>
      <c r="I734" t="n">
        <v>0</v>
      </c>
      <c r="J734" t="n">
        <v>0</v>
      </c>
      <c r="K734" t="n">
        <v>0</v>
      </c>
      <c r="L734" t="n">
        <v>0</v>
      </c>
      <c r="M734" t="n">
        <v>0</v>
      </c>
      <c r="N734" t="n">
        <v>0</v>
      </c>
      <c r="O734" t="n">
        <v>0</v>
      </c>
      <c r="P734" t="n">
        <v>0</v>
      </c>
      <c r="Q734" t="n">
        <v>0</v>
      </c>
      <c r="R734" s="2" t="inlineStr"/>
    </row>
    <row r="735" ht="15" customHeight="1">
      <c r="A735" t="inlineStr">
        <is>
          <t>A 47931-2024</t>
        </is>
      </c>
      <c r="B735" s="1" t="n">
        <v>45589</v>
      </c>
      <c r="C735" s="1" t="n">
        <v>46131</v>
      </c>
      <c r="D735" t="inlineStr">
        <is>
          <t>NORRBOTTENS LÄN</t>
        </is>
      </c>
      <c r="E735" t="inlineStr">
        <is>
          <t>LULEÅ</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60130-2024</t>
        </is>
      </c>
      <c r="B736" s="1" t="n">
        <v>45642.59327546296</v>
      </c>
      <c r="C736" s="1" t="n">
        <v>46131</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49641-2024</t>
        </is>
      </c>
      <c r="B737" s="1" t="n">
        <v>45596</v>
      </c>
      <c r="C737" s="1" t="n">
        <v>46131</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26925-2024</t>
        </is>
      </c>
      <c r="B738" s="1" t="n">
        <v>45470.93118055556</v>
      </c>
      <c r="C738" s="1" t="n">
        <v>46131</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55747-2023</t>
        </is>
      </c>
      <c r="B739" s="1" t="n">
        <v>45232</v>
      </c>
      <c r="C739" s="1" t="n">
        <v>46131</v>
      </c>
      <c r="D739" t="inlineStr">
        <is>
          <t>NORRBOTTENS LÄN</t>
        </is>
      </c>
      <c r="E739" t="inlineStr">
        <is>
          <t>LULEÅ</t>
        </is>
      </c>
      <c r="G739" t="n">
        <v>1.1</v>
      </c>
      <c r="H739" t="n">
        <v>0</v>
      </c>
      <c r="I739" t="n">
        <v>0</v>
      </c>
      <c r="J739" t="n">
        <v>0</v>
      </c>
      <c r="K739" t="n">
        <v>0</v>
      </c>
      <c r="L739" t="n">
        <v>0</v>
      </c>
      <c r="M739" t="n">
        <v>0</v>
      </c>
      <c r="N739" t="n">
        <v>0</v>
      </c>
      <c r="O739" t="n">
        <v>0</v>
      </c>
      <c r="P739" t="n">
        <v>0</v>
      </c>
      <c r="Q739" t="n">
        <v>0</v>
      </c>
      <c r="R739" s="2" t="inlineStr"/>
    </row>
    <row r="740" ht="15" customHeight="1">
      <c r="A740" t="inlineStr">
        <is>
          <t>A 54769-2024</t>
        </is>
      </c>
      <c r="B740" s="1" t="n">
        <v>45618.47244212963</v>
      </c>
      <c r="C740" s="1" t="n">
        <v>46131</v>
      </c>
      <c r="D740" t="inlineStr">
        <is>
          <t>NORRBOTTENS LÄN</t>
        </is>
      </c>
      <c r="E740" t="inlineStr">
        <is>
          <t>LULEÅ</t>
        </is>
      </c>
      <c r="G740" t="n">
        <v>8.4</v>
      </c>
      <c r="H740" t="n">
        <v>0</v>
      </c>
      <c r="I740" t="n">
        <v>0</v>
      </c>
      <c r="J740" t="n">
        <v>0</v>
      </c>
      <c r="K740" t="n">
        <v>0</v>
      </c>
      <c r="L740" t="n">
        <v>0</v>
      </c>
      <c r="M740" t="n">
        <v>0</v>
      </c>
      <c r="N740" t="n">
        <v>0</v>
      </c>
      <c r="O740" t="n">
        <v>0</v>
      </c>
      <c r="P740" t="n">
        <v>0</v>
      </c>
      <c r="Q740" t="n">
        <v>0</v>
      </c>
      <c r="R740" s="2" t="inlineStr"/>
    </row>
    <row r="741" ht="15" customHeight="1">
      <c r="A741" t="inlineStr">
        <is>
          <t>A 1513-2025</t>
        </is>
      </c>
      <c r="B741" s="1" t="n">
        <v>45670.45391203704</v>
      </c>
      <c r="C741" s="1" t="n">
        <v>46131</v>
      </c>
      <c r="D741" t="inlineStr">
        <is>
          <t>NORRBOTTENS LÄN</t>
        </is>
      </c>
      <c r="E741" t="inlineStr">
        <is>
          <t>LULEÅ</t>
        </is>
      </c>
      <c r="G741" t="n">
        <v>1.9</v>
      </c>
      <c r="H741" t="n">
        <v>0</v>
      </c>
      <c r="I741" t="n">
        <v>0</v>
      </c>
      <c r="J741" t="n">
        <v>0</v>
      </c>
      <c r="K741" t="n">
        <v>0</v>
      </c>
      <c r="L741" t="n">
        <v>0</v>
      </c>
      <c r="M741" t="n">
        <v>0</v>
      </c>
      <c r="N741" t="n">
        <v>0</v>
      </c>
      <c r="O741" t="n">
        <v>0</v>
      </c>
      <c r="P741" t="n">
        <v>0</v>
      </c>
      <c r="Q741" t="n">
        <v>0</v>
      </c>
      <c r="R741" s="2" t="inlineStr"/>
    </row>
    <row r="742" ht="15" customHeight="1">
      <c r="A742" t="inlineStr">
        <is>
          <t>A 6958-2025</t>
        </is>
      </c>
      <c r="B742" s="1" t="n">
        <v>45701.49054398148</v>
      </c>
      <c r="C742" s="1" t="n">
        <v>46131</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46131</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9274-2023</t>
        </is>
      </c>
      <c r="B744" s="1" t="n">
        <v>44977</v>
      </c>
      <c r="C744" s="1" t="n">
        <v>46131</v>
      </c>
      <c r="D744" t="inlineStr">
        <is>
          <t>NORRBOTTENS LÄN</t>
        </is>
      </c>
      <c r="E744" t="inlineStr">
        <is>
          <t>LULEÅ</t>
        </is>
      </c>
      <c r="G744" t="n">
        <v>1.1</v>
      </c>
      <c r="H744" t="n">
        <v>0</v>
      </c>
      <c r="I744" t="n">
        <v>0</v>
      </c>
      <c r="J744" t="n">
        <v>0</v>
      </c>
      <c r="K744" t="n">
        <v>0</v>
      </c>
      <c r="L744" t="n">
        <v>0</v>
      </c>
      <c r="M744" t="n">
        <v>0</v>
      </c>
      <c r="N744" t="n">
        <v>0</v>
      </c>
      <c r="O744" t="n">
        <v>0</v>
      </c>
      <c r="P744" t="n">
        <v>0</v>
      </c>
      <c r="Q744" t="n">
        <v>0</v>
      </c>
      <c r="R744" s="2" t="inlineStr"/>
    </row>
    <row r="745" ht="15" customHeight="1">
      <c r="A745" t="inlineStr">
        <is>
          <t>A 9278-2023</t>
        </is>
      </c>
      <c r="B745" s="1" t="n">
        <v>44977</v>
      </c>
      <c r="C745" s="1" t="n">
        <v>46131</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9449-2023</t>
        </is>
      </c>
      <c r="B746" s="1" t="n">
        <v>44981</v>
      </c>
      <c r="C746" s="1" t="n">
        <v>46131</v>
      </c>
      <c r="D746" t="inlineStr">
        <is>
          <t>NORRBOTTENS LÄN</t>
        </is>
      </c>
      <c r="E746" t="inlineStr">
        <is>
          <t>LULEÅ</t>
        </is>
      </c>
      <c r="G746" t="n">
        <v>6.1</v>
      </c>
      <c r="H746" t="n">
        <v>0</v>
      </c>
      <c r="I746" t="n">
        <v>0</v>
      </c>
      <c r="J746" t="n">
        <v>0</v>
      </c>
      <c r="K746" t="n">
        <v>0</v>
      </c>
      <c r="L746" t="n">
        <v>0</v>
      </c>
      <c r="M746" t="n">
        <v>0</v>
      </c>
      <c r="N746" t="n">
        <v>0</v>
      </c>
      <c r="O746" t="n">
        <v>0</v>
      </c>
      <c r="P746" t="n">
        <v>0</v>
      </c>
      <c r="Q746" t="n">
        <v>0</v>
      </c>
      <c r="R746" s="2" t="inlineStr"/>
    </row>
    <row r="747" ht="15" customHeight="1">
      <c r="A747" t="inlineStr">
        <is>
          <t>A 9286-2023</t>
        </is>
      </c>
      <c r="B747" s="1" t="n">
        <v>44977</v>
      </c>
      <c r="C747" s="1" t="n">
        <v>46131</v>
      </c>
      <c r="D747" t="inlineStr">
        <is>
          <t>NORRBOTTENS LÄN</t>
        </is>
      </c>
      <c r="E747" t="inlineStr">
        <is>
          <t>LULEÅ</t>
        </is>
      </c>
      <c r="G747" t="n">
        <v>1.7</v>
      </c>
      <c r="H747" t="n">
        <v>0</v>
      </c>
      <c r="I747" t="n">
        <v>0</v>
      </c>
      <c r="J747" t="n">
        <v>0</v>
      </c>
      <c r="K747" t="n">
        <v>0</v>
      </c>
      <c r="L747" t="n">
        <v>0</v>
      </c>
      <c r="M747" t="n">
        <v>0</v>
      </c>
      <c r="N747" t="n">
        <v>0</v>
      </c>
      <c r="O747" t="n">
        <v>0</v>
      </c>
      <c r="P747" t="n">
        <v>0</v>
      </c>
      <c r="Q747" t="n">
        <v>0</v>
      </c>
      <c r="R747" s="2" t="inlineStr"/>
    </row>
    <row r="748" ht="15" customHeight="1">
      <c r="A748" t="inlineStr">
        <is>
          <t>A 9289-2023</t>
        </is>
      </c>
      <c r="B748" s="1" t="n">
        <v>44977</v>
      </c>
      <c r="C748" s="1" t="n">
        <v>46131</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6841-2024</t>
        </is>
      </c>
      <c r="B749" s="1" t="n">
        <v>45342</v>
      </c>
      <c r="C749" s="1" t="n">
        <v>46131</v>
      </c>
      <c r="D749" t="inlineStr">
        <is>
          <t>NORRBOTTENS LÄN</t>
        </is>
      </c>
      <c r="E749" t="inlineStr">
        <is>
          <t>LULEÅ</t>
        </is>
      </c>
      <c r="G749" t="n">
        <v>2.8</v>
      </c>
      <c r="H749" t="n">
        <v>0</v>
      </c>
      <c r="I749" t="n">
        <v>0</v>
      </c>
      <c r="J749" t="n">
        <v>0</v>
      </c>
      <c r="K749" t="n">
        <v>0</v>
      </c>
      <c r="L749" t="n">
        <v>0</v>
      </c>
      <c r="M749" t="n">
        <v>0</v>
      </c>
      <c r="N749" t="n">
        <v>0</v>
      </c>
      <c r="O749" t="n">
        <v>0</v>
      </c>
      <c r="P749" t="n">
        <v>0</v>
      </c>
      <c r="Q749" t="n">
        <v>0</v>
      </c>
      <c r="R749" s="2" t="inlineStr"/>
    </row>
    <row r="750" ht="15" customHeight="1">
      <c r="A750" t="inlineStr">
        <is>
          <t>A 8816-2023</t>
        </is>
      </c>
      <c r="B750" s="1" t="n">
        <v>44973</v>
      </c>
      <c r="C750" s="1" t="n">
        <v>46131</v>
      </c>
      <c r="D750" t="inlineStr">
        <is>
          <t>NORRBOTTENS LÄN</t>
        </is>
      </c>
      <c r="E750" t="inlineStr">
        <is>
          <t>LULEÅ</t>
        </is>
      </c>
      <c r="G750" t="n">
        <v>7.4</v>
      </c>
      <c r="H750" t="n">
        <v>0</v>
      </c>
      <c r="I750" t="n">
        <v>0</v>
      </c>
      <c r="J750" t="n">
        <v>0</v>
      </c>
      <c r="K750" t="n">
        <v>0</v>
      </c>
      <c r="L750" t="n">
        <v>0</v>
      </c>
      <c r="M750" t="n">
        <v>0</v>
      </c>
      <c r="N750" t="n">
        <v>0</v>
      </c>
      <c r="O750" t="n">
        <v>0</v>
      </c>
      <c r="P750" t="n">
        <v>0</v>
      </c>
      <c r="Q750" t="n">
        <v>0</v>
      </c>
      <c r="R750" s="2" t="inlineStr"/>
    </row>
    <row r="751" ht="15" customHeight="1">
      <c r="A751" t="inlineStr">
        <is>
          <t>A 1058-2025</t>
        </is>
      </c>
      <c r="B751" s="1" t="n">
        <v>45665</v>
      </c>
      <c r="C751" s="1" t="n">
        <v>46131</v>
      </c>
      <c r="D751" t="inlineStr">
        <is>
          <t>NORRBOTTENS LÄN</t>
        </is>
      </c>
      <c r="E751" t="inlineStr">
        <is>
          <t>LULEÅ</t>
        </is>
      </c>
      <c r="G751" t="n">
        <v>2.1</v>
      </c>
      <c r="H751" t="n">
        <v>0</v>
      </c>
      <c r="I751" t="n">
        <v>0</v>
      </c>
      <c r="J751" t="n">
        <v>0</v>
      </c>
      <c r="K751" t="n">
        <v>0</v>
      </c>
      <c r="L751" t="n">
        <v>0</v>
      </c>
      <c r="M751" t="n">
        <v>0</v>
      </c>
      <c r="N751" t="n">
        <v>0</v>
      </c>
      <c r="O751" t="n">
        <v>0</v>
      </c>
      <c r="P751" t="n">
        <v>0</v>
      </c>
      <c r="Q751" t="n">
        <v>0</v>
      </c>
      <c r="R751" s="2" t="inlineStr"/>
    </row>
    <row r="752" ht="15" customHeight="1">
      <c r="A752" t="inlineStr">
        <is>
          <t>A 8068-2023</t>
        </is>
      </c>
      <c r="B752" s="1" t="n">
        <v>44974.36233796296</v>
      </c>
      <c r="C752" s="1" t="n">
        <v>46131</v>
      </c>
      <c r="D752" t="inlineStr">
        <is>
          <t>NORRBOTTENS LÄN</t>
        </is>
      </c>
      <c r="E752" t="inlineStr">
        <is>
          <t>LULEÅ</t>
        </is>
      </c>
      <c r="G752" t="n">
        <v>5.4</v>
      </c>
      <c r="H752" t="n">
        <v>0</v>
      </c>
      <c r="I752" t="n">
        <v>0</v>
      </c>
      <c r="J752" t="n">
        <v>0</v>
      </c>
      <c r="K752" t="n">
        <v>0</v>
      </c>
      <c r="L752" t="n">
        <v>0</v>
      </c>
      <c r="M752" t="n">
        <v>0</v>
      </c>
      <c r="N752" t="n">
        <v>0</v>
      </c>
      <c r="O752" t="n">
        <v>0</v>
      </c>
      <c r="P752" t="n">
        <v>0</v>
      </c>
      <c r="Q752" t="n">
        <v>0</v>
      </c>
      <c r="R752" s="2" t="inlineStr"/>
    </row>
    <row r="753" ht="15" customHeight="1">
      <c r="A753" t="inlineStr">
        <is>
          <t>A 26594-2024</t>
        </is>
      </c>
      <c r="B753" s="1" t="n">
        <v>45469.68552083334</v>
      </c>
      <c r="C753" s="1" t="n">
        <v>46131</v>
      </c>
      <c r="D753" t="inlineStr">
        <is>
          <t>NORRBOTTENS LÄN</t>
        </is>
      </c>
      <c r="E753" t="inlineStr">
        <is>
          <t>LULEÅ</t>
        </is>
      </c>
      <c r="G753" t="n">
        <v>2.3</v>
      </c>
      <c r="H753" t="n">
        <v>0</v>
      </c>
      <c r="I753" t="n">
        <v>0</v>
      </c>
      <c r="J753" t="n">
        <v>0</v>
      </c>
      <c r="K753" t="n">
        <v>0</v>
      </c>
      <c r="L753" t="n">
        <v>0</v>
      </c>
      <c r="M753" t="n">
        <v>0</v>
      </c>
      <c r="N753" t="n">
        <v>0</v>
      </c>
      <c r="O753" t="n">
        <v>0</v>
      </c>
      <c r="P753" t="n">
        <v>0</v>
      </c>
      <c r="Q753" t="n">
        <v>0</v>
      </c>
      <c r="R753" s="2" t="inlineStr"/>
    </row>
    <row r="754" ht="15" customHeight="1">
      <c r="A754" t="inlineStr">
        <is>
          <t>A 8862-2024</t>
        </is>
      </c>
      <c r="B754" s="1" t="n">
        <v>45356.96326388889</v>
      </c>
      <c r="C754" s="1" t="n">
        <v>46131</v>
      </c>
      <c r="D754" t="inlineStr">
        <is>
          <t>NORRBOTTENS LÄN</t>
        </is>
      </c>
      <c r="E754" t="inlineStr">
        <is>
          <t>LULEÅ</t>
        </is>
      </c>
      <c r="G754" t="n">
        <v>10.6</v>
      </c>
      <c r="H754" t="n">
        <v>0</v>
      </c>
      <c r="I754" t="n">
        <v>0</v>
      </c>
      <c r="J754" t="n">
        <v>0</v>
      </c>
      <c r="K754" t="n">
        <v>0</v>
      </c>
      <c r="L754" t="n">
        <v>0</v>
      </c>
      <c r="M754" t="n">
        <v>0</v>
      </c>
      <c r="N754" t="n">
        <v>0</v>
      </c>
      <c r="O754" t="n">
        <v>0</v>
      </c>
      <c r="P754" t="n">
        <v>0</v>
      </c>
      <c r="Q754" t="n">
        <v>0</v>
      </c>
      <c r="R754" s="2" t="inlineStr"/>
    </row>
    <row r="755" ht="15" customHeight="1">
      <c r="A755" t="inlineStr">
        <is>
          <t>A 51655-2023</t>
        </is>
      </c>
      <c r="B755" s="1" t="n">
        <v>45215</v>
      </c>
      <c r="C755" s="1" t="n">
        <v>46131</v>
      </c>
      <c r="D755" t="inlineStr">
        <is>
          <t>NORRBOTTENS LÄN</t>
        </is>
      </c>
      <c r="E755" t="inlineStr">
        <is>
          <t>LULEÅ</t>
        </is>
      </c>
      <c r="G755" t="n">
        <v>7.5</v>
      </c>
      <c r="H755" t="n">
        <v>0</v>
      </c>
      <c r="I755" t="n">
        <v>0</v>
      </c>
      <c r="J755" t="n">
        <v>0</v>
      </c>
      <c r="K755" t="n">
        <v>0</v>
      </c>
      <c r="L755" t="n">
        <v>0</v>
      </c>
      <c r="M755" t="n">
        <v>0</v>
      </c>
      <c r="N755" t="n">
        <v>0</v>
      </c>
      <c r="O755" t="n">
        <v>0</v>
      </c>
      <c r="P755" t="n">
        <v>0</v>
      </c>
      <c r="Q755" t="n">
        <v>0</v>
      </c>
      <c r="R755" s="2" t="inlineStr"/>
    </row>
    <row r="756" ht="15" customHeight="1">
      <c r="A756" t="inlineStr">
        <is>
          <t>A 2700-2025</t>
        </is>
      </c>
      <c r="B756" s="1" t="n">
        <v>45677.40685185185</v>
      </c>
      <c r="C756" s="1" t="n">
        <v>46131</v>
      </c>
      <c r="D756" t="inlineStr">
        <is>
          <t>NORRBOTTENS LÄN</t>
        </is>
      </c>
      <c r="E756" t="inlineStr">
        <is>
          <t>LULEÅ</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115-2025</t>
        </is>
      </c>
      <c r="B757" s="1" t="n">
        <v>45659.51613425926</v>
      </c>
      <c r="C757" s="1" t="n">
        <v>46131</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40974-2024</t>
        </is>
      </c>
      <c r="B758" s="1" t="n">
        <v>45558.6815162037</v>
      </c>
      <c r="C758" s="1" t="n">
        <v>46131</v>
      </c>
      <c r="D758" t="inlineStr">
        <is>
          <t>NORRBOTTENS LÄN</t>
        </is>
      </c>
      <c r="E758" t="inlineStr">
        <is>
          <t>LULEÅ</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6718-2024</t>
        </is>
      </c>
      <c r="B759" s="1" t="n">
        <v>45342</v>
      </c>
      <c r="C759" s="1" t="n">
        <v>46131</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11294-2024</t>
        </is>
      </c>
      <c r="B760" s="1" t="n">
        <v>45371</v>
      </c>
      <c r="C760" s="1" t="n">
        <v>46131</v>
      </c>
      <c r="D760" t="inlineStr">
        <is>
          <t>NORRBOTTENS LÄN</t>
        </is>
      </c>
      <c r="E760" t="inlineStr">
        <is>
          <t>LULEÅ</t>
        </is>
      </c>
      <c r="G760" t="n">
        <v>0.4</v>
      </c>
      <c r="H760" t="n">
        <v>0</v>
      </c>
      <c r="I760" t="n">
        <v>0</v>
      </c>
      <c r="J760" t="n">
        <v>0</v>
      </c>
      <c r="K760" t="n">
        <v>0</v>
      </c>
      <c r="L760" t="n">
        <v>0</v>
      </c>
      <c r="M760" t="n">
        <v>0</v>
      </c>
      <c r="N760" t="n">
        <v>0</v>
      </c>
      <c r="O760" t="n">
        <v>0</v>
      </c>
      <c r="P760" t="n">
        <v>0</v>
      </c>
      <c r="Q760" t="n">
        <v>0</v>
      </c>
      <c r="R760" s="2" t="inlineStr"/>
    </row>
    <row r="761" ht="15" customHeight="1">
      <c r="A761" t="inlineStr">
        <is>
          <t>A 4768-2024</t>
        </is>
      </c>
      <c r="B761" s="1" t="n">
        <v>45328</v>
      </c>
      <c r="C761" s="1" t="n">
        <v>46131</v>
      </c>
      <c r="D761" t="inlineStr">
        <is>
          <t>NORRBOTTENS LÄN</t>
        </is>
      </c>
      <c r="E761" t="inlineStr">
        <is>
          <t>LULEÅ</t>
        </is>
      </c>
      <c r="G761" t="n">
        <v>4</v>
      </c>
      <c r="H761" t="n">
        <v>0</v>
      </c>
      <c r="I761" t="n">
        <v>0</v>
      </c>
      <c r="J761" t="n">
        <v>0</v>
      </c>
      <c r="K761" t="n">
        <v>0</v>
      </c>
      <c r="L761" t="n">
        <v>0</v>
      </c>
      <c r="M761" t="n">
        <v>0</v>
      </c>
      <c r="N761" t="n">
        <v>0</v>
      </c>
      <c r="O761" t="n">
        <v>0</v>
      </c>
      <c r="P761" t="n">
        <v>0</v>
      </c>
      <c r="Q761" t="n">
        <v>0</v>
      </c>
      <c r="R761" s="2" t="inlineStr"/>
    </row>
    <row r="762" ht="15" customHeight="1">
      <c r="A762" t="inlineStr">
        <is>
          <t>A 25340-2024</t>
        </is>
      </c>
      <c r="B762" s="1" t="n">
        <v>45462</v>
      </c>
      <c r="C762" s="1" t="n">
        <v>46131</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29237-2024</t>
        </is>
      </c>
      <c r="B763" s="1" t="n">
        <v>45482.92732638889</v>
      </c>
      <c r="C763" s="1" t="n">
        <v>46131</v>
      </c>
      <c r="D763" t="inlineStr">
        <is>
          <t>NORRBOTTENS LÄN</t>
        </is>
      </c>
      <c r="E763" t="inlineStr">
        <is>
          <t>LULEÅ</t>
        </is>
      </c>
      <c r="G763" t="n">
        <v>10.3</v>
      </c>
      <c r="H763" t="n">
        <v>0</v>
      </c>
      <c r="I763" t="n">
        <v>0</v>
      </c>
      <c r="J763" t="n">
        <v>0</v>
      </c>
      <c r="K763" t="n">
        <v>0</v>
      </c>
      <c r="L763" t="n">
        <v>0</v>
      </c>
      <c r="M763" t="n">
        <v>0</v>
      </c>
      <c r="N763" t="n">
        <v>0</v>
      </c>
      <c r="O763" t="n">
        <v>0</v>
      </c>
      <c r="P763" t="n">
        <v>0</v>
      </c>
      <c r="Q763" t="n">
        <v>0</v>
      </c>
      <c r="R763" s="2" t="inlineStr"/>
    </row>
    <row r="764" ht="15" customHeight="1">
      <c r="A764" t="inlineStr">
        <is>
          <t>A 53185-2022</t>
        </is>
      </c>
      <c r="B764" s="1" t="n">
        <v>44876.57346064815</v>
      </c>
      <c r="C764" s="1" t="n">
        <v>46131</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58547-2024</t>
        </is>
      </c>
      <c r="B765" s="1" t="n">
        <v>45635.45822916667</v>
      </c>
      <c r="C765" s="1" t="n">
        <v>46131</v>
      </c>
      <c r="D765" t="inlineStr">
        <is>
          <t>NORRBOTTENS LÄN</t>
        </is>
      </c>
      <c r="E765" t="inlineStr">
        <is>
          <t>LULEÅ</t>
        </is>
      </c>
      <c r="G765" t="n">
        <v>8</v>
      </c>
      <c r="H765" t="n">
        <v>0</v>
      </c>
      <c r="I765" t="n">
        <v>0</v>
      </c>
      <c r="J765" t="n">
        <v>0</v>
      </c>
      <c r="K765" t="n">
        <v>0</v>
      </c>
      <c r="L765" t="n">
        <v>0</v>
      </c>
      <c r="M765" t="n">
        <v>0</v>
      </c>
      <c r="N765" t="n">
        <v>0</v>
      </c>
      <c r="O765" t="n">
        <v>0</v>
      </c>
      <c r="P765" t="n">
        <v>0</v>
      </c>
      <c r="Q765" t="n">
        <v>0</v>
      </c>
      <c r="R765" s="2" t="inlineStr"/>
    </row>
    <row r="766" ht="15" customHeight="1">
      <c r="A766" t="inlineStr">
        <is>
          <t>A 804-2025</t>
        </is>
      </c>
      <c r="B766" s="1" t="n">
        <v>45664</v>
      </c>
      <c r="C766" s="1" t="n">
        <v>46131</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814-2025</t>
        </is>
      </c>
      <c r="B767" s="1" t="n">
        <v>45664</v>
      </c>
      <c r="C767" s="1" t="n">
        <v>46131</v>
      </c>
      <c r="D767" t="inlineStr">
        <is>
          <t>NORRBOTTENS LÄN</t>
        </is>
      </c>
      <c r="E767" t="inlineStr">
        <is>
          <t>LULEÅ</t>
        </is>
      </c>
      <c r="G767" t="n">
        <v>3.4</v>
      </c>
      <c r="H767" t="n">
        <v>0</v>
      </c>
      <c r="I767" t="n">
        <v>0</v>
      </c>
      <c r="J767" t="n">
        <v>0</v>
      </c>
      <c r="K767" t="n">
        <v>0</v>
      </c>
      <c r="L767" t="n">
        <v>0</v>
      </c>
      <c r="M767" t="n">
        <v>0</v>
      </c>
      <c r="N767" t="n">
        <v>0</v>
      </c>
      <c r="O767" t="n">
        <v>0</v>
      </c>
      <c r="P767" t="n">
        <v>0</v>
      </c>
      <c r="Q767" t="n">
        <v>0</v>
      </c>
      <c r="R767" s="2" t="inlineStr"/>
    </row>
    <row r="768" ht="15" customHeight="1">
      <c r="A768" t="inlineStr">
        <is>
          <t>A 2208-2024</t>
        </is>
      </c>
      <c r="B768" s="1" t="n">
        <v>45309</v>
      </c>
      <c r="C768" s="1" t="n">
        <v>46131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46131</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6986-2025</t>
        </is>
      </c>
      <c r="B770" s="1" t="n">
        <v>45701</v>
      </c>
      <c r="C770" s="1" t="n">
        <v>46131</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695-2025</t>
        </is>
      </c>
      <c r="B771" s="1" t="n">
        <v>45663</v>
      </c>
      <c r="C771" s="1" t="n">
        <v>46131</v>
      </c>
      <c r="D771" t="inlineStr">
        <is>
          <t>NORRBOTTENS LÄN</t>
        </is>
      </c>
      <c r="E771" t="inlineStr">
        <is>
          <t>LULEÅ</t>
        </is>
      </c>
      <c r="G771" t="n">
        <v>2.8</v>
      </c>
      <c r="H771" t="n">
        <v>0</v>
      </c>
      <c r="I771" t="n">
        <v>0</v>
      </c>
      <c r="J771" t="n">
        <v>0</v>
      </c>
      <c r="K771" t="n">
        <v>0</v>
      </c>
      <c r="L771" t="n">
        <v>0</v>
      </c>
      <c r="M771" t="n">
        <v>0</v>
      </c>
      <c r="N771" t="n">
        <v>0</v>
      </c>
      <c r="O771" t="n">
        <v>0</v>
      </c>
      <c r="P771" t="n">
        <v>0</v>
      </c>
      <c r="Q771" t="n">
        <v>0</v>
      </c>
      <c r="R771" s="2" t="inlineStr"/>
    </row>
    <row r="772" ht="15" customHeight="1">
      <c r="A772" t="inlineStr">
        <is>
          <t>A 61866-2023</t>
        </is>
      </c>
      <c r="B772" s="1" t="n">
        <v>45264</v>
      </c>
      <c r="C772" s="1" t="n">
        <v>46131</v>
      </c>
      <c r="D772" t="inlineStr">
        <is>
          <t>NORRBOTTENS LÄN</t>
        </is>
      </c>
      <c r="E772" t="inlineStr">
        <is>
          <t>LULEÅ</t>
        </is>
      </c>
      <c r="G772" t="n">
        <v>0.8</v>
      </c>
      <c r="H772" t="n">
        <v>0</v>
      </c>
      <c r="I772" t="n">
        <v>0</v>
      </c>
      <c r="J772" t="n">
        <v>0</v>
      </c>
      <c r="K772" t="n">
        <v>0</v>
      </c>
      <c r="L772" t="n">
        <v>0</v>
      </c>
      <c r="M772" t="n">
        <v>0</v>
      </c>
      <c r="N772" t="n">
        <v>0</v>
      </c>
      <c r="O772" t="n">
        <v>0</v>
      </c>
      <c r="P772" t="n">
        <v>0</v>
      </c>
      <c r="Q772" t="n">
        <v>0</v>
      </c>
      <c r="R772" s="2" t="inlineStr"/>
    </row>
    <row r="773" ht="15" customHeight="1">
      <c r="A773" t="inlineStr">
        <is>
          <t>A 8928-2025</t>
        </is>
      </c>
      <c r="B773" s="1" t="n">
        <v>45712</v>
      </c>
      <c r="C773" s="1" t="n">
        <v>46131</v>
      </c>
      <c r="D773" t="inlineStr">
        <is>
          <t>NORRBOTTENS LÄN</t>
        </is>
      </c>
      <c r="E773" t="inlineStr">
        <is>
          <t>LULEÅ</t>
        </is>
      </c>
      <c r="G773" t="n">
        <v>3.3</v>
      </c>
      <c r="H773" t="n">
        <v>0</v>
      </c>
      <c r="I773" t="n">
        <v>0</v>
      </c>
      <c r="J773" t="n">
        <v>0</v>
      </c>
      <c r="K773" t="n">
        <v>0</v>
      </c>
      <c r="L773" t="n">
        <v>0</v>
      </c>
      <c r="M773" t="n">
        <v>0</v>
      </c>
      <c r="N773" t="n">
        <v>0</v>
      </c>
      <c r="O773" t="n">
        <v>0</v>
      </c>
      <c r="P773" t="n">
        <v>0</v>
      </c>
      <c r="Q773" t="n">
        <v>0</v>
      </c>
      <c r="R773" s="2" t="inlineStr"/>
    </row>
    <row r="774" ht="15" customHeight="1">
      <c r="A774" t="inlineStr">
        <is>
          <t>A 1572-2025</t>
        </is>
      </c>
      <c r="B774" s="1" t="n">
        <v>45670.55724537037</v>
      </c>
      <c r="C774" s="1" t="n">
        <v>46131</v>
      </c>
      <c r="D774" t="inlineStr">
        <is>
          <t>NORRBOTTENS LÄN</t>
        </is>
      </c>
      <c r="E774" t="inlineStr">
        <is>
          <t>LULEÅ</t>
        </is>
      </c>
      <c r="G774" t="n">
        <v>5.2</v>
      </c>
      <c r="H774" t="n">
        <v>0</v>
      </c>
      <c r="I774" t="n">
        <v>0</v>
      </c>
      <c r="J774" t="n">
        <v>0</v>
      </c>
      <c r="K774" t="n">
        <v>0</v>
      </c>
      <c r="L774" t="n">
        <v>0</v>
      </c>
      <c r="M774" t="n">
        <v>0</v>
      </c>
      <c r="N774" t="n">
        <v>0</v>
      </c>
      <c r="O774" t="n">
        <v>0</v>
      </c>
      <c r="P774" t="n">
        <v>0</v>
      </c>
      <c r="Q774" t="n">
        <v>0</v>
      </c>
      <c r="R774" s="2" t="inlineStr"/>
    </row>
    <row r="775" ht="15" customHeight="1">
      <c r="A775" t="inlineStr">
        <is>
          <t>A 39816-2024</t>
        </is>
      </c>
      <c r="B775" s="1" t="n">
        <v>45553.3859837963</v>
      </c>
      <c r="C775" s="1" t="n">
        <v>46131</v>
      </c>
      <c r="D775" t="inlineStr">
        <is>
          <t>NORRBOTTENS LÄN</t>
        </is>
      </c>
      <c r="E775" t="inlineStr">
        <is>
          <t>LULEÅ</t>
        </is>
      </c>
      <c r="F775" t="inlineStr">
        <is>
          <t>Naturvårdsverket</t>
        </is>
      </c>
      <c r="G775" t="n">
        <v>11.1</v>
      </c>
      <c r="H775" t="n">
        <v>0</v>
      </c>
      <c r="I775" t="n">
        <v>0</v>
      </c>
      <c r="J775" t="n">
        <v>0</v>
      </c>
      <c r="K775" t="n">
        <v>0</v>
      </c>
      <c r="L775" t="n">
        <v>0</v>
      </c>
      <c r="M775" t="n">
        <v>0</v>
      </c>
      <c r="N775" t="n">
        <v>0</v>
      </c>
      <c r="O775" t="n">
        <v>0</v>
      </c>
      <c r="P775" t="n">
        <v>0</v>
      </c>
      <c r="Q775" t="n">
        <v>0</v>
      </c>
      <c r="R775" s="2" t="inlineStr"/>
    </row>
    <row r="776" ht="15" customHeight="1">
      <c r="A776" t="inlineStr">
        <is>
          <t>A 10377-2025</t>
        </is>
      </c>
      <c r="B776" s="1" t="n">
        <v>45720.5630787037</v>
      </c>
      <c r="C776" s="1" t="n">
        <v>46131</v>
      </c>
      <c r="D776" t="inlineStr">
        <is>
          <t>NORRBOTTENS LÄN</t>
        </is>
      </c>
      <c r="E776" t="inlineStr">
        <is>
          <t>LULEÅ</t>
        </is>
      </c>
      <c r="G776" t="n">
        <v>3</v>
      </c>
      <c r="H776" t="n">
        <v>0</v>
      </c>
      <c r="I776" t="n">
        <v>0</v>
      </c>
      <c r="J776" t="n">
        <v>0</v>
      </c>
      <c r="K776" t="n">
        <v>0</v>
      </c>
      <c r="L776" t="n">
        <v>0</v>
      </c>
      <c r="M776" t="n">
        <v>0</v>
      </c>
      <c r="N776" t="n">
        <v>0</v>
      </c>
      <c r="O776" t="n">
        <v>0</v>
      </c>
      <c r="P776" t="n">
        <v>0</v>
      </c>
      <c r="Q776" t="n">
        <v>0</v>
      </c>
      <c r="R776" s="2" t="inlineStr"/>
    </row>
    <row r="777" ht="15" customHeight="1">
      <c r="A777" t="inlineStr">
        <is>
          <t>A 20723-2021</t>
        </is>
      </c>
      <c r="B777" s="1" t="n">
        <v>44316.52800925926</v>
      </c>
      <c r="C777" s="1" t="n">
        <v>46131</v>
      </c>
      <c r="D777" t="inlineStr">
        <is>
          <t>NORRBOTTENS LÄN</t>
        </is>
      </c>
      <c r="E777" t="inlineStr">
        <is>
          <t>LULEÅ</t>
        </is>
      </c>
      <c r="G777" t="n">
        <v>7</v>
      </c>
      <c r="H777" t="n">
        <v>0</v>
      </c>
      <c r="I777" t="n">
        <v>0</v>
      </c>
      <c r="J777" t="n">
        <v>0</v>
      </c>
      <c r="K777" t="n">
        <v>0</v>
      </c>
      <c r="L777" t="n">
        <v>0</v>
      </c>
      <c r="M777" t="n">
        <v>0</v>
      </c>
      <c r="N777" t="n">
        <v>0</v>
      </c>
      <c r="O777" t="n">
        <v>0</v>
      </c>
      <c r="P777" t="n">
        <v>0</v>
      </c>
      <c r="Q777" t="n">
        <v>0</v>
      </c>
      <c r="R777" s="2" t="inlineStr"/>
    </row>
    <row r="778" ht="15" customHeight="1">
      <c r="A778" t="inlineStr">
        <is>
          <t>A 8767-2025</t>
        </is>
      </c>
      <c r="B778" s="1" t="n">
        <v>45712.58931712963</v>
      </c>
      <c r="C778" s="1" t="n">
        <v>46131</v>
      </c>
      <c r="D778" t="inlineStr">
        <is>
          <t>NORRBOTTENS LÄN</t>
        </is>
      </c>
      <c r="E778" t="inlineStr">
        <is>
          <t>LULEÅ</t>
        </is>
      </c>
      <c r="G778" t="n">
        <v>3.4</v>
      </c>
      <c r="H778" t="n">
        <v>0</v>
      </c>
      <c r="I778" t="n">
        <v>0</v>
      </c>
      <c r="J778" t="n">
        <v>0</v>
      </c>
      <c r="K778" t="n">
        <v>0</v>
      </c>
      <c r="L778" t="n">
        <v>0</v>
      </c>
      <c r="M778" t="n">
        <v>0</v>
      </c>
      <c r="N778" t="n">
        <v>0</v>
      </c>
      <c r="O778" t="n">
        <v>0</v>
      </c>
      <c r="P778" t="n">
        <v>0</v>
      </c>
      <c r="Q778" t="n">
        <v>0</v>
      </c>
      <c r="R778" s="2" t="inlineStr"/>
    </row>
    <row r="779" ht="15" customHeight="1">
      <c r="A779" t="inlineStr">
        <is>
          <t>A 11901-2025</t>
        </is>
      </c>
      <c r="B779" s="1" t="n">
        <v>45727</v>
      </c>
      <c r="C779" s="1" t="n">
        <v>46131</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12552-2024</t>
        </is>
      </c>
      <c r="B780" s="1" t="n">
        <v>45379</v>
      </c>
      <c r="C780" s="1" t="n">
        <v>46131</v>
      </c>
      <c r="D780" t="inlineStr">
        <is>
          <t>NORRBOTTENS LÄN</t>
        </is>
      </c>
      <c r="E780" t="inlineStr">
        <is>
          <t>LULEÅ</t>
        </is>
      </c>
      <c r="G780" t="n">
        <v>0.6</v>
      </c>
      <c r="H780" t="n">
        <v>0</v>
      </c>
      <c r="I780" t="n">
        <v>0</v>
      </c>
      <c r="J780" t="n">
        <v>0</v>
      </c>
      <c r="K780" t="n">
        <v>0</v>
      </c>
      <c r="L780" t="n">
        <v>0</v>
      </c>
      <c r="M780" t="n">
        <v>0</v>
      </c>
      <c r="N780" t="n">
        <v>0</v>
      </c>
      <c r="O780" t="n">
        <v>0</v>
      </c>
      <c r="P780" t="n">
        <v>0</v>
      </c>
      <c r="Q780" t="n">
        <v>0</v>
      </c>
      <c r="R780" s="2" t="inlineStr"/>
    </row>
    <row r="781" ht="15" customHeight="1">
      <c r="A781" t="inlineStr">
        <is>
          <t>A 704-2025</t>
        </is>
      </c>
      <c r="B781" s="1" t="n">
        <v>45663</v>
      </c>
      <c r="C781" s="1" t="n">
        <v>46131</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114-2025</t>
        </is>
      </c>
      <c r="B782" s="1" t="n">
        <v>45659.51113425926</v>
      </c>
      <c r="C782" s="1" t="n">
        <v>46131</v>
      </c>
      <c r="D782" t="inlineStr">
        <is>
          <t>NORRBOTTENS LÄN</t>
        </is>
      </c>
      <c r="E782" t="inlineStr">
        <is>
          <t>LULEÅ</t>
        </is>
      </c>
      <c r="G782" t="n">
        <v>3.5</v>
      </c>
      <c r="H782" t="n">
        <v>0</v>
      </c>
      <c r="I782" t="n">
        <v>0</v>
      </c>
      <c r="J782" t="n">
        <v>0</v>
      </c>
      <c r="K782" t="n">
        <v>0</v>
      </c>
      <c r="L782" t="n">
        <v>0</v>
      </c>
      <c r="M782" t="n">
        <v>0</v>
      </c>
      <c r="N782" t="n">
        <v>0</v>
      </c>
      <c r="O782" t="n">
        <v>0</v>
      </c>
      <c r="P782" t="n">
        <v>0</v>
      </c>
      <c r="Q782" t="n">
        <v>0</v>
      </c>
      <c r="R782" s="2" t="inlineStr"/>
    </row>
    <row r="783" ht="15" customHeight="1">
      <c r="A783" t="inlineStr">
        <is>
          <t>A 45857-2024</t>
        </is>
      </c>
      <c r="B783" s="1" t="n">
        <v>45580.34554398148</v>
      </c>
      <c r="C783" s="1" t="n">
        <v>46131</v>
      </c>
      <c r="D783" t="inlineStr">
        <is>
          <t>NORRBOTTENS LÄN</t>
        </is>
      </c>
      <c r="E783" t="inlineStr">
        <is>
          <t>LULEÅ</t>
        </is>
      </c>
      <c r="G783" t="n">
        <v>4.6</v>
      </c>
      <c r="H783" t="n">
        <v>0</v>
      </c>
      <c r="I783" t="n">
        <v>0</v>
      </c>
      <c r="J783" t="n">
        <v>0</v>
      </c>
      <c r="K783" t="n">
        <v>0</v>
      </c>
      <c r="L783" t="n">
        <v>0</v>
      </c>
      <c r="M783" t="n">
        <v>0</v>
      </c>
      <c r="N783" t="n">
        <v>0</v>
      </c>
      <c r="O783" t="n">
        <v>0</v>
      </c>
      <c r="P783" t="n">
        <v>0</v>
      </c>
      <c r="Q783" t="n">
        <v>0</v>
      </c>
      <c r="R783" s="2" t="inlineStr"/>
    </row>
    <row r="784" ht="15" customHeight="1">
      <c r="A784" t="inlineStr">
        <is>
          <t>A 64240-2023</t>
        </is>
      </c>
      <c r="B784" s="1" t="n">
        <v>45279</v>
      </c>
      <c r="C784" s="1" t="n">
        <v>46131</v>
      </c>
      <c r="D784" t="inlineStr">
        <is>
          <t>NORRBOTTENS LÄN</t>
        </is>
      </c>
      <c r="E784" t="inlineStr">
        <is>
          <t>LULEÅ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10885-2023</t>
        </is>
      </c>
      <c r="B785" s="1" t="n">
        <v>44985</v>
      </c>
      <c r="C785" s="1" t="n">
        <v>46131</v>
      </c>
      <c r="D785" t="inlineStr">
        <is>
          <t>NORRBOTTENS LÄN</t>
        </is>
      </c>
      <c r="E785" t="inlineStr">
        <is>
          <t>LULEÅ</t>
        </is>
      </c>
      <c r="G785" t="n">
        <v>3.1</v>
      </c>
      <c r="H785" t="n">
        <v>0</v>
      </c>
      <c r="I785" t="n">
        <v>0</v>
      </c>
      <c r="J785" t="n">
        <v>0</v>
      </c>
      <c r="K785" t="n">
        <v>0</v>
      </c>
      <c r="L785" t="n">
        <v>0</v>
      </c>
      <c r="M785" t="n">
        <v>0</v>
      </c>
      <c r="N785" t="n">
        <v>0</v>
      </c>
      <c r="O785" t="n">
        <v>0</v>
      </c>
      <c r="P785" t="n">
        <v>0</v>
      </c>
      <c r="Q785" t="n">
        <v>0</v>
      </c>
      <c r="R785" s="2" t="inlineStr"/>
    </row>
    <row r="786" ht="15" customHeight="1">
      <c r="A786" t="inlineStr">
        <is>
          <t>A 2748-2022</t>
        </is>
      </c>
      <c r="B786" s="1" t="n">
        <v>44580</v>
      </c>
      <c r="C786" s="1" t="n">
        <v>46131</v>
      </c>
      <c r="D786" t="inlineStr">
        <is>
          <t>NORRBOTTENS LÄN</t>
        </is>
      </c>
      <c r="E786" t="inlineStr">
        <is>
          <t>LULEÅ</t>
        </is>
      </c>
      <c r="G786" t="n">
        <v>4.7</v>
      </c>
      <c r="H786" t="n">
        <v>0</v>
      </c>
      <c r="I786" t="n">
        <v>0</v>
      </c>
      <c r="J786" t="n">
        <v>0</v>
      </c>
      <c r="K786" t="n">
        <v>0</v>
      </c>
      <c r="L786" t="n">
        <v>0</v>
      </c>
      <c r="M786" t="n">
        <v>0</v>
      </c>
      <c r="N786" t="n">
        <v>0</v>
      </c>
      <c r="O786" t="n">
        <v>0</v>
      </c>
      <c r="P786" t="n">
        <v>0</v>
      </c>
      <c r="Q786" t="n">
        <v>0</v>
      </c>
      <c r="R786" s="2" t="inlineStr"/>
    </row>
    <row r="787" ht="15" customHeight="1">
      <c r="A787" t="inlineStr">
        <is>
          <t>A 700-2025</t>
        </is>
      </c>
      <c r="B787" s="1" t="n">
        <v>45663</v>
      </c>
      <c r="C787" s="1" t="n">
        <v>46131</v>
      </c>
      <c r="D787" t="inlineStr">
        <is>
          <t>NORRBOTTENS LÄN</t>
        </is>
      </c>
      <c r="E787" t="inlineStr">
        <is>
          <t>LULEÅ</t>
        </is>
      </c>
      <c r="G787" t="n">
        <v>0.8</v>
      </c>
      <c r="H787" t="n">
        <v>0</v>
      </c>
      <c r="I787" t="n">
        <v>0</v>
      </c>
      <c r="J787" t="n">
        <v>0</v>
      </c>
      <c r="K787" t="n">
        <v>0</v>
      </c>
      <c r="L787" t="n">
        <v>0</v>
      </c>
      <c r="M787" t="n">
        <v>0</v>
      </c>
      <c r="N787" t="n">
        <v>0</v>
      </c>
      <c r="O787" t="n">
        <v>0</v>
      </c>
      <c r="P787" t="n">
        <v>0</v>
      </c>
      <c r="Q787" t="n">
        <v>0</v>
      </c>
      <c r="R787" s="2" t="inlineStr"/>
    </row>
    <row r="788" ht="15" customHeight="1">
      <c r="A788" t="inlineStr">
        <is>
          <t>A 2659-2025</t>
        </is>
      </c>
      <c r="B788" s="1" t="n">
        <v>45676.8134375</v>
      </c>
      <c r="C788" s="1" t="n">
        <v>46131</v>
      </c>
      <c r="D788" t="inlineStr">
        <is>
          <t>NORRBOTTENS LÄN</t>
        </is>
      </c>
      <c r="E788" t="inlineStr">
        <is>
          <t>LULEÅ</t>
        </is>
      </c>
      <c r="G788" t="n">
        <v>1.2</v>
      </c>
      <c r="H788" t="n">
        <v>0</v>
      </c>
      <c r="I788" t="n">
        <v>0</v>
      </c>
      <c r="J788" t="n">
        <v>0</v>
      </c>
      <c r="K788" t="n">
        <v>0</v>
      </c>
      <c r="L788" t="n">
        <v>0</v>
      </c>
      <c r="M788" t="n">
        <v>0</v>
      </c>
      <c r="N788" t="n">
        <v>0</v>
      </c>
      <c r="O788" t="n">
        <v>0</v>
      </c>
      <c r="P788" t="n">
        <v>0</v>
      </c>
      <c r="Q788" t="n">
        <v>0</v>
      </c>
      <c r="R788" s="2" t="inlineStr"/>
    </row>
    <row r="789" ht="15" customHeight="1">
      <c r="A789" t="inlineStr">
        <is>
          <t>A 454-2024</t>
        </is>
      </c>
      <c r="B789" s="1" t="n">
        <v>45296</v>
      </c>
      <c r="C789" s="1" t="n">
        <v>46131</v>
      </c>
      <c r="D789" t="inlineStr">
        <is>
          <t>NORRBOTTENS LÄN</t>
        </is>
      </c>
      <c r="E789" t="inlineStr">
        <is>
          <t>LULEÅ</t>
        </is>
      </c>
      <c r="G789" t="n">
        <v>0.7</v>
      </c>
      <c r="H789" t="n">
        <v>0</v>
      </c>
      <c r="I789" t="n">
        <v>0</v>
      </c>
      <c r="J789" t="n">
        <v>0</v>
      </c>
      <c r="K789" t="n">
        <v>0</v>
      </c>
      <c r="L789" t="n">
        <v>0</v>
      </c>
      <c r="M789" t="n">
        <v>0</v>
      </c>
      <c r="N789" t="n">
        <v>0</v>
      </c>
      <c r="O789" t="n">
        <v>0</v>
      </c>
      <c r="P789" t="n">
        <v>0</v>
      </c>
      <c r="Q789" t="n">
        <v>0</v>
      </c>
      <c r="R789" s="2" t="inlineStr"/>
    </row>
    <row r="790" ht="15" customHeight="1">
      <c r="A790" t="inlineStr">
        <is>
          <t>A 3128-2023</t>
        </is>
      </c>
      <c r="B790" s="1" t="n">
        <v>44946</v>
      </c>
      <c r="C790" s="1" t="n">
        <v>46131</v>
      </c>
      <c r="D790" t="inlineStr">
        <is>
          <t>NORRBOTTENS LÄN</t>
        </is>
      </c>
      <c r="E790" t="inlineStr">
        <is>
          <t>LULEÅ</t>
        </is>
      </c>
      <c r="G790" t="n">
        <v>5</v>
      </c>
      <c r="H790" t="n">
        <v>0</v>
      </c>
      <c r="I790" t="n">
        <v>0</v>
      </c>
      <c r="J790" t="n">
        <v>0</v>
      </c>
      <c r="K790" t="n">
        <v>0</v>
      </c>
      <c r="L790" t="n">
        <v>0</v>
      </c>
      <c r="M790" t="n">
        <v>0</v>
      </c>
      <c r="N790" t="n">
        <v>0</v>
      </c>
      <c r="O790" t="n">
        <v>0</v>
      </c>
      <c r="P790" t="n">
        <v>0</v>
      </c>
      <c r="Q790" t="n">
        <v>0</v>
      </c>
      <c r="R790" s="2" t="inlineStr"/>
    </row>
    <row r="791" ht="15" customHeight="1">
      <c r="A791" t="inlineStr">
        <is>
          <t>A 57823-2022</t>
        </is>
      </c>
      <c r="B791" s="1" t="n">
        <v>44897</v>
      </c>
      <c r="C791" s="1" t="n">
        <v>46131</v>
      </c>
      <c r="D791" t="inlineStr">
        <is>
          <t>NORRBOTTENS LÄN</t>
        </is>
      </c>
      <c r="E791" t="inlineStr">
        <is>
          <t>LULEÅ</t>
        </is>
      </c>
      <c r="G791" t="n">
        <v>6.7</v>
      </c>
      <c r="H791" t="n">
        <v>0</v>
      </c>
      <c r="I791" t="n">
        <v>0</v>
      </c>
      <c r="J791" t="n">
        <v>0</v>
      </c>
      <c r="K791" t="n">
        <v>0</v>
      </c>
      <c r="L791" t="n">
        <v>0</v>
      </c>
      <c r="M791" t="n">
        <v>0</v>
      </c>
      <c r="N791" t="n">
        <v>0</v>
      </c>
      <c r="O791" t="n">
        <v>0</v>
      </c>
      <c r="P791" t="n">
        <v>0</v>
      </c>
      <c r="Q791" t="n">
        <v>0</v>
      </c>
      <c r="R791" s="2" t="inlineStr"/>
    </row>
    <row r="792" ht="15" customHeight="1">
      <c r="A792" t="inlineStr">
        <is>
          <t>A 57825-2022</t>
        </is>
      </c>
      <c r="B792" s="1" t="n">
        <v>44897</v>
      </c>
      <c r="C792" s="1" t="n">
        <v>46131</v>
      </c>
      <c r="D792" t="inlineStr">
        <is>
          <t>NORRBOTTENS LÄN</t>
        </is>
      </c>
      <c r="E792" t="inlineStr">
        <is>
          <t>LULEÅ</t>
        </is>
      </c>
      <c r="G792" t="n">
        <v>2.2</v>
      </c>
      <c r="H792" t="n">
        <v>0</v>
      </c>
      <c r="I792" t="n">
        <v>0</v>
      </c>
      <c r="J792" t="n">
        <v>0</v>
      </c>
      <c r="K792" t="n">
        <v>0</v>
      </c>
      <c r="L792" t="n">
        <v>0</v>
      </c>
      <c r="M792" t="n">
        <v>0</v>
      </c>
      <c r="N792" t="n">
        <v>0</v>
      </c>
      <c r="O792" t="n">
        <v>0</v>
      </c>
      <c r="P792" t="n">
        <v>0</v>
      </c>
      <c r="Q792" t="n">
        <v>0</v>
      </c>
      <c r="R792" s="2" t="inlineStr"/>
    </row>
    <row r="793" ht="15" customHeight="1">
      <c r="A793" t="inlineStr">
        <is>
          <t>A 50640-2024</t>
        </is>
      </c>
      <c r="B793" s="1" t="n">
        <v>45601.67827546296</v>
      </c>
      <c r="C793" s="1" t="n">
        <v>46131</v>
      </c>
      <c r="D793" t="inlineStr">
        <is>
          <t>NORRBOTTENS LÄN</t>
        </is>
      </c>
      <c r="E793" t="inlineStr">
        <is>
          <t>LULEÅ</t>
        </is>
      </c>
      <c r="G793" t="n">
        <v>3</v>
      </c>
      <c r="H793" t="n">
        <v>0</v>
      </c>
      <c r="I793" t="n">
        <v>0</v>
      </c>
      <c r="J793" t="n">
        <v>0</v>
      </c>
      <c r="K793" t="n">
        <v>0</v>
      </c>
      <c r="L793" t="n">
        <v>0</v>
      </c>
      <c r="M793" t="n">
        <v>0</v>
      </c>
      <c r="N793" t="n">
        <v>0</v>
      </c>
      <c r="O793" t="n">
        <v>0</v>
      </c>
      <c r="P793" t="n">
        <v>0</v>
      </c>
      <c r="Q793" t="n">
        <v>0</v>
      </c>
      <c r="R793" s="2" t="inlineStr"/>
    </row>
    <row r="794" ht="15" customHeight="1">
      <c r="A794" t="inlineStr">
        <is>
          <t>A 17304-2025</t>
        </is>
      </c>
      <c r="B794" s="1" t="n">
        <v>45756</v>
      </c>
      <c r="C794" s="1" t="n">
        <v>46131</v>
      </c>
      <c r="D794" t="inlineStr">
        <is>
          <t>NORRBOTTENS LÄN</t>
        </is>
      </c>
      <c r="E794" t="inlineStr">
        <is>
          <t>LULEÅ</t>
        </is>
      </c>
      <c r="G794" t="n">
        <v>2.8</v>
      </c>
      <c r="H794" t="n">
        <v>0</v>
      </c>
      <c r="I794" t="n">
        <v>0</v>
      </c>
      <c r="J794" t="n">
        <v>0</v>
      </c>
      <c r="K794" t="n">
        <v>0</v>
      </c>
      <c r="L794" t="n">
        <v>0</v>
      </c>
      <c r="M794" t="n">
        <v>0</v>
      </c>
      <c r="N794" t="n">
        <v>0</v>
      </c>
      <c r="O794" t="n">
        <v>0</v>
      </c>
      <c r="P794" t="n">
        <v>0</v>
      </c>
      <c r="Q794" t="n">
        <v>0</v>
      </c>
      <c r="R794" s="2" t="inlineStr"/>
    </row>
    <row r="795" ht="15" customHeight="1">
      <c r="A795" t="inlineStr">
        <is>
          <t>A 17306-2025</t>
        </is>
      </c>
      <c r="B795" s="1" t="n">
        <v>45756.60434027778</v>
      </c>
      <c r="C795" s="1" t="n">
        <v>46131</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59609-2024</t>
        </is>
      </c>
      <c r="B796" s="1" t="n">
        <v>45638.75081018519</v>
      </c>
      <c r="C796" s="1" t="n">
        <v>46131</v>
      </c>
      <c r="D796" t="inlineStr">
        <is>
          <t>NORRBOTTENS LÄN</t>
        </is>
      </c>
      <c r="E796" t="inlineStr">
        <is>
          <t>LULEÅ</t>
        </is>
      </c>
      <c r="G796" t="n">
        <v>1.5</v>
      </c>
      <c r="H796" t="n">
        <v>0</v>
      </c>
      <c r="I796" t="n">
        <v>0</v>
      </c>
      <c r="J796" t="n">
        <v>0</v>
      </c>
      <c r="K796" t="n">
        <v>0</v>
      </c>
      <c r="L796" t="n">
        <v>0</v>
      </c>
      <c r="M796" t="n">
        <v>0</v>
      </c>
      <c r="N796" t="n">
        <v>0</v>
      </c>
      <c r="O796" t="n">
        <v>0</v>
      </c>
      <c r="P796" t="n">
        <v>0</v>
      </c>
      <c r="Q796" t="n">
        <v>0</v>
      </c>
      <c r="R796" s="2" t="inlineStr"/>
    </row>
    <row r="797" ht="15" customHeight="1">
      <c r="A797" t="inlineStr">
        <is>
          <t>A 5058-2025</t>
        </is>
      </c>
      <c r="B797" s="1" t="n">
        <v>45691.46903935185</v>
      </c>
      <c r="C797" s="1" t="n">
        <v>46131</v>
      </c>
      <c r="D797" t="inlineStr">
        <is>
          <t>NORRBOTTENS LÄN</t>
        </is>
      </c>
      <c r="E797" t="inlineStr">
        <is>
          <t>LULEÅ</t>
        </is>
      </c>
      <c r="G797" t="n">
        <v>1.2</v>
      </c>
      <c r="H797" t="n">
        <v>0</v>
      </c>
      <c r="I797" t="n">
        <v>0</v>
      </c>
      <c r="J797" t="n">
        <v>0</v>
      </c>
      <c r="K797" t="n">
        <v>0</v>
      </c>
      <c r="L797" t="n">
        <v>0</v>
      </c>
      <c r="M797" t="n">
        <v>0</v>
      </c>
      <c r="N797" t="n">
        <v>0</v>
      </c>
      <c r="O797" t="n">
        <v>0</v>
      </c>
      <c r="P797" t="n">
        <v>0</v>
      </c>
      <c r="Q797" t="n">
        <v>0</v>
      </c>
      <c r="R797" s="2" t="inlineStr"/>
    </row>
    <row r="798" ht="15" customHeight="1">
      <c r="A798" t="inlineStr">
        <is>
          <t>A 37935-2024</t>
        </is>
      </c>
      <c r="B798" s="1" t="n">
        <v>45544</v>
      </c>
      <c r="C798" s="1" t="n">
        <v>46131</v>
      </c>
      <c r="D798" t="inlineStr">
        <is>
          <t>NORRBOTTENS LÄN</t>
        </is>
      </c>
      <c r="E798" t="inlineStr">
        <is>
          <t>LULEÅ</t>
        </is>
      </c>
      <c r="G798" t="n">
        <v>3.3</v>
      </c>
      <c r="H798" t="n">
        <v>0</v>
      </c>
      <c r="I798" t="n">
        <v>0</v>
      </c>
      <c r="J798" t="n">
        <v>0</v>
      </c>
      <c r="K798" t="n">
        <v>0</v>
      </c>
      <c r="L798" t="n">
        <v>0</v>
      </c>
      <c r="M798" t="n">
        <v>0</v>
      </c>
      <c r="N798" t="n">
        <v>0</v>
      </c>
      <c r="O798" t="n">
        <v>0</v>
      </c>
      <c r="P798" t="n">
        <v>0</v>
      </c>
      <c r="Q798" t="n">
        <v>0</v>
      </c>
      <c r="R798" s="2" t="inlineStr"/>
    </row>
    <row r="799" ht="15" customHeight="1">
      <c r="A799" t="inlineStr">
        <is>
          <t>A 21597-2024</t>
        </is>
      </c>
      <c r="B799" s="1" t="n">
        <v>45441.9291087963</v>
      </c>
      <c r="C799" s="1" t="n">
        <v>46131</v>
      </c>
      <c r="D799" t="inlineStr">
        <is>
          <t>NORRBOTTENS LÄN</t>
        </is>
      </c>
      <c r="E799" t="inlineStr">
        <is>
          <t>LULEÅ</t>
        </is>
      </c>
      <c r="G799" t="n">
        <v>3.7</v>
      </c>
      <c r="H799" t="n">
        <v>0</v>
      </c>
      <c r="I799" t="n">
        <v>0</v>
      </c>
      <c r="J799" t="n">
        <v>0</v>
      </c>
      <c r="K799" t="n">
        <v>0</v>
      </c>
      <c r="L799" t="n">
        <v>0</v>
      </c>
      <c r="M799" t="n">
        <v>0</v>
      </c>
      <c r="N799" t="n">
        <v>0</v>
      </c>
      <c r="O799" t="n">
        <v>0</v>
      </c>
      <c r="P799" t="n">
        <v>0</v>
      </c>
      <c r="Q799" t="n">
        <v>0</v>
      </c>
      <c r="R799" s="2" t="inlineStr"/>
    </row>
    <row r="800" ht="15" customHeight="1">
      <c r="A800" t="inlineStr">
        <is>
          <t>A 806-2025</t>
        </is>
      </c>
      <c r="B800" s="1" t="n">
        <v>45664</v>
      </c>
      <c r="C800" s="1" t="n">
        <v>46131</v>
      </c>
      <c r="D800" t="inlineStr">
        <is>
          <t>NORRBOTTENS LÄN</t>
        </is>
      </c>
      <c r="E800" t="inlineStr">
        <is>
          <t>LULEÅ</t>
        </is>
      </c>
      <c r="G800" t="n">
        <v>0.6</v>
      </c>
      <c r="H800" t="n">
        <v>0</v>
      </c>
      <c r="I800" t="n">
        <v>0</v>
      </c>
      <c r="J800" t="n">
        <v>0</v>
      </c>
      <c r="K800" t="n">
        <v>0</v>
      </c>
      <c r="L800" t="n">
        <v>0</v>
      </c>
      <c r="M800" t="n">
        <v>0</v>
      </c>
      <c r="N800" t="n">
        <v>0</v>
      </c>
      <c r="O800" t="n">
        <v>0</v>
      </c>
      <c r="P800" t="n">
        <v>0</v>
      </c>
      <c r="Q800" t="n">
        <v>0</v>
      </c>
      <c r="R800" s="2" t="inlineStr"/>
    </row>
    <row r="801" ht="15" customHeight="1">
      <c r="A801" t="inlineStr">
        <is>
          <t>A 31039-2024</t>
        </is>
      </c>
      <c r="B801" s="1" t="n">
        <v>45501.91951388889</v>
      </c>
      <c r="C801" s="1" t="n">
        <v>46131</v>
      </c>
      <c r="D801" t="inlineStr">
        <is>
          <t>NORRBOTTENS LÄN</t>
        </is>
      </c>
      <c r="E801" t="inlineStr">
        <is>
          <t>LULEÅ</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4920-2025</t>
        </is>
      </c>
      <c r="B802" s="1" t="n">
        <v>45688.68412037037</v>
      </c>
      <c r="C802" s="1" t="n">
        <v>46131</v>
      </c>
      <c r="D802" t="inlineStr">
        <is>
          <t>NORRBOTTENS LÄN</t>
        </is>
      </c>
      <c r="E802" t="inlineStr">
        <is>
          <t>LULEÅ</t>
        </is>
      </c>
      <c r="G802" t="n">
        <v>6.4</v>
      </c>
      <c r="H802" t="n">
        <v>0</v>
      </c>
      <c r="I802" t="n">
        <v>0</v>
      </c>
      <c r="J802" t="n">
        <v>0</v>
      </c>
      <c r="K802" t="n">
        <v>0</v>
      </c>
      <c r="L802" t="n">
        <v>0</v>
      </c>
      <c r="M802" t="n">
        <v>0</v>
      </c>
      <c r="N802" t="n">
        <v>0</v>
      </c>
      <c r="O802" t="n">
        <v>0</v>
      </c>
      <c r="P802" t="n">
        <v>0</v>
      </c>
      <c r="Q802" t="n">
        <v>0</v>
      </c>
      <c r="R802" s="2" t="inlineStr"/>
    </row>
    <row r="803">
      <c r="A803" t="inlineStr">
        <is>
          <t>A 60584-2024</t>
        </is>
      </c>
      <c r="B803" s="1" t="n">
        <v>45644.34611111111</v>
      </c>
      <c r="C803" s="1" t="n">
        <v>46131</v>
      </c>
      <c r="D803" t="inlineStr">
        <is>
          <t>NORRBOTTENS LÄN</t>
        </is>
      </c>
      <c r="E803" t="inlineStr">
        <is>
          <t>LULEÅ</t>
        </is>
      </c>
      <c r="G803" t="n">
        <v>0.6</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2026-04-19T10:26:40Z</dcterms:created>
  <dcterms:modified xmlns:dcterms="http://purl.org/dc/terms/" xmlns:xsi="http://www.w3.org/2001/XMLSchema-instance" xsi:type="dcterms:W3CDTF">2026-04-19T10:26:41Z</dcterms:modified>
</cp:coreProperties>
</file>