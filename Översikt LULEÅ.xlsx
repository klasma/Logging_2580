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45849</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45849</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45849</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45849</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45849</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45849</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45849</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45849</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45849</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45849</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45849</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45849</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45849</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45849</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45849</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45849</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45849</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45849</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45849</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45849</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45849</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45849</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45849</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45849</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45849</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45849</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45849</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45849</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45849</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45849</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45849</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45849</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45849</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45849</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45849</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45849</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45849</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45849</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45849</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45849</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45849</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45849</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45849</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45849</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45849</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45849</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45849</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45849</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45849</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45849</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45849</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45849</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45849</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45849</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45849</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45849</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45849</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45849</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45849</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45849</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45849</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45849</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45849</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45849</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45849</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45849</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45849</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45849</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45849</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45849</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45849</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45849</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45849</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45849</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45849</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45849</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45849</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45849</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45849</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45849</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45849</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45849</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45849</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45849</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45849</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45849</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45849</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45849</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45849</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45849</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45849</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45849</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45849</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45849</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45849</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45849</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45849</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45849</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45849</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45849</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45849</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45849</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45849</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45849</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45849</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45849</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45849</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45849</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45849</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45849</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45849</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45849</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45849</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45849</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45849</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45849</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45849</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45849</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45849</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45849</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45849</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45849</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45849</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45849</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45849</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45849</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45849</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45849</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45849</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45849</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45849</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45849</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45849</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45849</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45849</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45849</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45849</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45849</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45849</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45849</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45849</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45849</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45849</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45849</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45849</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45849</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45849</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45849</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45849</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45849</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45849</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45849</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45849</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45849</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45849</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45849</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45849</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45849</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45849</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45849</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45849</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45849</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45849</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45849</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45849</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45849</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45849</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45849</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45849</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45849</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45849</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45849</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45849</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45849</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45849</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45849</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45849</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45849</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45849</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45849</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45849</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45849</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45849</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45849</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45849</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45849</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45849</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45849</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45849</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45849</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45849</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45849</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45849</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45849</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45849</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45849</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45849</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45849</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45849</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45849</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45849</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45849</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45849</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45849</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45849</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45849</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45849</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45849</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45849</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45849</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45849</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45849</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45849</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45849</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45849</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45849</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45849</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45849</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45849</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45849</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45849</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45849</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45849</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45849</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45849</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45849</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45849</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45849</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45849</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45849</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45849</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45849</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45849</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45849</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45849</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45849</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45849</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45849</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45849</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45849</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45849</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45849</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45849</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45849</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45849</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45849</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45849</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45849</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45849</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45849</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45849</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45849</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45849</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45849</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45849</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45849</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45849</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45849</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45849</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45849</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45849</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45849</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45849</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45849</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45849</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45849</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45849</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45849</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45849</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45849</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45849</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45849</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45849</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45849</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45849</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45849</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45849</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45849</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45849</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45849</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45849</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45849</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45849</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45849</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45849</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45849</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45849</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45849</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45849</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45849</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45849</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45849</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45849</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45849</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45849</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45849</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45849</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45849</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45849</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45849</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45849</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45849</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45849</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45849</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45849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45849</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45849</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45849</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45849</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45849</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45849</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45849</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45849</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45849</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45849</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45849</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45849</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45849</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45849</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45849</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45849</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45849</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45849</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45849</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45849</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45849</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45849</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45849</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45849</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45849</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45849</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45849</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45849</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45849</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45849</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45849</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45849</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45849</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45849</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45849</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45849</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45849</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45849</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45849</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45849</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45849</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45849</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45849</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45849</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45849</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45849</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45849</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45849</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45849</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45849</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45849</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45849</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45849</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45849</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45849</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45849</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45849</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45849</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45849</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45849</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45849</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45849</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45849</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45849</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45849</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45849</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45849</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45849</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45849</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45849</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45849</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45849</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45849</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45849</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45849</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45849</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45849</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45849</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45849</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45849</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45849</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45849</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45849</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45849</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45849</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45849</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45849</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45849</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45849</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45849</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45849</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45849</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45849</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45849</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45849</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45849</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45849</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45849</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45849</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45849</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45849</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45849</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45849</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45849</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45849</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45849</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45849</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45849</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45849</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45849</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45849</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45849</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45849</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45849</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45849</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45849</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45849</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45849</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45849</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45849</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45849</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45849</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45849</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45849</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45849</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45849</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45849</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45849</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45849</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45849</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45849</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45849</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45849</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45849</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45849</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45849</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45849</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45849</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45849</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45849</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45849</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45849</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45849</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45849</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45849</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45849</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45849</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45849</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45849</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45849</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45849</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45849</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45849</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45849</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45849</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45849</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45849</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45849</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45849</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45849</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45849</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45849</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45849</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45849</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45849</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45849</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45849</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45849</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45849</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45849</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45849</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45849</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45849</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45849</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45849</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45849</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45849</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45849</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45849</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45849</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45849</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45849</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45849</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45849</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45849</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45849</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45849</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45849</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45849</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45849</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45849</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45849</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45849</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45849</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45849</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45849</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45849</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45849</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45849</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45849</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45849</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45849</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45849</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45849</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45849</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45849</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45849</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45849</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45849</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45849</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45849</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45849</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45849</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45849</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45849</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45849</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45849</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45849</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45849</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45849</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45849</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45849</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45849</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45849</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45849</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45849</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45849</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45849</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45849</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45849</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45849</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45849</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45849</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45849</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45849</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45849</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45849</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45849</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45849</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45849</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45849</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45849</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45849</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45849</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45849</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45849</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45849</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45849</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45849</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45849</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45849</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45849</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45849</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45849</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45849</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45849</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45849</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45849</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45849</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45849</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45849</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45849</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45849</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45849</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45849</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45849</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45849</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45849</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45849</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45849</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45849</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45849</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45849</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45849</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45849</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45849</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45849</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45849</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45849</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45849</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45849</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45849</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45849</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45849</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45849</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45849</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45849</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45849</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45849</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45849</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45849</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45849</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45849</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45849</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45849</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45849</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45849</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45849</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45849</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45849</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45849</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45849</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45849</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45849</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45849</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45849</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45849</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45849</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45849</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45849</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45849</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45849</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45849</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45849</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45849</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45849</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45849</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45849</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45849</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45849</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45849</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45849</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45849</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45849</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45849</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45849</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45849</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45849</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45849</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45849</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45849</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45849</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45849</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45849</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45849</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45849</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45849</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45849</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45849</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45849</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45849</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45849</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45849</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45849</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45849</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45849</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45849</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45849</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45849</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45849</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45849</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45849</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45849</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45849</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45849</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45849</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45849</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45849</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45849</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45849</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45849</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45849</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45849</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45849</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45849</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45849</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45849</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45849</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45849</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45849</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45849</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45849</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45849</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45849</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45849</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45849</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45849</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45849</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45849</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45849</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45849</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45849</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45849</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45849</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45849</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45849</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45849</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45849</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45849</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45849</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45849</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45849</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45849</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45849</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45849</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45849</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45849</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45849</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45849</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45849</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45849</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45849</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45849</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45849</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45849</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45849</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45849</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45849</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45849</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45849</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45849</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45849</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45849</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45849</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45849</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45849</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45849</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45849</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45849</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45849</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45849</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45849</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45849</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45849</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45849</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45849</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45849</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45849</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45849</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45849</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45849</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45849</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45849</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45849</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45849</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45849</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45849</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45849</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45849</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45849</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45849</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45849</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45849</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45849</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45849</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45849</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45849</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45849</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45849</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45849</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45849</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45849</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45849</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45849</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45849</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45849</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45849</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45849</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45849</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45849</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45849</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45849</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45849</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45849</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45849</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45849</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45849</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45849</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45849</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45849</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45849</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45849</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45849</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45849</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45849</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45849</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45849</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45849</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45849</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45849</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45849</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45849</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45849</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45849</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45849</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45849</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45849</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45849</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45849</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45849</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45849</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45849</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45849</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45849</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45849</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45849</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45849</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45849</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45849</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45849</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45849</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45849</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45849</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45849</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45849</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45849</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45849</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45849</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45849</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45849</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45849</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45849</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45849</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45849</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45849</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45849</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45849</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45849</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45849</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45849</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45849</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45849</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45849</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45849</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45849</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45849</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45849</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45849</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45849</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45849</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45849</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45849</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45849</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45849</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45849</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45849</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45849</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45849</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45849</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45849</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45849</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45849</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45849</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45849</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45849</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45849</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45849</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45849</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45849</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45849</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45849</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45849</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45849</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45849</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45849</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45849</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45849</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45849</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45849</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45849</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45849</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45849</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45849</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45849</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45849</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45849</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45849</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45849</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45849</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45849</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45849</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45849</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45849</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45849</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45849</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45849</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45849</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45849</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45849</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45849</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45849</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45849</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45849</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45849</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45849</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45849</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45849</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45849</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45849</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45849</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45849</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45849</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45849</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45849</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45849</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45849</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45849</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45849</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45849</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45849</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45849</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45849</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45849</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45849</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45849</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45849</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45849</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45849</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45849</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45849</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45849</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45849</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45849</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45849</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45849</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45849</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45849</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45849</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45849</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45849</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45849</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45849</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45849</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45849</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45849</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45849</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45849</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45849</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45849</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45849</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45849</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45849</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45849</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45849</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45849</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45849</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45849</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45849</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45849</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45849</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45849</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45849</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45849</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45849</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45849</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45849</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45849</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45849</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45849</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45849</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45849</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45849</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45849</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45849</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45849</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45849</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45849</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45849</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45849</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45849</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45849</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45849</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45849</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45849</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45849</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45849</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45849</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45849</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45849</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45849</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45849</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45849</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45849</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45849</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45849</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45849</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45849</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45849</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45849</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45849</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45849</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45849</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45849</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45849</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45849</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45849</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45849</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45849</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45849</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45849</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45849</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45849</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45849</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45849</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45849</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45849</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45849</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45849</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45849</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45849</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45849</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45849</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45849</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45849</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45849</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45849</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45849</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45849</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45849</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45849</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45849</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45849</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45849</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45849</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45849</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45849</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45849</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45849</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45849</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45849</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45849</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45849</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45849</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45849</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45849</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45849</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45849</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45849</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45849</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45849</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45849</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45849</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45849</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45849</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45849</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45849</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45849</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45849</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45849</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45849</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45849</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45849</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45849</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45849</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45849</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45849</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45849</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45849</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45849</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45849</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45849</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45849</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45849</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45849</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45849</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45849</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45849</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45849</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45849</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45849</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45849</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45849</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45849</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45849</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45849</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45849</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45849</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45849</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45849</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45849</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45849</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45849</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45849</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45849</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45849</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45849</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45849</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45849</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45849</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45849</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45849</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45849</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45849</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45849</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45849</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45849</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45849</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45849</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45849</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45849</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45849</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45849</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45849</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45849</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45849</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45849</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45849</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45849</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45849</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45849</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45849</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45849</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45849</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45849</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45849</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45849</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45849</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45849</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45849</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45849</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29375-2025</t>
        </is>
      </c>
      <c r="B1126" s="1" t="n">
        <v>45824</v>
      </c>
      <c r="C1126" s="1" t="n">
        <v>45849</v>
      </c>
      <c r="D1126" t="inlineStr">
        <is>
          <t>NORRBOTTENS LÄN</t>
        </is>
      </c>
      <c r="E1126" t="inlineStr">
        <is>
          <t>LULEÅ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45849</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45849</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29975-2025</t>
        </is>
      </c>
      <c r="B1129" s="1" t="n">
        <v>45826</v>
      </c>
      <c r="C1129" s="1" t="n">
        <v>45849</v>
      </c>
      <c r="D1129" t="inlineStr">
        <is>
          <t>NORRBOTTENS LÄN</t>
        </is>
      </c>
      <c r="E1129" t="inlineStr">
        <is>
          <t>LULEÅ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30035-2025</t>
        </is>
      </c>
      <c r="B1130" s="1" t="n">
        <v>45826</v>
      </c>
      <c r="C1130" s="1" t="n">
        <v>45849</v>
      </c>
      <c r="D1130" t="inlineStr">
        <is>
          <t>NORRBOTTENS LÄN</t>
        </is>
      </c>
      <c r="E1130" t="inlineStr">
        <is>
          <t>LULEÅ</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30065-2025</t>
        </is>
      </c>
      <c r="B1131" s="1" t="n">
        <v>45826</v>
      </c>
      <c r="C1131" s="1" t="n">
        <v>45849</v>
      </c>
      <c r="D1131" t="inlineStr">
        <is>
          <t>NORRBOTTENS LÄN</t>
        </is>
      </c>
      <c r="E1131" t="inlineStr">
        <is>
          <t>LULEÅ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30080-2025</t>
        </is>
      </c>
      <c r="B1132" s="1" t="n">
        <v>45826</v>
      </c>
      <c r="C1132" s="1" t="n">
        <v>45849</v>
      </c>
      <c r="D1132" t="inlineStr">
        <is>
          <t>NORRBOTTENS LÄN</t>
        </is>
      </c>
      <c r="E1132" t="inlineStr">
        <is>
          <t>LULEÅ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29896-2025</t>
        </is>
      </c>
      <c r="B1133" s="1" t="n">
        <v>45826</v>
      </c>
      <c r="C1133" s="1" t="n">
        <v>45849</v>
      </c>
      <c r="D1133" t="inlineStr">
        <is>
          <t>NORRBOTTENS LÄN</t>
        </is>
      </c>
      <c r="E1133" t="inlineStr">
        <is>
          <t>LULEÅ</t>
        </is>
      </c>
      <c r="G1133" t="n">
        <v>17.9</v>
      </c>
      <c r="H1133" t="n">
        <v>0</v>
      </c>
      <c r="I1133" t="n">
        <v>0</v>
      </c>
      <c r="J1133" t="n">
        <v>0</v>
      </c>
      <c r="K1133" t="n">
        <v>0</v>
      </c>
      <c r="L1133" t="n">
        <v>0</v>
      </c>
      <c r="M1133" t="n">
        <v>0</v>
      </c>
      <c r="N1133" t="n">
        <v>0</v>
      </c>
      <c r="O1133" t="n">
        <v>0</v>
      </c>
      <c r="P1133" t="n">
        <v>0</v>
      </c>
      <c r="Q1133" t="n">
        <v>0</v>
      </c>
      <c r="R1133" s="2" t="inlineStr"/>
    </row>
    <row r="1134" ht="15" customHeight="1">
      <c r="A1134" t="inlineStr">
        <is>
          <t>A 30059-2025</t>
        </is>
      </c>
      <c r="B1134" s="1" t="n">
        <v>45826</v>
      </c>
      <c r="C1134" s="1" t="n">
        <v>45849</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30056-2025</t>
        </is>
      </c>
      <c r="B1135" s="1" t="n">
        <v>45826</v>
      </c>
      <c r="C1135" s="1" t="n">
        <v>45849</v>
      </c>
      <c r="D1135" t="inlineStr">
        <is>
          <t>NORRBOTTENS LÄN</t>
        </is>
      </c>
      <c r="E1135" t="inlineStr">
        <is>
          <t>LULEÅ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30052-2025</t>
        </is>
      </c>
      <c r="B1136" s="1" t="n">
        <v>45826</v>
      </c>
      <c r="C1136" s="1" t="n">
        <v>45849</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30048-2025</t>
        </is>
      </c>
      <c r="B1137" s="1" t="n">
        <v>45826</v>
      </c>
      <c r="C1137" s="1" t="n">
        <v>45849</v>
      </c>
      <c r="D1137" t="inlineStr">
        <is>
          <t>NORRBOTTENS LÄN</t>
        </is>
      </c>
      <c r="E1137" t="inlineStr">
        <is>
          <t>LULEÅ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30091-2025</t>
        </is>
      </c>
      <c r="B1138" s="1" t="n">
        <v>45826</v>
      </c>
      <c r="C1138" s="1" t="n">
        <v>45849</v>
      </c>
      <c r="D1138" t="inlineStr">
        <is>
          <t>NORRBOTTENS LÄN</t>
        </is>
      </c>
      <c r="E1138" t="inlineStr">
        <is>
          <t>LULEÅ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30120-2025</t>
        </is>
      </c>
      <c r="B1139" s="1" t="n">
        <v>45826</v>
      </c>
      <c r="C1139" s="1" t="n">
        <v>45849</v>
      </c>
      <c r="D1139" t="inlineStr">
        <is>
          <t>NORRBOTTENS LÄN</t>
        </is>
      </c>
      <c r="E1139" t="inlineStr">
        <is>
          <t>LULEÅ</t>
        </is>
      </c>
      <c r="G1139" t="n">
        <v>1.1</v>
      </c>
      <c r="H1139" t="n">
        <v>0</v>
      </c>
      <c r="I1139" t="n">
        <v>0</v>
      </c>
      <c r="J1139" t="n">
        <v>0</v>
      </c>
      <c r="K1139" t="n">
        <v>0</v>
      </c>
      <c r="L1139" t="n">
        <v>0</v>
      </c>
      <c r="M1139" t="n">
        <v>0</v>
      </c>
      <c r="N1139" t="n">
        <v>0</v>
      </c>
      <c r="O1139" t="n">
        <v>0</v>
      </c>
      <c r="P1139" t="n">
        <v>0</v>
      </c>
      <c r="Q1139" t="n">
        <v>0</v>
      </c>
      <c r="R1139" s="2" t="inlineStr"/>
      <c r="U1139">
        <f>HYPERLINK("https://klasma.github.io/Logging_252580/knärot/A 30120-2025 karta knärot.png", "A 30120-2025")</f>
        <v/>
      </c>
      <c r="V1139">
        <f>HYPERLINK("https://klasma.github.io/Logging_252580/klagomål/A 30120-2025 FSC-klagomål.docx", "A 30120-2025")</f>
        <v/>
      </c>
      <c r="W1139">
        <f>HYPERLINK("https://klasma.github.io/Logging_252580/klagomålsmail/A 30120-2025 FSC-klagomål mail.docx", "A 30120-2025")</f>
        <v/>
      </c>
      <c r="X1139">
        <f>HYPERLINK("https://klasma.github.io/Logging_252580/tillsyn/A 30120-2025 tillsynsbegäran.docx", "A 30120-2025")</f>
        <v/>
      </c>
      <c r="Y1139">
        <f>HYPERLINK("https://klasma.github.io/Logging_252580/tillsynsmail/A 30120-2025 tillsynsbegäran mail.docx", "A 30120-2025")</f>
        <v/>
      </c>
    </row>
    <row r="1140" ht="15" customHeight="1">
      <c r="A1140" t="inlineStr">
        <is>
          <t>A 30238-2025</t>
        </is>
      </c>
      <c r="B1140" s="1" t="n">
        <v>45827</v>
      </c>
      <c r="C1140" s="1" t="n">
        <v>45849</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45849</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45849</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45849</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31025-2025</t>
        </is>
      </c>
      <c r="B1144" s="1" t="n">
        <v>45831</v>
      </c>
      <c r="C1144" s="1" t="n">
        <v>45849</v>
      </c>
      <c r="D1144" t="inlineStr">
        <is>
          <t>NORRBOTTENS LÄN</t>
        </is>
      </c>
      <c r="E1144" t="inlineStr">
        <is>
          <t>LULEÅ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30570-2025</t>
        </is>
      </c>
      <c r="B1145" s="1" t="n">
        <v>45831</v>
      </c>
      <c r="C1145" s="1" t="n">
        <v>45849</v>
      </c>
      <c r="D1145" t="inlineStr">
        <is>
          <t>NORRBOTTENS LÄN</t>
        </is>
      </c>
      <c r="E1145" t="inlineStr">
        <is>
          <t>LULEÅ</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45849</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45849</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45849</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32127-2025</t>
        </is>
      </c>
      <c r="B1149" s="1" t="n">
        <v>45835</v>
      </c>
      <c r="C1149" s="1" t="n">
        <v>45849</v>
      </c>
      <c r="D1149" t="inlineStr">
        <is>
          <t>NORRBOTTENS LÄN</t>
        </is>
      </c>
      <c r="E1149" t="inlineStr">
        <is>
          <t>LULEÅ</t>
        </is>
      </c>
      <c r="F1149" t="inlineStr">
        <is>
          <t>Sveaskog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32154-2025</t>
        </is>
      </c>
      <c r="B1150" s="1" t="n">
        <v>45835</v>
      </c>
      <c r="C1150" s="1" t="n">
        <v>45849</v>
      </c>
      <c r="D1150" t="inlineStr">
        <is>
          <t>NORRBOTTENS LÄN</t>
        </is>
      </c>
      <c r="E1150" t="inlineStr">
        <is>
          <t>LULEÅ</t>
        </is>
      </c>
      <c r="F1150" t="inlineStr">
        <is>
          <t>Sveaskog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32253-2025</t>
        </is>
      </c>
      <c r="B1151" s="1" t="n">
        <v>45835</v>
      </c>
      <c r="C1151" s="1" t="n">
        <v>45849</v>
      </c>
      <c r="D1151" t="inlineStr">
        <is>
          <t>NORRBOTTENS LÄN</t>
        </is>
      </c>
      <c r="E1151" t="inlineStr">
        <is>
          <t>LULEÅ</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32223-2025</t>
        </is>
      </c>
      <c r="B1152" s="1" t="n">
        <v>45835</v>
      </c>
      <c r="C1152" s="1" t="n">
        <v>45849</v>
      </c>
      <c r="D1152" t="inlineStr">
        <is>
          <t>NORRBOTTENS LÄN</t>
        </is>
      </c>
      <c r="E1152" t="inlineStr">
        <is>
          <t>LULEÅ</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32260-2025</t>
        </is>
      </c>
      <c r="B1153" s="1" t="n">
        <v>45835</v>
      </c>
      <c r="C1153" s="1" t="n">
        <v>45849</v>
      </c>
      <c r="D1153" t="inlineStr">
        <is>
          <t>NORRBOTTENS LÄN</t>
        </is>
      </c>
      <c r="E1153" t="inlineStr">
        <is>
          <t>LULEÅ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32264-2025</t>
        </is>
      </c>
      <c r="B1154" s="1" t="n">
        <v>45835</v>
      </c>
      <c r="C1154" s="1" t="n">
        <v>45849</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32255-2025</t>
        </is>
      </c>
      <c r="B1155" s="1" t="n">
        <v>45835</v>
      </c>
      <c r="C1155" s="1" t="n">
        <v>45849</v>
      </c>
      <c r="D1155" t="inlineStr">
        <is>
          <t>NORRBOTTENS LÄN</t>
        </is>
      </c>
      <c r="E1155" t="inlineStr">
        <is>
          <t>LULEÅ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32460-2025</t>
        </is>
      </c>
      <c r="B1156" s="1" t="n">
        <v>45838</v>
      </c>
      <c r="C1156" s="1" t="n">
        <v>45849</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32462-2025</t>
        </is>
      </c>
      <c r="B1157" s="1" t="n">
        <v>45838</v>
      </c>
      <c r="C1157" s="1" t="n">
        <v>45849</v>
      </c>
      <c r="D1157" t="inlineStr">
        <is>
          <t>NORRBOTTENS LÄN</t>
        </is>
      </c>
      <c r="E1157" t="inlineStr">
        <is>
          <t>LULEÅ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32458-2025</t>
        </is>
      </c>
      <c r="B1158" s="1" t="n">
        <v>45838</v>
      </c>
      <c r="C1158" s="1" t="n">
        <v>45849</v>
      </c>
      <c r="D1158" t="inlineStr">
        <is>
          <t>NORRBOTTENS LÄN</t>
        </is>
      </c>
      <c r="E1158" t="inlineStr">
        <is>
          <t>LULEÅ</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45849</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33651-2025</t>
        </is>
      </c>
      <c r="B1160" s="1" t="n">
        <v>45841</v>
      </c>
      <c r="C1160" s="1" t="n">
        <v>45849</v>
      </c>
      <c r="D1160" t="inlineStr">
        <is>
          <t>NORRBOTTENS LÄN</t>
        </is>
      </c>
      <c r="E1160" t="inlineStr">
        <is>
          <t>LULEÅ</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33692-2025</t>
        </is>
      </c>
      <c r="B1161" s="1" t="n">
        <v>45841</v>
      </c>
      <c r="C1161" s="1" t="n">
        <v>45849</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34655-2025</t>
        </is>
      </c>
      <c r="B1162" s="1" t="n">
        <v>45847</v>
      </c>
      <c r="C1162" s="1" t="n">
        <v>45849</v>
      </c>
      <c r="D1162" t="inlineStr">
        <is>
          <t>NORRBOTTENS LÄN</t>
        </is>
      </c>
      <c r="E1162" t="inlineStr">
        <is>
          <t>LULEÅ</t>
        </is>
      </c>
      <c r="G1162" t="n">
        <v>2.7</v>
      </c>
      <c r="H1162" t="n">
        <v>0</v>
      </c>
      <c r="I1162" t="n">
        <v>0</v>
      </c>
      <c r="J1162" t="n">
        <v>0</v>
      </c>
      <c r="K1162" t="n">
        <v>0</v>
      </c>
      <c r="L1162" t="n">
        <v>0</v>
      </c>
      <c r="M1162" t="n">
        <v>0</v>
      </c>
      <c r="N1162" t="n">
        <v>0</v>
      </c>
      <c r="O1162" t="n">
        <v>0</v>
      </c>
      <c r="P1162" t="n">
        <v>0</v>
      </c>
      <c r="Q1162" t="n">
        <v>0</v>
      </c>
      <c r="R1162" s="2" t="inlineStr"/>
    </row>
    <row r="1163">
      <c r="A1163" t="inlineStr">
        <is>
          <t>A 34565-2025</t>
        </is>
      </c>
      <c r="B1163" s="1" t="n">
        <v>45847</v>
      </c>
      <c r="C1163" s="1" t="n">
        <v>45849</v>
      </c>
      <c r="D1163" t="inlineStr">
        <is>
          <t>NORRBOTTENS LÄN</t>
        </is>
      </c>
      <c r="E1163" t="inlineStr">
        <is>
          <t>LULEÅ</t>
        </is>
      </c>
      <c r="G1163" t="n">
        <v>10.2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2025-07-11T19:38:50Z</dcterms:created>
  <dcterms:modified xmlns:dcterms="http://purl.org/dc/terms/" xmlns:xsi="http://www.w3.org/2001/XMLSchema-instance" xsi:type="dcterms:W3CDTF">2025-07-11T19:38:52Z</dcterms:modified>
</cp:coreProperties>
</file>