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45783</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45783</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45783</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45783</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45783</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45783</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45783</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45783</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45783</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45783</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45783</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45783</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45783</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45783</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45783</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45783</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45783</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45783</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45783</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45783</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45783</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45783</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45783</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45783</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45783</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45783</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45783</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45783</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45783</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45783</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45783</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45783</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45783</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45783</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45783</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45783</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45783</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50085-2021</t>
        </is>
      </c>
      <c r="B48" s="1" t="n">
        <v>44456</v>
      </c>
      <c r="C48" s="1" t="n">
        <v>45783</v>
      </c>
      <c r="D48" t="inlineStr">
        <is>
          <t>NORRBOTTENS LÄN</t>
        </is>
      </c>
      <c r="E48" t="inlineStr">
        <is>
          <t>LULEÅ</t>
        </is>
      </c>
      <c r="F48" t="inlineStr">
        <is>
          <t>Sveaskog</t>
        </is>
      </c>
      <c r="G48" t="n">
        <v>5.1</v>
      </c>
      <c r="H48" t="n">
        <v>0</v>
      </c>
      <c r="I48" t="n">
        <v>0</v>
      </c>
      <c r="J48" t="n">
        <v>1</v>
      </c>
      <c r="K48" t="n">
        <v>0</v>
      </c>
      <c r="L48" t="n">
        <v>0</v>
      </c>
      <c r="M48" t="n">
        <v>0</v>
      </c>
      <c r="N48" t="n">
        <v>0</v>
      </c>
      <c r="O48" t="n">
        <v>1</v>
      </c>
      <c r="P48" t="n">
        <v>0</v>
      </c>
      <c r="Q48" t="n">
        <v>1</v>
      </c>
      <c r="R48" s="2" t="inlineStr">
        <is>
          <t>Granticka</t>
        </is>
      </c>
      <c r="S48">
        <f>HYPERLINK("https://klasma.github.io/Logging_2580/artfynd/A 50085-2021 artfynd.xlsx", "A 50085-2021")</f>
        <v/>
      </c>
      <c r="T48">
        <f>HYPERLINK("https://klasma.github.io/Logging_2580/kartor/A 50085-2021 karta.png", "A 50085-2021")</f>
        <v/>
      </c>
      <c r="V48">
        <f>HYPERLINK("https://klasma.github.io/Logging_2580/klagomål/A 50085-2021 FSC-klagomål.docx", "A 50085-2021")</f>
        <v/>
      </c>
      <c r="W48">
        <f>HYPERLINK("https://klasma.github.io/Logging_2580/klagomålsmail/A 50085-2021 FSC-klagomål mail.docx", "A 50085-2021")</f>
        <v/>
      </c>
      <c r="X48">
        <f>HYPERLINK("https://klasma.github.io/Logging_2580/tillsyn/A 50085-2021 tillsynsbegäran.docx", "A 50085-2021")</f>
        <v/>
      </c>
      <c r="Y48">
        <f>HYPERLINK("https://klasma.github.io/Logging_2580/tillsynsmail/A 50085-2021 tillsynsbegäran mail.docx", "A 50085-2021")</f>
        <v/>
      </c>
    </row>
    <row r="49" ht="15" customHeight="1">
      <c r="A49" t="inlineStr">
        <is>
          <t>A 56067-2021</t>
        </is>
      </c>
      <c r="B49" s="1" t="n">
        <v>44477</v>
      </c>
      <c r="C49" s="1" t="n">
        <v>45783</v>
      </c>
      <c r="D49" t="inlineStr">
        <is>
          <t>NORRBOTTENS LÄN</t>
        </is>
      </c>
      <c r="E49" t="inlineStr">
        <is>
          <t>LULEÅ</t>
        </is>
      </c>
      <c r="F49" t="inlineStr">
        <is>
          <t>Sveaskog</t>
        </is>
      </c>
      <c r="G49" t="n">
        <v>1.3</v>
      </c>
      <c r="H49" t="n">
        <v>0</v>
      </c>
      <c r="I49" t="n">
        <v>1</v>
      </c>
      <c r="J49" t="n">
        <v>0</v>
      </c>
      <c r="K49" t="n">
        <v>0</v>
      </c>
      <c r="L49" t="n">
        <v>0</v>
      </c>
      <c r="M49" t="n">
        <v>0</v>
      </c>
      <c r="N49" t="n">
        <v>0</v>
      </c>
      <c r="O49" t="n">
        <v>0</v>
      </c>
      <c r="P49" t="n">
        <v>0</v>
      </c>
      <c r="Q49" t="n">
        <v>1</v>
      </c>
      <c r="R49" s="2" t="inlineStr">
        <is>
          <t>Zontaggsvamp</t>
        </is>
      </c>
      <c r="S49">
        <f>HYPERLINK("https://klasma.github.io/Logging_2580/artfynd/A 56067-2021 artfynd.xlsx", "A 56067-2021")</f>
        <v/>
      </c>
      <c r="T49">
        <f>HYPERLINK("https://klasma.github.io/Logging_2580/kartor/A 56067-2021 karta.png", "A 56067-2021")</f>
        <v/>
      </c>
      <c r="V49">
        <f>HYPERLINK("https://klasma.github.io/Logging_2580/klagomål/A 56067-2021 FSC-klagomål.docx", "A 56067-2021")</f>
        <v/>
      </c>
      <c r="W49">
        <f>HYPERLINK("https://klasma.github.io/Logging_2580/klagomålsmail/A 56067-2021 FSC-klagomål mail.docx", "A 56067-2021")</f>
        <v/>
      </c>
      <c r="X49">
        <f>HYPERLINK("https://klasma.github.io/Logging_2580/tillsyn/A 56067-2021 tillsynsbegäran.docx", "A 56067-2021")</f>
        <v/>
      </c>
      <c r="Y49">
        <f>HYPERLINK("https://klasma.github.io/Logging_2580/tillsynsmail/A 56067-2021 tillsynsbegäran mail.docx", "A 56067-2021")</f>
        <v/>
      </c>
    </row>
    <row r="50" ht="15" customHeight="1">
      <c r="A50" t="inlineStr">
        <is>
          <t>A 25729-2022</t>
        </is>
      </c>
      <c r="B50" s="1" t="n">
        <v>44733</v>
      </c>
      <c r="C50" s="1" t="n">
        <v>45783</v>
      </c>
      <c r="D50" t="inlineStr">
        <is>
          <t>NORRBOTTENS LÄN</t>
        </is>
      </c>
      <c r="E50" t="inlineStr">
        <is>
          <t>LULEÅ</t>
        </is>
      </c>
      <c r="G50" t="n">
        <v>3.5</v>
      </c>
      <c r="H50" t="n">
        <v>0</v>
      </c>
      <c r="I50" t="n">
        <v>0</v>
      </c>
      <c r="J50" t="n">
        <v>0</v>
      </c>
      <c r="K50" t="n">
        <v>1</v>
      </c>
      <c r="L50" t="n">
        <v>0</v>
      </c>
      <c r="M50" t="n">
        <v>0</v>
      </c>
      <c r="N50" t="n">
        <v>0</v>
      </c>
      <c r="O50" t="n">
        <v>1</v>
      </c>
      <c r="P50" t="n">
        <v>1</v>
      </c>
      <c r="Q50" t="n">
        <v>1</v>
      </c>
      <c r="R50" s="2" t="inlineStr">
        <is>
          <t>Ostticka</t>
        </is>
      </c>
      <c r="S50">
        <f>HYPERLINK("https://klasma.github.io/Logging_2580/artfynd/A 25729-2022 artfynd.xlsx", "A 25729-2022")</f>
        <v/>
      </c>
      <c r="T50">
        <f>HYPERLINK("https://klasma.github.io/Logging_2580/kartor/A 25729-2022 karta.png", "A 25729-2022")</f>
        <v/>
      </c>
      <c r="V50">
        <f>HYPERLINK("https://klasma.github.io/Logging_2580/klagomål/A 25729-2022 FSC-klagomål.docx", "A 25729-2022")</f>
        <v/>
      </c>
      <c r="W50">
        <f>HYPERLINK("https://klasma.github.io/Logging_2580/klagomålsmail/A 25729-2022 FSC-klagomål mail.docx", "A 25729-2022")</f>
        <v/>
      </c>
      <c r="X50">
        <f>HYPERLINK("https://klasma.github.io/Logging_2580/tillsyn/A 25729-2022 tillsynsbegäran.docx", "A 25729-2022")</f>
        <v/>
      </c>
      <c r="Y50">
        <f>HYPERLINK("https://klasma.github.io/Logging_2580/tillsynsmail/A 25729-2022 tillsynsbegäran mail.docx", "A 25729-2022")</f>
        <v/>
      </c>
    </row>
    <row r="51" ht="15" customHeight="1">
      <c r="A51" t="inlineStr">
        <is>
          <t>A 30095-2022</t>
        </is>
      </c>
      <c r="B51" s="1" t="n">
        <v>44757</v>
      </c>
      <c r="C51" s="1" t="n">
        <v>45783</v>
      </c>
      <c r="D51" t="inlineStr">
        <is>
          <t>NORRBOTTENS LÄN</t>
        </is>
      </c>
      <c r="E51" t="inlineStr">
        <is>
          <t>LULEÅ</t>
        </is>
      </c>
      <c r="G51" t="n">
        <v>27.7</v>
      </c>
      <c r="H51" t="n">
        <v>1</v>
      </c>
      <c r="I51" t="n">
        <v>0</v>
      </c>
      <c r="J51" t="n">
        <v>0</v>
      </c>
      <c r="K51" t="n">
        <v>1</v>
      </c>
      <c r="L51" t="n">
        <v>0</v>
      </c>
      <c r="M51" t="n">
        <v>0</v>
      </c>
      <c r="N51" t="n">
        <v>0</v>
      </c>
      <c r="O51" t="n">
        <v>1</v>
      </c>
      <c r="P51" t="n">
        <v>1</v>
      </c>
      <c r="Q51" t="n">
        <v>1</v>
      </c>
      <c r="R51" s="2" t="inlineStr">
        <is>
          <t>Knärot</t>
        </is>
      </c>
      <c r="S51">
        <f>HYPERLINK("https://klasma.github.io/Logging_2580/artfynd/A 30095-2022 artfynd.xlsx", "A 30095-2022")</f>
        <v/>
      </c>
      <c r="T51">
        <f>HYPERLINK("https://klasma.github.io/Logging_2580/kartor/A 30095-2022 karta.png", "A 30095-2022")</f>
        <v/>
      </c>
      <c r="U51">
        <f>HYPERLINK("https://klasma.github.io/Logging_2580/knärot/A 30095-2022 karta knärot.png", "A 30095-2022")</f>
        <v/>
      </c>
      <c r="V51">
        <f>HYPERLINK("https://klasma.github.io/Logging_2580/klagomål/A 30095-2022 FSC-klagomål.docx", "A 30095-2022")</f>
        <v/>
      </c>
      <c r="W51">
        <f>HYPERLINK("https://klasma.github.io/Logging_2580/klagomålsmail/A 30095-2022 FSC-klagomål mail.docx", "A 30095-2022")</f>
        <v/>
      </c>
      <c r="X51">
        <f>HYPERLINK("https://klasma.github.io/Logging_2580/tillsyn/A 30095-2022 tillsynsbegäran.docx", "A 30095-2022")</f>
        <v/>
      </c>
      <c r="Y51">
        <f>HYPERLINK("https://klasma.github.io/Logging_2580/tillsynsmail/A 30095-2022 tillsynsbegäran mail.docx", "A 30095-2022")</f>
        <v/>
      </c>
    </row>
    <row r="52" ht="15" customHeight="1">
      <c r="A52" t="inlineStr">
        <is>
          <t>A 44253-2022</t>
        </is>
      </c>
      <c r="B52" s="1" t="n">
        <v>44839</v>
      </c>
      <c r="C52" s="1" t="n">
        <v>45783</v>
      </c>
      <c r="D52" t="inlineStr">
        <is>
          <t>NORRBOTTENS LÄN</t>
        </is>
      </c>
      <c r="E52" t="inlineStr">
        <is>
          <t>LULEÅ</t>
        </is>
      </c>
      <c r="G52" t="n">
        <v>4.4</v>
      </c>
      <c r="H52" t="n">
        <v>1</v>
      </c>
      <c r="I52" t="n">
        <v>0</v>
      </c>
      <c r="J52" t="n">
        <v>1</v>
      </c>
      <c r="K52" t="n">
        <v>0</v>
      </c>
      <c r="L52" t="n">
        <v>0</v>
      </c>
      <c r="M52" t="n">
        <v>0</v>
      </c>
      <c r="N52" t="n">
        <v>0</v>
      </c>
      <c r="O52" t="n">
        <v>1</v>
      </c>
      <c r="P52" t="n">
        <v>0</v>
      </c>
      <c r="Q52" t="n">
        <v>1</v>
      </c>
      <c r="R52" s="2" t="inlineStr">
        <is>
          <t>Spillkråka</t>
        </is>
      </c>
      <c r="S52">
        <f>HYPERLINK("https://klasma.github.io/Logging_2580/artfynd/A 44253-2022 artfynd.xlsx", "A 44253-2022")</f>
        <v/>
      </c>
      <c r="T52">
        <f>HYPERLINK("https://klasma.github.io/Logging_2580/kartor/A 44253-2022 karta.png", "A 44253-2022")</f>
        <v/>
      </c>
      <c r="V52">
        <f>HYPERLINK("https://klasma.github.io/Logging_2580/klagomål/A 44253-2022 FSC-klagomål.docx", "A 44253-2022")</f>
        <v/>
      </c>
      <c r="W52">
        <f>HYPERLINK("https://klasma.github.io/Logging_2580/klagomålsmail/A 44253-2022 FSC-klagomål mail.docx", "A 44253-2022")</f>
        <v/>
      </c>
      <c r="X52">
        <f>HYPERLINK("https://klasma.github.io/Logging_2580/tillsyn/A 44253-2022 tillsynsbegäran.docx", "A 44253-2022")</f>
        <v/>
      </c>
      <c r="Y52">
        <f>HYPERLINK("https://klasma.github.io/Logging_2580/tillsynsmail/A 44253-2022 tillsynsbegäran mail.docx", "A 44253-2022")</f>
        <v/>
      </c>
      <c r="Z52">
        <f>HYPERLINK("https://klasma.github.io/Logging_2580/fåglar/A 44253-2022 prioriterade fågelarter.docx", "A 44253-2022")</f>
        <v/>
      </c>
    </row>
    <row r="53" ht="15" customHeight="1">
      <c r="A53" t="inlineStr">
        <is>
          <t>A 51641-2022</t>
        </is>
      </c>
      <c r="B53" s="1" t="n">
        <v>44867</v>
      </c>
      <c r="C53" s="1" t="n">
        <v>45783</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58717-2022</t>
        </is>
      </c>
      <c r="B54" s="1" t="n">
        <v>44902</v>
      </c>
      <c r="C54" s="1" t="n">
        <v>45783</v>
      </c>
      <c r="D54" t="inlineStr">
        <is>
          <t>NORRBOTTENS LÄN</t>
        </is>
      </c>
      <c r="E54" t="inlineStr">
        <is>
          <t>LULEÅ</t>
        </is>
      </c>
      <c r="G54" t="n">
        <v>5.9</v>
      </c>
      <c r="H54" t="n">
        <v>0</v>
      </c>
      <c r="I54" t="n">
        <v>1</v>
      </c>
      <c r="J54" t="n">
        <v>0</v>
      </c>
      <c r="K54" t="n">
        <v>0</v>
      </c>
      <c r="L54" t="n">
        <v>0</v>
      </c>
      <c r="M54" t="n">
        <v>0</v>
      </c>
      <c r="N54" t="n">
        <v>0</v>
      </c>
      <c r="O54" t="n">
        <v>0</v>
      </c>
      <c r="P54" t="n">
        <v>0</v>
      </c>
      <c r="Q54" t="n">
        <v>1</v>
      </c>
      <c r="R54" s="2" t="inlineStr">
        <is>
          <t>Dropptaggsvamp</t>
        </is>
      </c>
      <c r="S54">
        <f>HYPERLINK("https://klasma.github.io/Logging_2580/artfynd/A 58717-2022 artfynd.xlsx", "A 58717-2022")</f>
        <v/>
      </c>
      <c r="T54">
        <f>HYPERLINK("https://klasma.github.io/Logging_2580/kartor/A 58717-2022 karta.png", "A 58717-2022")</f>
        <v/>
      </c>
      <c r="V54">
        <f>HYPERLINK("https://klasma.github.io/Logging_2580/klagomål/A 58717-2022 FSC-klagomål.docx", "A 58717-2022")</f>
        <v/>
      </c>
      <c r="W54">
        <f>HYPERLINK("https://klasma.github.io/Logging_2580/klagomålsmail/A 58717-2022 FSC-klagomål mail.docx", "A 58717-2022")</f>
        <v/>
      </c>
      <c r="X54">
        <f>HYPERLINK("https://klasma.github.io/Logging_2580/tillsyn/A 58717-2022 tillsynsbegäran.docx", "A 58717-2022")</f>
        <v/>
      </c>
      <c r="Y54">
        <f>HYPERLINK("https://klasma.github.io/Logging_2580/tillsynsmail/A 58717-2022 tillsynsbegäran mail.docx", "A 58717-2022")</f>
        <v/>
      </c>
    </row>
    <row r="55" ht="15" customHeight="1">
      <c r="A55" t="inlineStr">
        <is>
          <t>A 59362-2022</t>
        </is>
      </c>
      <c r="B55" s="1" t="n">
        <v>44904</v>
      </c>
      <c r="C55" s="1" t="n">
        <v>45783</v>
      </c>
      <c r="D55" t="inlineStr">
        <is>
          <t>NORRBOTTENS LÄN</t>
        </is>
      </c>
      <c r="E55" t="inlineStr">
        <is>
          <t>LULEÅ</t>
        </is>
      </c>
      <c r="G55" t="n">
        <v>5.1</v>
      </c>
      <c r="H55" t="n">
        <v>1</v>
      </c>
      <c r="I55" t="n">
        <v>0</v>
      </c>
      <c r="J55" t="n">
        <v>1</v>
      </c>
      <c r="K55" t="n">
        <v>0</v>
      </c>
      <c r="L55" t="n">
        <v>0</v>
      </c>
      <c r="M55" t="n">
        <v>0</v>
      </c>
      <c r="N55" t="n">
        <v>0</v>
      </c>
      <c r="O55" t="n">
        <v>1</v>
      </c>
      <c r="P55" t="n">
        <v>0</v>
      </c>
      <c r="Q55" t="n">
        <v>1</v>
      </c>
      <c r="R55" s="2" t="inlineStr">
        <is>
          <t>Tretåig hackspett</t>
        </is>
      </c>
      <c r="S55">
        <f>HYPERLINK("https://klasma.github.io/Logging_2580/artfynd/A 59362-2022 artfynd.xlsx", "A 59362-2022")</f>
        <v/>
      </c>
      <c r="T55">
        <f>HYPERLINK("https://klasma.github.io/Logging_2580/kartor/A 59362-2022 karta.png", "A 59362-2022")</f>
        <v/>
      </c>
      <c r="V55">
        <f>HYPERLINK("https://klasma.github.io/Logging_2580/klagomål/A 59362-2022 FSC-klagomål.docx", "A 59362-2022")</f>
        <v/>
      </c>
      <c r="W55">
        <f>HYPERLINK("https://klasma.github.io/Logging_2580/klagomålsmail/A 59362-2022 FSC-klagomål mail.docx", "A 59362-2022")</f>
        <v/>
      </c>
      <c r="X55">
        <f>HYPERLINK("https://klasma.github.io/Logging_2580/tillsyn/A 59362-2022 tillsynsbegäran.docx", "A 59362-2022")</f>
        <v/>
      </c>
      <c r="Y55">
        <f>HYPERLINK("https://klasma.github.io/Logging_2580/tillsynsmail/A 59362-2022 tillsynsbegäran mail.docx", "A 59362-2022")</f>
        <v/>
      </c>
      <c r="Z55">
        <f>HYPERLINK("https://klasma.github.io/Logging_2580/fåglar/A 59362-2022 prioriterade fågelarter.docx", "A 59362-2022")</f>
        <v/>
      </c>
    </row>
    <row r="56" ht="15" customHeight="1">
      <c r="A56" t="inlineStr">
        <is>
          <t>A 4561-2023</t>
        </is>
      </c>
      <c r="B56" s="1" t="n">
        <v>44951</v>
      </c>
      <c r="C56" s="1" t="n">
        <v>45783</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17428-2023</t>
        </is>
      </c>
      <c r="B57" s="1" t="n">
        <v>45036</v>
      </c>
      <c r="C57" s="1" t="n">
        <v>45783</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39583-2023</t>
        </is>
      </c>
      <c r="B58" s="1" t="n">
        <v>45167</v>
      </c>
      <c r="C58" s="1" t="n">
        <v>45783</v>
      </c>
      <c r="D58" t="inlineStr">
        <is>
          <t>NORRBOTTENS LÄN</t>
        </is>
      </c>
      <c r="E58" t="inlineStr">
        <is>
          <t>LULEÅ</t>
        </is>
      </c>
      <c r="G58" t="n">
        <v>20.5</v>
      </c>
      <c r="H58" t="n">
        <v>0</v>
      </c>
      <c r="I58" t="n">
        <v>1</v>
      </c>
      <c r="J58" t="n">
        <v>0</v>
      </c>
      <c r="K58" t="n">
        <v>0</v>
      </c>
      <c r="L58" t="n">
        <v>0</v>
      </c>
      <c r="M58" t="n">
        <v>0</v>
      </c>
      <c r="N58" t="n">
        <v>0</v>
      </c>
      <c r="O58" t="n">
        <v>0</v>
      </c>
      <c r="P58" t="n">
        <v>0</v>
      </c>
      <c r="Q58" t="n">
        <v>1</v>
      </c>
      <c r="R58" s="2" t="inlineStr">
        <is>
          <t>Dropptaggsvamp</t>
        </is>
      </c>
      <c r="S58">
        <f>HYPERLINK("https://klasma.github.io/Logging_2580/artfynd/A 39583-2023 artfynd.xlsx", "A 39583-2023")</f>
        <v/>
      </c>
      <c r="T58">
        <f>HYPERLINK("https://klasma.github.io/Logging_2580/kartor/A 39583-2023 karta.png", "A 39583-2023")</f>
        <v/>
      </c>
      <c r="V58">
        <f>HYPERLINK("https://klasma.github.io/Logging_2580/klagomål/A 39583-2023 FSC-klagomål.docx", "A 39583-2023")</f>
        <v/>
      </c>
      <c r="W58">
        <f>HYPERLINK("https://klasma.github.io/Logging_2580/klagomålsmail/A 39583-2023 FSC-klagomål mail.docx", "A 39583-2023")</f>
        <v/>
      </c>
      <c r="X58">
        <f>HYPERLINK("https://klasma.github.io/Logging_2580/tillsyn/A 39583-2023 tillsynsbegäran.docx", "A 39583-2023")</f>
        <v/>
      </c>
      <c r="Y58">
        <f>HYPERLINK("https://klasma.github.io/Logging_2580/tillsynsmail/A 39583-2023 tillsynsbegäran mail.docx", "A 39583-2023")</f>
        <v/>
      </c>
    </row>
    <row r="59" ht="15" customHeight="1">
      <c r="A59" t="inlineStr">
        <is>
          <t>A 59466-2023</t>
        </is>
      </c>
      <c r="B59" s="1" t="n">
        <v>45254</v>
      </c>
      <c r="C59" s="1" t="n">
        <v>45783</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63879-2023</t>
        </is>
      </c>
      <c r="B60" s="1" t="n">
        <v>45278</v>
      </c>
      <c r="C60" s="1" t="n">
        <v>45783</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Nattviol</t>
        </is>
      </c>
      <c r="S60">
        <f>HYPERLINK("https://klasma.github.io/Logging_2580/artfynd/A 63879-2023 artfynd.xlsx", "A 63879-2023")</f>
        <v/>
      </c>
      <c r="T60">
        <f>HYPERLINK("https://klasma.github.io/Logging_2580/kartor/A 63879-2023 karta.png", "A 63879-2023")</f>
        <v/>
      </c>
      <c r="V60">
        <f>HYPERLINK("https://klasma.github.io/Logging_2580/klagomål/A 63879-2023 FSC-klagomål.docx", "A 63879-2023")</f>
        <v/>
      </c>
      <c r="W60">
        <f>HYPERLINK("https://klasma.github.io/Logging_2580/klagomålsmail/A 63879-2023 FSC-klagomål mail.docx", "A 63879-2023")</f>
        <v/>
      </c>
      <c r="X60">
        <f>HYPERLINK("https://klasma.github.io/Logging_2580/tillsyn/A 63879-2023 tillsynsbegäran.docx", "A 63879-2023")</f>
        <v/>
      </c>
      <c r="Y60">
        <f>HYPERLINK("https://klasma.github.io/Logging_2580/tillsynsmail/A 63879-2023 tillsynsbegäran mail.docx", "A 63879-2023")</f>
        <v/>
      </c>
    </row>
    <row r="61" ht="15" customHeight="1">
      <c r="A61" t="inlineStr">
        <is>
          <t>A 4141-2024</t>
        </is>
      </c>
      <c r="B61" s="1" t="n">
        <v>45323</v>
      </c>
      <c r="C61" s="1" t="n">
        <v>45783</v>
      </c>
      <c r="D61" t="inlineStr">
        <is>
          <t>NORRBOTTENS LÄN</t>
        </is>
      </c>
      <c r="E61" t="inlineStr">
        <is>
          <t>LULEÅ</t>
        </is>
      </c>
      <c r="G61" t="n">
        <v>24</v>
      </c>
      <c r="H61" t="n">
        <v>1</v>
      </c>
      <c r="I61" t="n">
        <v>0</v>
      </c>
      <c r="J61" t="n">
        <v>1</v>
      </c>
      <c r="K61" t="n">
        <v>0</v>
      </c>
      <c r="L61" t="n">
        <v>0</v>
      </c>
      <c r="M61" t="n">
        <v>0</v>
      </c>
      <c r="N61" t="n">
        <v>0</v>
      </c>
      <c r="O61" t="n">
        <v>1</v>
      </c>
      <c r="P61" t="n">
        <v>0</v>
      </c>
      <c r="Q61" t="n">
        <v>1</v>
      </c>
      <c r="R61" s="2" t="inlineStr">
        <is>
          <t>Havsörn</t>
        </is>
      </c>
      <c r="S61">
        <f>HYPERLINK("https://klasma.github.io/Logging_2580/artfynd/A 4141-2024 artfynd.xlsx", "A 4141-2024")</f>
        <v/>
      </c>
      <c r="T61">
        <f>HYPERLINK("https://klasma.github.io/Logging_2580/kartor/A 4141-2024 karta.png", "A 4141-2024")</f>
        <v/>
      </c>
      <c r="V61">
        <f>HYPERLINK("https://klasma.github.io/Logging_2580/klagomål/A 4141-2024 FSC-klagomål.docx", "A 4141-2024")</f>
        <v/>
      </c>
      <c r="W61">
        <f>HYPERLINK("https://klasma.github.io/Logging_2580/klagomålsmail/A 4141-2024 FSC-klagomål mail.docx", "A 4141-2024")</f>
        <v/>
      </c>
      <c r="X61">
        <f>HYPERLINK("https://klasma.github.io/Logging_2580/tillsyn/A 4141-2024 tillsynsbegäran.docx", "A 4141-2024")</f>
        <v/>
      </c>
      <c r="Y61">
        <f>HYPERLINK("https://klasma.github.io/Logging_2580/tillsynsmail/A 4141-2024 tillsynsbegäran mail.docx", "A 4141-2024")</f>
        <v/>
      </c>
      <c r="Z61">
        <f>HYPERLINK("https://klasma.github.io/Logging_2580/fåglar/A 4141-2024 prioriterade fågelarter.docx", "A 4141-2024")</f>
        <v/>
      </c>
    </row>
    <row r="62" ht="15" customHeight="1">
      <c r="A62" t="inlineStr">
        <is>
          <t>A 4692-2024</t>
        </is>
      </c>
      <c r="B62" s="1" t="n">
        <v>45328</v>
      </c>
      <c r="C62" s="1" t="n">
        <v>45783</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Fläcknycklar</t>
        </is>
      </c>
      <c r="S62">
        <f>HYPERLINK("https://klasma.github.io/Logging_2580/artfynd/A 4692-2024 artfynd.xlsx", "A 4692-2024")</f>
        <v/>
      </c>
      <c r="T62">
        <f>HYPERLINK("https://klasma.github.io/Logging_2580/kartor/A 4692-2024 karta.png", "A 4692-2024")</f>
        <v/>
      </c>
      <c r="V62">
        <f>HYPERLINK("https://klasma.github.io/Logging_2580/klagomål/A 4692-2024 FSC-klagomål.docx", "A 4692-2024")</f>
        <v/>
      </c>
      <c r="W62">
        <f>HYPERLINK("https://klasma.github.io/Logging_2580/klagomålsmail/A 4692-2024 FSC-klagomål mail.docx", "A 4692-2024")</f>
        <v/>
      </c>
      <c r="X62">
        <f>HYPERLINK("https://klasma.github.io/Logging_2580/tillsyn/A 4692-2024 tillsynsbegäran.docx", "A 4692-2024")</f>
        <v/>
      </c>
      <c r="Y62">
        <f>HYPERLINK("https://klasma.github.io/Logging_2580/tillsynsmail/A 4692-2024 tillsynsbegäran mail.docx", "A 4692-2024")</f>
        <v/>
      </c>
    </row>
    <row r="63" ht="15" customHeight="1">
      <c r="A63" t="inlineStr">
        <is>
          <t>A 12462-2024</t>
        </is>
      </c>
      <c r="B63" s="1" t="n">
        <v>45378</v>
      </c>
      <c r="C63" s="1" t="n">
        <v>45783</v>
      </c>
      <c r="D63" t="inlineStr">
        <is>
          <t>NORRBOTTENS LÄN</t>
        </is>
      </c>
      <c r="E63" t="inlineStr">
        <is>
          <t>LULEÅ</t>
        </is>
      </c>
      <c r="G63" t="n">
        <v>6.9</v>
      </c>
      <c r="H63" t="n">
        <v>0</v>
      </c>
      <c r="I63" t="n">
        <v>0</v>
      </c>
      <c r="J63" t="n">
        <v>1</v>
      </c>
      <c r="K63" t="n">
        <v>0</v>
      </c>
      <c r="L63" t="n">
        <v>0</v>
      </c>
      <c r="M63" t="n">
        <v>0</v>
      </c>
      <c r="N63" t="n">
        <v>0</v>
      </c>
      <c r="O63" t="n">
        <v>1</v>
      </c>
      <c r="P63" t="n">
        <v>0</v>
      </c>
      <c r="Q63" t="n">
        <v>1</v>
      </c>
      <c r="R63" s="2" t="inlineStr">
        <is>
          <t>Ullticka</t>
        </is>
      </c>
      <c r="S63">
        <f>HYPERLINK("https://klasma.github.io/Logging_2580/artfynd/A 12462-2024 artfynd.xlsx", "A 12462-2024")</f>
        <v/>
      </c>
      <c r="T63">
        <f>HYPERLINK("https://klasma.github.io/Logging_2580/kartor/A 12462-2024 karta.png", "A 12462-2024")</f>
        <v/>
      </c>
      <c r="V63">
        <f>HYPERLINK("https://klasma.github.io/Logging_2580/klagomål/A 12462-2024 FSC-klagomål.docx", "A 12462-2024")</f>
        <v/>
      </c>
      <c r="W63">
        <f>HYPERLINK("https://klasma.github.io/Logging_2580/klagomålsmail/A 12462-2024 FSC-klagomål mail.docx", "A 12462-2024")</f>
        <v/>
      </c>
      <c r="X63">
        <f>HYPERLINK("https://klasma.github.io/Logging_2580/tillsyn/A 12462-2024 tillsynsbegäran.docx", "A 12462-2024")</f>
        <v/>
      </c>
      <c r="Y63">
        <f>HYPERLINK("https://klasma.github.io/Logging_2580/tillsynsmail/A 12462-2024 tillsynsbegäran mail.docx", "A 12462-2024")</f>
        <v/>
      </c>
    </row>
    <row r="64" ht="15" customHeight="1">
      <c r="A64" t="inlineStr">
        <is>
          <t>A 19552-2024</t>
        </is>
      </c>
      <c r="B64" s="1" t="n">
        <v>45429</v>
      </c>
      <c r="C64" s="1" t="n">
        <v>45783</v>
      </c>
      <c r="D64" t="inlineStr">
        <is>
          <t>NORRBOTTENS LÄN</t>
        </is>
      </c>
      <c r="E64" t="inlineStr">
        <is>
          <t>LULEÅ</t>
        </is>
      </c>
      <c r="G64" t="n">
        <v>0.7</v>
      </c>
      <c r="H64" t="n">
        <v>0</v>
      </c>
      <c r="I64" t="n">
        <v>0</v>
      </c>
      <c r="J64" t="n">
        <v>0</v>
      </c>
      <c r="K64" t="n">
        <v>1</v>
      </c>
      <c r="L64" t="n">
        <v>0</v>
      </c>
      <c r="M64" t="n">
        <v>0</v>
      </c>
      <c r="N64" t="n">
        <v>0</v>
      </c>
      <c r="O64" t="n">
        <v>1</v>
      </c>
      <c r="P64" t="n">
        <v>1</v>
      </c>
      <c r="Q64" t="n">
        <v>1</v>
      </c>
      <c r="R64" s="2" t="inlineStr">
        <is>
          <t>Smalfotad taggsvamp</t>
        </is>
      </c>
      <c r="S64">
        <f>HYPERLINK("https://klasma.github.io/Logging_2580/artfynd/A 19552-2024 artfynd.xlsx", "A 19552-2024")</f>
        <v/>
      </c>
      <c r="T64">
        <f>HYPERLINK("https://klasma.github.io/Logging_2580/kartor/A 19552-2024 karta.png", "A 19552-2024")</f>
        <v/>
      </c>
      <c r="V64">
        <f>HYPERLINK("https://klasma.github.io/Logging_2580/klagomål/A 19552-2024 FSC-klagomål.docx", "A 19552-2024")</f>
        <v/>
      </c>
      <c r="W64">
        <f>HYPERLINK("https://klasma.github.io/Logging_2580/klagomålsmail/A 19552-2024 FSC-klagomål mail.docx", "A 19552-2024")</f>
        <v/>
      </c>
      <c r="X64">
        <f>HYPERLINK("https://klasma.github.io/Logging_2580/tillsyn/A 19552-2024 tillsynsbegäran.docx", "A 19552-2024")</f>
        <v/>
      </c>
      <c r="Y64">
        <f>HYPERLINK("https://klasma.github.io/Logging_2580/tillsynsmail/A 19552-2024 tillsynsbegäran mail.docx", "A 19552-2024")</f>
        <v/>
      </c>
    </row>
    <row r="65" ht="15" customHeight="1">
      <c r="A65" t="inlineStr">
        <is>
          <t>A 25528-2024</t>
        </is>
      </c>
      <c r="B65" s="1" t="n">
        <v>45463</v>
      </c>
      <c r="C65" s="1" t="n">
        <v>45783</v>
      </c>
      <c r="D65" t="inlineStr">
        <is>
          <t>NORRBOTTENS LÄN</t>
        </is>
      </c>
      <c r="E65" t="inlineStr">
        <is>
          <t>LULEÅ</t>
        </is>
      </c>
      <c r="G65" t="n">
        <v>1.4</v>
      </c>
      <c r="H65" t="n">
        <v>0</v>
      </c>
      <c r="I65" t="n">
        <v>0</v>
      </c>
      <c r="J65" t="n">
        <v>1</v>
      </c>
      <c r="K65" t="n">
        <v>0</v>
      </c>
      <c r="L65" t="n">
        <v>0</v>
      </c>
      <c r="M65" t="n">
        <v>0</v>
      </c>
      <c r="N65" t="n">
        <v>0</v>
      </c>
      <c r="O65" t="n">
        <v>1</v>
      </c>
      <c r="P65" t="n">
        <v>0</v>
      </c>
      <c r="Q65" t="n">
        <v>1</v>
      </c>
      <c r="R65" s="2" t="inlineStr">
        <is>
          <t>Granticka</t>
        </is>
      </c>
      <c r="S65">
        <f>HYPERLINK("https://klasma.github.io/Logging_2580/artfynd/A 25528-2024 artfynd.xlsx", "A 25528-2024")</f>
        <v/>
      </c>
      <c r="T65">
        <f>HYPERLINK("https://klasma.github.io/Logging_2580/kartor/A 25528-2024 karta.png", "A 25528-2024")</f>
        <v/>
      </c>
      <c r="V65">
        <f>HYPERLINK("https://klasma.github.io/Logging_2580/klagomål/A 25528-2024 FSC-klagomål.docx", "A 25528-2024")</f>
        <v/>
      </c>
      <c r="W65">
        <f>HYPERLINK("https://klasma.github.io/Logging_2580/klagomålsmail/A 25528-2024 FSC-klagomål mail.docx", "A 25528-2024")</f>
        <v/>
      </c>
      <c r="X65">
        <f>HYPERLINK("https://klasma.github.io/Logging_2580/tillsyn/A 25528-2024 tillsynsbegäran.docx", "A 25528-2024")</f>
        <v/>
      </c>
      <c r="Y65">
        <f>HYPERLINK("https://klasma.github.io/Logging_2580/tillsynsmail/A 25528-2024 tillsynsbegäran mail.docx", "A 25528-2024")</f>
        <v/>
      </c>
    </row>
    <row r="66" ht="15" customHeight="1">
      <c r="A66" t="inlineStr">
        <is>
          <t>A 35545-2024</t>
        </is>
      </c>
      <c r="B66" s="1" t="n">
        <v>45531</v>
      </c>
      <c r="C66" s="1" t="n">
        <v>45783</v>
      </c>
      <c r="D66" t="inlineStr">
        <is>
          <t>NORRBOTTENS LÄN</t>
        </is>
      </c>
      <c r="E66" t="inlineStr">
        <is>
          <t>LULEÅ</t>
        </is>
      </c>
      <c r="G66" t="n">
        <v>19.7</v>
      </c>
      <c r="H66" t="n">
        <v>0</v>
      </c>
      <c r="I66" t="n">
        <v>0</v>
      </c>
      <c r="J66" t="n">
        <v>0</v>
      </c>
      <c r="K66" t="n">
        <v>1</v>
      </c>
      <c r="L66" t="n">
        <v>0</v>
      </c>
      <c r="M66" t="n">
        <v>0</v>
      </c>
      <c r="N66" t="n">
        <v>0</v>
      </c>
      <c r="O66" t="n">
        <v>1</v>
      </c>
      <c r="P66" t="n">
        <v>1</v>
      </c>
      <c r="Q66" t="n">
        <v>1</v>
      </c>
      <c r="R66" s="2" t="inlineStr">
        <is>
          <t>Liten aspgelélav</t>
        </is>
      </c>
      <c r="S66">
        <f>HYPERLINK("https://klasma.github.io/Logging_2580/artfynd/A 35545-2024 artfynd.xlsx", "A 35545-2024")</f>
        <v/>
      </c>
      <c r="T66">
        <f>HYPERLINK("https://klasma.github.io/Logging_2580/kartor/A 35545-2024 karta.png", "A 35545-2024")</f>
        <v/>
      </c>
      <c r="V66">
        <f>HYPERLINK("https://klasma.github.io/Logging_2580/klagomål/A 35545-2024 FSC-klagomål.docx", "A 35545-2024")</f>
        <v/>
      </c>
      <c r="W66">
        <f>HYPERLINK("https://klasma.github.io/Logging_2580/klagomålsmail/A 35545-2024 FSC-klagomål mail.docx", "A 35545-2024")</f>
        <v/>
      </c>
      <c r="X66">
        <f>HYPERLINK("https://klasma.github.io/Logging_2580/tillsyn/A 35545-2024 tillsynsbegäran.docx", "A 35545-2024")</f>
        <v/>
      </c>
      <c r="Y66">
        <f>HYPERLINK("https://klasma.github.io/Logging_2580/tillsynsmail/A 35545-2024 tillsynsbegäran mail.docx", "A 35545-2024")</f>
        <v/>
      </c>
    </row>
    <row r="67" ht="15" customHeight="1">
      <c r="A67" t="inlineStr">
        <is>
          <t>A 38333-2024</t>
        </is>
      </c>
      <c r="B67" s="1" t="n">
        <v>45545</v>
      </c>
      <c r="C67" s="1" t="n">
        <v>45783</v>
      </c>
      <c r="D67" t="inlineStr">
        <is>
          <t>NORRBOTTENS LÄN</t>
        </is>
      </c>
      <c r="E67" t="inlineStr">
        <is>
          <t>LULEÅ</t>
        </is>
      </c>
      <c r="F67" t="inlineStr">
        <is>
          <t>Sveaskog</t>
        </is>
      </c>
      <c r="G67" t="n">
        <v>2.9</v>
      </c>
      <c r="H67" t="n">
        <v>1</v>
      </c>
      <c r="I67" t="n">
        <v>0</v>
      </c>
      <c r="J67" t="n">
        <v>0</v>
      </c>
      <c r="K67" t="n">
        <v>1</v>
      </c>
      <c r="L67" t="n">
        <v>0</v>
      </c>
      <c r="M67" t="n">
        <v>0</v>
      </c>
      <c r="N67" t="n">
        <v>0</v>
      </c>
      <c r="O67" t="n">
        <v>1</v>
      </c>
      <c r="P67" t="n">
        <v>1</v>
      </c>
      <c r="Q67" t="n">
        <v>1</v>
      </c>
      <c r="R67" s="2" t="inlineStr">
        <is>
          <t>Knärot</t>
        </is>
      </c>
      <c r="S67">
        <f>HYPERLINK("https://klasma.github.io/Logging_2580/artfynd/A 38333-2024 artfynd.xlsx", "A 38333-2024")</f>
        <v/>
      </c>
      <c r="T67">
        <f>HYPERLINK("https://klasma.github.io/Logging_2580/kartor/A 38333-2024 karta.png", "A 38333-2024")</f>
        <v/>
      </c>
      <c r="U67">
        <f>HYPERLINK("https://klasma.github.io/Logging_2580/knärot/A 38333-2024 karta knärot.png", "A 38333-2024")</f>
        <v/>
      </c>
      <c r="V67">
        <f>HYPERLINK("https://klasma.github.io/Logging_2580/klagomål/A 38333-2024 FSC-klagomål.docx", "A 38333-2024")</f>
        <v/>
      </c>
      <c r="W67">
        <f>HYPERLINK("https://klasma.github.io/Logging_2580/klagomålsmail/A 38333-2024 FSC-klagomål mail.docx", "A 38333-2024")</f>
        <v/>
      </c>
      <c r="X67">
        <f>HYPERLINK("https://klasma.github.io/Logging_2580/tillsyn/A 38333-2024 tillsynsbegäran.docx", "A 38333-2024")</f>
        <v/>
      </c>
      <c r="Y67">
        <f>HYPERLINK("https://klasma.github.io/Logging_2580/tillsynsmail/A 38333-2024 tillsynsbegäran mail.docx", "A 38333-2024")</f>
        <v/>
      </c>
    </row>
    <row r="68" ht="15" customHeight="1">
      <c r="A68" t="inlineStr">
        <is>
          <t>A 59395-2024</t>
        </is>
      </c>
      <c r="B68" s="1" t="n">
        <v>45638</v>
      </c>
      <c r="C68" s="1" t="n">
        <v>45783</v>
      </c>
      <c r="D68" t="inlineStr">
        <is>
          <t>NORRBOTTENS LÄN</t>
        </is>
      </c>
      <c r="E68" t="inlineStr">
        <is>
          <t>LULEÅ</t>
        </is>
      </c>
      <c r="F68" t="inlineStr">
        <is>
          <t>Sveaskog</t>
        </is>
      </c>
      <c r="G68" t="n">
        <v>18.3</v>
      </c>
      <c r="H68" t="n">
        <v>0</v>
      </c>
      <c r="I68" t="n">
        <v>1</v>
      </c>
      <c r="J68" t="n">
        <v>0</v>
      </c>
      <c r="K68" t="n">
        <v>0</v>
      </c>
      <c r="L68" t="n">
        <v>0</v>
      </c>
      <c r="M68" t="n">
        <v>0</v>
      </c>
      <c r="N68" t="n">
        <v>0</v>
      </c>
      <c r="O68" t="n">
        <v>0</v>
      </c>
      <c r="P68" t="n">
        <v>0</v>
      </c>
      <c r="Q68" t="n">
        <v>1</v>
      </c>
      <c r="R68" s="2" t="inlineStr">
        <is>
          <t>Stuplav</t>
        </is>
      </c>
      <c r="S68">
        <f>HYPERLINK("https://klasma.github.io/Logging_2580/artfynd/A 59395-2024 artfynd.xlsx", "A 59395-2024")</f>
        <v/>
      </c>
      <c r="T68">
        <f>HYPERLINK("https://klasma.github.io/Logging_2580/kartor/A 59395-2024 karta.png", "A 59395-2024")</f>
        <v/>
      </c>
      <c r="V68">
        <f>HYPERLINK("https://klasma.github.io/Logging_2580/klagomål/A 59395-2024 FSC-klagomål.docx", "A 59395-2024")</f>
        <v/>
      </c>
      <c r="W68">
        <f>HYPERLINK("https://klasma.github.io/Logging_2580/klagomålsmail/A 59395-2024 FSC-klagomål mail.docx", "A 59395-2024")</f>
        <v/>
      </c>
      <c r="X68">
        <f>HYPERLINK("https://klasma.github.io/Logging_2580/tillsyn/A 59395-2024 tillsynsbegäran.docx", "A 59395-2024")</f>
        <v/>
      </c>
      <c r="Y68">
        <f>HYPERLINK("https://klasma.github.io/Logging_2580/tillsynsmail/A 59395-2024 tillsynsbegäran mail.docx", "A 59395-2024")</f>
        <v/>
      </c>
    </row>
    <row r="69" ht="15" customHeight="1">
      <c r="A69" t="inlineStr">
        <is>
          <t>A 60002-2024</t>
        </is>
      </c>
      <c r="B69" s="1" t="n">
        <v>45642</v>
      </c>
      <c r="C69" s="1" t="n">
        <v>45783</v>
      </c>
      <c r="D69" t="inlineStr">
        <is>
          <t>NORRBOTTENS LÄN</t>
        </is>
      </c>
      <c r="E69" t="inlineStr">
        <is>
          <t>LULEÅ</t>
        </is>
      </c>
      <c r="G69" t="n">
        <v>5</v>
      </c>
      <c r="H69" t="n">
        <v>1</v>
      </c>
      <c r="I69" t="n">
        <v>0</v>
      </c>
      <c r="J69" t="n">
        <v>0</v>
      </c>
      <c r="K69" t="n">
        <v>0</v>
      </c>
      <c r="L69" t="n">
        <v>0</v>
      </c>
      <c r="M69" t="n">
        <v>0</v>
      </c>
      <c r="N69" t="n">
        <v>0</v>
      </c>
      <c r="O69" t="n">
        <v>0</v>
      </c>
      <c r="P69" t="n">
        <v>0</v>
      </c>
      <c r="Q69" t="n">
        <v>1</v>
      </c>
      <c r="R69" s="2" t="inlineStr">
        <is>
          <t>Fläcknycklar</t>
        </is>
      </c>
      <c r="S69">
        <f>HYPERLINK("https://klasma.github.io/Logging_2580/artfynd/A 60002-2024 artfynd.xlsx", "A 60002-2024")</f>
        <v/>
      </c>
      <c r="T69">
        <f>HYPERLINK("https://klasma.github.io/Logging_2580/kartor/A 60002-2024 karta.png", "A 60002-2024")</f>
        <v/>
      </c>
      <c r="V69">
        <f>HYPERLINK("https://klasma.github.io/Logging_2580/klagomål/A 60002-2024 FSC-klagomål.docx", "A 60002-2024")</f>
        <v/>
      </c>
      <c r="W69">
        <f>HYPERLINK("https://klasma.github.io/Logging_2580/klagomålsmail/A 60002-2024 FSC-klagomål mail.docx", "A 60002-2024")</f>
        <v/>
      </c>
      <c r="X69">
        <f>HYPERLINK("https://klasma.github.io/Logging_2580/tillsyn/A 60002-2024 tillsynsbegäran.docx", "A 60002-2024")</f>
        <v/>
      </c>
      <c r="Y69">
        <f>HYPERLINK("https://klasma.github.io/Logging_2580/tillsynsmail/A 60002-2024 tillsynsbegäran mail.docx", "A 60002-2024")</f>
        <v/>
      </c>
    </row>
    <row r="70" ht="15" customHeight="1">
      <c r="A70" t="inlineStr">
        <is>
          <t>A 739-2025</t>
        </is>
      </c>
      <c r="B70" s="1" t="n">
        <v>45664</v>
      </c>
      <c r="C70" s="1" t="n">
        <v>45783</v>
      </c>
      <c r="D70" t="inlineStr">
        <is>
          <t>NORRBOTTENS LÄN</t>
        </is>
      </c>
      <c r="E70" t="inlineStr">
        <is>
          <t>LULEÅ</t>
        </is>
      </c>
      <c r="G70" t="n">
        <v>1.8</v>
      </c>
      <c r="H70" t="n">
        <v>0</v>
      </c>
      <c r="I70" t="n">
        <v>0</v>
      </c>
      <c r="J70" t="n">
        <v>1</v>
      </c>
      <c r="K70" t="n">
        <v>0</v>
      </c>
      <c r="L70" t="n">
        <v>0</v>
      </c>
      <c r="M70" t="n">
        <v>0</v>
      </c>
      <c r="N70" t="n">
        <v>0</v>
      </c>
      <c r="O70" t="n">
        <v>1</v>
      </c>
      <c r="P70" t="n">
        <v>0</v>
      </c>
      <c r="Q70" t="n">
        <v>1</v>
      </c>
      <c r="R70" s="2" t="inlineStr">
        <is>
          <t>Garnlav</t>
        </is>
      </c>
      <c r="S70">
        <f>HYPERLINK("https://klasma.github.io/Logging_2580/artfynd/A 739-2025 artfynd.xlsx", "A 739-2025")</f>
        <v/>
      </c>
      <c r="T70">
        <f>HYPERLINK("https://klasma.github.io/Logging_2580/kartor/A 739-2025 karta.png", "A 739-2025")</f>
        <v/>
      </c>
      <c r="U70">
        <f>HYPERLINK("https://klasma.github.io/Logging_2580/knärot/A 739-2025 karta knärot.png", "A 739-2025")</f>
        <v/>
      </c>
      <c r="V70">
        <f>HYPERLINK("https://klasma.github.io/Logging_2580/klagomål/A 739-2025 FSC-klagomål.docx", "A 739-2025")</f>
        <v/>
      </c>
      <c r="W70">
        <f>HYPERLINK("https://klasma.github.io/Logging_2580/klagomålsmail/A 739-2025 FSC-klagomål mail.docx", "A 739-2025")</f>
        <v/>
      </c>
      <c r="X70">
        <f>HYPERLINK("https://klasma.github.io/Logging_2580/tillsyn/A 739-2025 tillsynsbegäran.docx", "A 739-2025")</f>
        <v/>
      </c>
      <c r="Y70">
        <f>HYPERLINK("https://klasma.github.io/Logging_2580/tillsynsmail/A 739-2025 tillsynsbegäran mail.docx", "A 739-2025")</f>
        <v/>
      </c>
    </row>
    <row r="71" ht="15" customHeight="1">
      <c r="A71" t="inlineStr">
        <is>
          <t>A 733-2025</t>
        </is>
      </c>
      <c r="B71" s="1" t="n">
        <v>45664</v>
      </c>
      <c r="C71" s="1" t="n">
        <v>45783</v>
      </c>
      <c r="D71" t="inlineStr">
        <is>
          <t>NORRBOTTENS LÄN</t>
        </is>
      </c>
      <c r="E71" t="inlineStr">
        <is>
          <t>LULEÅ</t>
        </is>
      </c>
      <c r="G71" t="n">
        <v>0.8</v>
      </c>
      <c r="H71" t="n">
        <v>0</v>
      </c>
      <c r="I71" t="n">
        <v>0</v>
      </c>
      <c r="J71" t="n">
        <v>1</v>
      </c>
      <c r="K71" t="n">
        <v>0</v>
      </c>
      <c r="L71" t="n">
        <v>0</v>
      </c>
      <c r="M71" t="n">
        <v>0</v>
      </c>
      <c r="N71" t="n">
        <v>0</v>
      </c>
      <c r="O71" t="n">
        <v>1</v>
      </c>
      <c r="P71" t="n">
        <v>0</v>
      </c>
      <c r="Q71" t="n">
        <v>1</v>
      </c>
      <c r="R71" s="2" t="inlineStr">
        <is>
          <t>Gränsticka</t>
        </is>
      </c>
      <c r="S71">
        <f>HYPERLINK("https://klasma.github.io/Logging_2580/artfynd/A 733-2025 artfynd.xlsx", "A 733-2025")</f>
        <v/>
      </c>
      <c r="T71">
        <f>HYPERLINK("https://klasma.github.io/Logging_2580/kartor/A 733-2025 karta.png", "A 733-2025")</f>
        <v/>
      </c>
      <c r="V71">
        <f>HYPERLINK("https://klasma.github.io/Logging_2580/klagomål/A 733-2025 FSC-klagomål.docx", "A 733-2025")</f>
        <v/>
      </c>
      <c r="W71">
        <f>HYPERLINK("https://klasma.github.io/Logging_2580/klagomålsmail/A 733-2025 FSC-klagomål mail.docx", "A 733-2025")</f>
        <v/>
      </c>
      <c r="X71">
        <f>HYPERLINK("https://klasma.github.io/Logging_2580/tillsyn/A 733-2025 tillsynsbegäran.docx", "A 733-2025")</f>
        <v/>
      </c>
      <c r="Y71">
        <f>HYPERLINK("https://klasma.github.io/Logging_2580/tillsynsmail/A 733-2025 tillsynsbegäran mail.docx", "A 733-2025")</f>
        <v/>
      </c>
    </row>
    <row r="72" ht="15" customHeight="1">
      <c r="A72" t="inlineStr">
        <is>
          <t>A 3578-2025</t>
        </is>
      </c>
      <c r="B72" s="1" t="n">
        <v>45680</v>
      </c>
      <c r="C72" s="1" t="n">
        <v>45783</v>
      </c>
      <c r="D72" t="inlineStr">
        <is>
          <t>NORRBOTTENS LÄN</t>
        </is>
      </c>
      <c r="E72" t="inlineStr">
        <is>
          <t>LULEÅ</t>
        </is>
      </c>
      <c r="G72" t="n">
        <v>3.7</v>
      </c>
      <c r="H72" t="n">
        <v>1</v>
      </c>
      <c r="I72" t="n">
        <v>0</v>
      </c>
      <c r="J72" t="n">
        <v>1</v>
      </c>
      <c r="K72" t="n">
        <v>0</v>
      </c>
      <c r="L72" t="n">
        <v>0</v>
      </c>
      <c r="M72" t="n">
        <v>0</v>
      </c>
      <c r="N72" t="n">
        <v>0</v>
      </c>
      <c r="O72" t="n">
        <v>1</v>
      </c>
      <c r="P72" t="n">
        <v>0</v>
      </c>
      <c r="Q72" t="n">
        <v>1</v>
      </c>
      <c r="R72" s="2" t="inlineStr">
        <is>
          <t>Spillkråka</t>
        </is>
      </c>
      <c r="S72">
        <f>HYPERLINK("https://klasma.github.io/Logging_2580/artfynd/A 3578-2025 artfynd.xlsx", "A 3578-2025")</f>
        <v/>
      </c>
      <c r="T72">
        <f>HYPERLINK("https://klasma.github.io/Logging_2580/kartor/A 3578-2025 karta.png", "A 3578-2025")</f>
        <v/>
      </c>
      <c r="V72">
        <f>HYPERLINK("https://klasma.github.io/Logging_2580/klagomål/A 3578-2025 FSC-klagomål.docx", "A 3578-2025")</f>
        <v/>
      </c>
      <c r="W72">
        <f>HYPERLINK("https://klasma.github.io/Logging_2580/klagomålsmail/A 3578-2025 FSC-klagomål mail.docx", "A 3578-2025")</f>
        <v/>
      </c>
      <c r="X72">
        <f>HYPERLINK("https://klasma.github.io/Logging_2580/tillsyn/A 3578-2025 tillsynsbegäran.docx", "A 3578-2025")</f>
        <v/>
      </c>
      <c r="Y72">
        <f>HYPERLINK("https://klasma.github.io/Logging_2580/tillsynsmail/A 3578-2025 tillsynsbegäran mail.docx", "A 3578-2025")</f>
        <v/>
      </c>
      <c r="Z72">
        <f>HYPERLINK("https://klasma.github.io/Logging_2580/fåglar/A 3578-2025 prioriterade fågelarter.docx", "A 3578-2025")</f>
        <v/>
      </c>
    </row>
    <row r="73" ht="15" customHeight="1">
      <c r="A73" t="inlineStr">
        <is>
          <t>A 4346-2025</t>
        </is>
      </c>
      <c r="B73" s="1" t="n">
        <v>45685</v>
      </c>
      <c r="C73" s="1" t="n">
        <v>45783</v>
      </c>
      <c r="D73" t="inlineStr">
        <is>
          <t>NORRBOTTENS LÄN</t>
        </is>
      </c>
      <c r="E73" t="inlineStr">
        <is>
          <t>LULEÅ</t>
        </is>
      </c>
      <c r="G73" t="n">
        <v>12.3</v>
      </c>
      <c r="H73" t="n">
        <v>0</v>
      </c>
      <c r="I73" t="n">
        <v>0</v>
      </c>
      <c r="J73" t="n">
        <v>1</v>
      </c>
      <c r="K73" t="n">
        <v>0</v>
      </c>
      <c r="L73" t="n">
        <v>0</v>
      </c>
      <c r="M73" t="n">
        <v>0</v>
      </c>
      <c r="N73" t="n">
        <v>0</v>
      </c>
      <c r="O73" t="n">
        <v>1</v>
      </c>
      <c r="P73" t="n">
        <v>0</v>
      </c>
      <c r="Q73" t="n">
        <v>1</v>
      </c>
      <c r="R73" s="2" t="inlineStr">
        <is>
          <t>Garnlav</t>
        </is>
      </c>
      <c r="S73">
        <f>HYPERLINK("https://klasma.github.io/Logging_2580/artfynd/A 4346-2025 artfynd.xlsx", "A 4346-2025")</f>
        <v/>
      </c>
      <c r="T73">
        <f>HYPERLINK("https://klasma.github.io/Logging_2580/kartor/A 4346-2025 karta.png", "A 4346-2025")</f>
        <v/>
      </c>
      <c r="V73">
        <f>HYPERLINK("https://klasma.github.io/Logging_2580/klagomål/A 4346-2025 FSC-klagomål.docx", "A 4346-2025")</f>
        <v/>
      </c>
      <c r="W73">
        <f>HYPERLINK("https://klasma.github.io/Logging_2580/klagomålsmail/A 4346-2025 FSC-klagomål mail.docx", "A 4346-2025")</f>
        <v/>
      </c>
      <c r="X73">
        <f>HYPERLINK("https://klasma.github.io/Logging_2580/tillsyn/A 4346-2025 tillsynsbegäran.docx", "A 4346-2025")</f>
        <v/>
      </c>
      <c r="Y73">
        <f>HYPERLINK("https://klasma.github.io/Logging_2580/tillsynsmail/A 4346-2025 tillsynsbegäran mail.docx", "A 4346-2025")</f>
        <v/>
      </c>
    </row>
    <row r="74" ht="15" customHeight="1">
      <c r="A74" t="inlineStr">
        <is>
          <t>A 6923-2025</t>
        </is>
      </c>
      <c r="B74" s="1" t="n">
        <v>45701</v>
      </c>
      <c r="C74" s="1" t="n">
        <v>45783</v>
      </c>
      <c r="D74" t="inlineStr">
        <is>
          <t>NORRBOTTENS LÄN</t>
        </is>
      </c>
      <c r="E74" t="inlineStr">
        <is>
          <t>LULEÅ</t>
        </is>
      </c>
      <c r="F74" t="inlineStr">
        <is>
          <t>SCA</t>
        </is>
      </c>
      <c r="G74" t="n">
        <v>5.2</v>
      </c>
      <c r="H74" t="n">
        <v>0</v>
      </c>
      <c r="I74" t="n">
        <v>0</v>
      </c>
      <c r="J74" t="n">
        <v>1</v>
      </c>
      <c r="K74" t="n">
        <v>0</v>
      </c>
      <c r="L74" t="n">
        <v>0</v>
      </c>
      <c r="M74" t="n">
        <v>0</v>
      </c>
      <c r="N74" t="n">
        <v>0</v>
      </c>
      <c r="O74" t="n">
        <v>1</v>
      </c>
      <c r="P74" t="n">
        <v>0</v>
      </c>
      <c r="Q74" t="n">
        <v>1</v>
      </c>
      <c r="R74" s="2" t="inlineStr">
        <is>
          <t>Tallticka</t>
        </is>
      </c>
      <c r="S74">
        <f>HYPERLINK("https://klasma.github.io/Logging_2580/artfynd/A 6923-2025 artfynd.xlsx", "A 6923-2025")</f>
        <v/>
      </c>
      <c r="T74">
        <f>HYPERLINK("https://klasma.github.io/Logging_2580/kartor/A 6923-2025 karta.png", "A 6923-2025")</f>
        <v/>
      </c>
      <c r="V74">
        <f>HYPERLINK("https://klasma.github.io/Logging_2580/klagomål/A 6923-2025 FSC-klagomål.docx", "A 6923-2025")</f>
        <v/>
      </c>
      <c r="W74">
        <f>HYPERLINK("https://klasma.github.io/Logging_2580/klagomålsmail/A 6923-2025 FSC-klagomål mail.docx", "A 6923-2025")</f>
        <v/>
      </c>
      <c r="X74">
        <f>HYPERLINK("https://klasma.github.io/Logging_2580/tillsyn/A 6923-2025 tillsynsbegäran.docx", "A 6923-2025")</f>
        <v/>
      </c>
      <c r="Y74">
        <f>HYPERLINK("https://klasma.github.io/Logging_2580/tillsynsmail/A 6923-2025 tillsynsbegäran mail.docx", "A 6923-2025")</f>
        <v/>
      </c>
    </row>
    <row r="75" ht="15" customHeight="1">
      <c r="A75" t="inlineStr">
        <is>
          <t>A 17849-2019</t>
        </is>
      </c>
      <c r="B75" s="1" t="n">
        <v>43556</v>
      </c>
      <c r="C75" s="1" t="n">
        <v>45783</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17850-2019</t>
        </is>
      </c>
      <c r="B76" s="1" t="n">
        <v>43556</v>
      </c>
      <c r="C76" s="1" t="n">
        <v>45783</v>
      </c>
      <c r="D76" t="inlineStr">
        <is>
          <t>NORRBOTTENS LÄN</t>
        </is>
      </c>
      <c r="E76" t="inlineStr">
        <is>
          <t>LULEÅ</t>
        </is>
      </c>
      <c r="G76" t="n">
        <v>4.2</v>
      </c>
      <c r="H76" t="n">
        <v>0</v>
      </c>
      <c r="I76" t="n">
        <v>0</v>
      </c>
      <c r="J76" t="n">
        <v>0</v>
      </c>
      <c r="K76" t="n">
        <v>0</v>
      </c>
      <c r="L76" t="n">
        <v>0</v>
      </c>
      <c r="M76" t="n">
        <v>0</v>
      </c>
      <c r="N76" t="n">
        <v>0</v>
      </c>
      <c r="O76" t="n">
        <v>0</v>
      </c>
      <c r="P76" t="n">
        <v>0</v>
      </c>
      <c r="Q76" t="n">
        <v>0</v>
      </c>
      <c r="R76" s="2" t="inlineStr"/>
    </row>
    <row r="77" ht="15" customHeight="1">
      <c r="A77" t="inlineStr">
        <is>
          <t>A 17848-2019</t>
        </is>
      </c>
      <c r="B77" s="1" t="n">
        <v>43556</v>
      </c>
      <c r="C77" s="1" t="n">
        <v>45783</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17810-2019</t>
        </is>
      </c>
      <c r="B78" s="1" t="n">
        <v>43556</v>
      </c>
      <c r="C78" s="1" t="n">
        <v>45783</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19262-2019</t>
        </is>
      </c>
      <c r="B79" s="1" t="n">
        <v>43564</v>
      </c>
      <c r="C79" s="1" t="n">
        <v>45783</v>
      </c>
      <c r="D79" t="inlineStr">
        <is>
          <t>NORRBOTTENS LÄN</t>
        </is>
      </c>
      <c r="E79" t="inlineStr">
        <is>
          <t>LULEÅ</t>
        </is>
      </c>
      <c r="G79" t="n">
        <v>1.7</v>
      </c>
      <c r="H79" t="n">
        <v>0</v>
      </c>
      <c r="I79" t="n">
        <v>0</v>
      </c>
      <c r="J79" t="n">
        <v>0</v>
      </c>
      <c r="K79" t="n">
        <v>0</v>
      </c>
      <c r="L79" t="n">
        <v>0</v>
      </c>
      <c r="M79" t="n">
        <v>0</v>
      </c>
      <c r="N79" t="n">
        <v>0</v>
      </c>
      <c r="O79" t="n">
        <v>0</v>
      </c>
      <c r="P79" t="n">
        <v>0</v>
      </c>
      <c r="Q79" t="n">
        <v>0</v>
      </c>
      <c r="R79" s="2" t="inlineStr"/>
    </row>
    <row r="80" ht="15" customHeight="1">
      <c r="A80" t="inlineStr">
        <is>
          <t>A 21079-2019</t>
        </is>
      </c>
      <c r="B80" s="1" t="n">
        <v>43578</v>
      </c>
      <c r="C80" s="1" t="n">
        <v>45783</v>
      </c>
      <c r="D80" t="inlineStr">
        <is>
          <t>NORRBOTTENS LÄN</t>
        </is>
      </c>
      <c r="E80" t="inlineStr">
        <is>
          <t>LULEÅ</t>
        </is>
      </c>
      <c r="G80" t="n">
        <v>0.5</v>
      </c>
      <c r="H80" t="n">
        <v>0</v>
      </c>
      <c r="I80" t="n">
        <v>0</v>
      </c>
      <c r="J80" t="n">
        <v>0</v>
      </c>
      <c r="K80" t="n">
        <v>0</v>
      </c>
      <c r="L80" t="n">
        <v>0</v>
      </c>
      <c r="M80" t="n">
        <v>0</v>
      </c>
      <c r="N80" t="n">
        <v>0</v>
      </c>
      <c r="O80" t="n">
        <v>0</v>
      </c>
      <c r="P80" t="n">
        <v>0</v>
      </c>
      <c r="Q80" t="n">
        <v>0</v>
      </c>
      <c r="R80" s="2" t="inlineStr"/>
    </row>
    <row r="81" ht="15" customHeight="1">
      <c r="A81" t="inlineStr">
        <is>
          <t>A 21547-2019</t>
        </is>
      </c>
      <c r="B81" s="1" t="n">
        <v>43580</v>
      </c>
      <c r="C81" s="1" t="n">
        <v>45783</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21548-2019</t>
        </is>
      </c>
      <c r="B82" s="1" t="n">
        <v>43580</v>
      </c>
      <c r="C82" s="1" t="n">
        <v>45783</v>
      </c>
      <c r="D82" t="inlineStr">
        <is>
          <t>NORRBOTTENS LÄN</t>
        </is>
      </c>
      <c r="E82" t="inlineStr">
        <is>
          <t>LULEÅ</t>
        </is>
      </c>
      <c r="G82" t="n">
        <v>2.9</v>
      </c>
      <c r="H82" t="n">
        <v>0</v>
      </c>
      <c r="I82" t="n">
        <v>0</v>
      </c>
      <c r="J82" t="n">
        <v>0</v>
      </c>
      <c r="K82" t="n">
        <v>0</v>
      </c>
      <c r="L82" t="n">
        <v>0</v>
      </c>
      <c r="M82" t="n">
        <v>0</v>
      </c>
      <c r="N82" t="n">
        <v>0</v>
      </c>
      <c r="O82" t="n">
        <v>0</v>
      </c>
      <c r="P82" t="n">
        <v>0</v>
      </c>
      <c r="Q82" t="n">
        <v>0</v>
      </c>
      <c r="R82" s="2" t="inlineStr"/>
    </row>
    <row r="83" ht="15" customHeight="1">
      <c r="A83" t="inlineStr">
        <is>
          <t>A 21546-2019</t>
        </is>
      </c>
      <c r="B83" s="1" t="n">
        <v>43580</v>
      </c>
      <c r="C83" s="1" t="n">
        <v>45783</v>
      </c>
      <c r="D83" t="inlineStr">
        <is>
          <t>NORRBOTTENS LÄN</t>
        </is>
      </c>
      <c r="E83" t="inlineStr">
        <is>
          <t>LULEÅ</t>
        </is>
      </c>
      <c r="G83" t="n">
        <v>5.1</v>
      </c>
      <c r="H83" t="n">
        <v>0</v>
      </c>
      <c r="I83" t="n">
        <v>0</v>
      </c>
      <c r="J83" t="n">
        <v>0</v>
      </c>
      <c r="K83" t="n">
        <v>0</v>
      </c>
      <c r="L83" t="n">
        <v>0</v>
      </c>
      <c r="M83" t="n">
        <v>0</v>
      </c>
      <c r="N83" t="n">
        <v>0</v>
      </c>
      <c r="O83" t="n">
        <v>0</v>
      </c>
      <c r="P83" t="n">
        <v>0</v>
      </c>
      <c r="Q83" t="n">
        <v>0</v>
      </c>
      <c r="R83" s="2" t="inlineStr"/>
    </row>
    <row r="84" ht="15" customHeight="1">
      <c r="A84" t="inlineStr">
        <is>
          <t>A 21550-2019</t>
        </is>
      </c>
      <c r="B84" s="1" t="n">
        <v>43580</v>
      </c>
      <c r="C84" s="1" t="n">
        <v>45783</v>
      </c>
      <c r="D84" t="inlineStr">
        <is>
          <t>NORRBOTTENS LÄN</t>
        </is>
      </c>
      <c r="E84" t="inlineStr">
        <is>
          <t>LULEÅ</t>
        </is>
      </c>
      <c r="G84" t="n">
        <v>3.3</v>
      </c>
      <c r="H84" t="n">
        <v>0</v>
      </c>
      <c r="I84" t="n">
        <v>0</v>
      </c>
      <c r="J84" t="n">
        <v>0</v>
      </c>
      <c r="K84" t="n">
        <v>0</v>
      </c>
      <c r="L84" t="n">
        <v>0</v>
      </c>
      <c r="M84" t="n">
        <v>0</v>
      </c>
      <c r="N84" t="n">
        <v>0</v>
      </c>
      <c r="O84" t="n">
        <v>0</v>
      </c>
      <c r="P84" t="n">
        <v>0</v>
      </c>
      <c r="Q84" t="n">
        <v>0</v>
      </c>
      <c r="R84" s="2" t="inlineStr"/>
    </row>
    <row r="85" ht="15" customHeight="1">
      <c r="A85" t="inlineStr">
        <is>
          <t>A 21916-2019</t>
        </is>
      </c>
      <c r="B85" s="1" t="n">
        <v>43584</v>
      </c>
      <c r="C85" s="1" t="n">
        <v>45783</v>
      </c>
      <c r="D85" t="inlineStr">
        <is>
          <t>NORRBOTTENS LÄN</t>
        </is>
      </c>
      <c r="E85" t="inlineStr">
        <is>
          <t>LULEÅ</t>
        </is>
      </c>
      <c r="G85" t="n">
        <v>3.5</v>
      </c>
      <c r="H85" t="n">
        <v>0</v>
      </c>
      <c r="I85" t="n">
        <v>0</v>
      </c>
      <c r="J85" t="n">
        <v>0</v>
      </c>
      <c r="K85" t="n">
        <v>0</v>
      </c>
      <c r="L85" t="n">
        <v>0</v>
      </c>
      <c r="M85" t="n">
        <v>0</v>
      </c>
      <c r="N85" t="n">
        <v>0</v>
      </c>
      <c r="O85" t="n">
        <v>0</v>
      </c>
      <c r="P85" t="n">
        <v>0</v>
      </c>
      <c r="Q85" t="n">
        <v>0</v>
      </c>
      <c r="R85" s="2" t="inlineStr"/>
    </row>
    <row r="86" ht="15" customHeight="1">
      <c r="A86" t="inlineStr">
        <is>
          <t>A 22098-2019</t>
        </is>
      </c>
      <c r="B86" s="1" t="n">
        <v>43584</v>
      </c>
      <c r="C86" s="1" t="n">
        <v>45783</v>
      </c>
      <c r="D86" t="inlineStr">
        <is>
          <t>NORRBOTTENS LÄN</t>
        </is>
      </c>
      <c r="E86" t="inlineStr">
        <is>
          <t>LULEÅ</t>
        </is>
      </c>
      <c r="G86" t="n">
        <v>2.2</v>
      </c>
      <c r="H86" t="n">
        <v>0</v>
      </c>
      <c r="I86" t="n">
        <v>0</v>
      </c>
      <c r="J86" t="n">
        <v>0</v>
      </c>
      <c r="K86" t="n">
        <v>0</v>
      </c>
      <c r="L86" t="n">
        <v>0</v>
      </c>
      <c r="M86" t="n">
        <v>0</v>
      </c>
      <c r="N86" t="n">
        <v>0</v>
      </c>
      <c r="O86" t="n">
        <v>0</v>
      </c>
      <c r="P86" t="n">
        <v>0</v>
      </c>
      <c r="Q86" t="n">
        <v>0</v>
      </c>
      <c r="R86" s="2" t="inlineStr"/>
    </row>
    <row r="87" ht="15" customHeight="1">
      <c r="A87" t="inlineStr">
        <is>
          <t>A 24885-2019</t>
        </is>
      </c>
      <c r="B87" s="1" t="n">
        <v>43599</v>
      </c>
      <c r="C87" s="1" t="n">
        <v>45783</v>
      </c>
      <c r="D87" t="inlineStr">
        <is>
          <t>NORRBOTTENS LÄN</t>
        </is>
      </c>
      <c r="E87" t="inlineStr">
        <is>
          <t>LULEÅ</t>
        </is>
      </c>
      <c r="G87" t="n">
        <v>1.2</v>
      </c>
      <c r="H87" t="n">
        <v>0</v>
      </c>
      <c r="I87" t="n">
        <v>0</v>
      </c>
      <c r="J87" t="n">
        <v>0</v>
      </c>
      <c r="K87" t="n">
        <v>0</v>
      </c>
      <c r="L87" t="n">
        <v>0</v>
      </c>
      <c r="M87" t="n">
        <v>0</v>
      </c>
      <c r="N87" t="n">
        <v>0</v>
      </c>
      <c r="O87" t="n">
        <v>0</v>
      </c>
      <c r="P87" t="n">
        <v>0</v>
      </c>
      <c r="Q87" t="n">
        <v>0</v>
      </c>
      <c r="R87" s="2" t="inlineStr"/>
    </row>
    <row r="88" ht="15" customHeight="1">
      <c r="A88" t="inlineStr">
        <is>
          <t>A 25208-2019</t>
        </is>
      </c>
      <c r="B88" s="1" t="n">
        <v>43605</v>
      </c>
      <c r="C88" s="1" t="n">
        <v>45783</v>
      </c>
      <c r="D88" t="inlineStr">
        <is>
          <t>NORRBOTTENS LÄN</t>
        </is>
      </c>
      <c r="E88" t="inlineStr">
        <is>
          <t>LULEÅ</t>
        </is>
      </c>
      <c r="G88" t="n">
        <v>25.8</v>
      </c>
      <c r="H88" t="n">
        <v>0</v>
      </c>
      <c r="I88" t="n">
        <v>0</v>
      </c>
      <c r="J88" t="n">
        <v>0</v>
      </c>
      <c r="K88" t="n">
        <v>0</v>
      </c>
      <c r="L88" t="n">
        <v>0</v>
      </c>
      <c r="M88" t="n">
        <v>0</v>
      </c>
      <c r="N88" t="n">
        <v>0</v>
      </c>
      <c r="O88" t="n">
        <v>0</v>
      </c>
      <c r="P88" t="n">
        <v>0</v>
      </c>
      <c r="Q88" t="n">
        <v>0</v>
      </c>
      <c r="R88" s="2" t="inlineStr"/>
    </row>
    <row r="89" ht="15" customHeight="1">
      <c r="A89" t="inlineStr">
        <is>
          <t>A 25212-2019</t>
        </is>
      </c>
      <c r="B89" s="1" t="n">
        <v>43605</v>
      </c>
      <c r="C89" s="1" t="n">
        <v>45783</v>
      </c>
      <c r="D89" t="inlineStr">
        <is>
          <t>NORRBOTTENS LÄN</t>
        </is>
      </c>
      <c r="E89" t="inlineStr">
        <is>
          <t>LULEÅ</t>
        </is>
      </c>
      <c r="G89" t="n">
        <v>10.4</v>
      </c>
      <c r="H89" t="n">
        <v>0</v>
      </c>
      <c r="I89" t="n">
        <v>0</v>
      </c>
      <c r="J89" t="n">
        <v>0</v>
      </c>
      <c r="K89" t="n">
        <v>0</v>
      </c>
      <c r="L89" t="n">
        <v>0</v>
      </c>
      <c r="M89" t="n">
        <v>0</v>
      </c>
      <c r="N89" t="n">
        <v>0</v>
      </c>
      <c r="O89" t="n">
        <v>0</v>
      </c>
      <c r="P89" t="n">
        <v>0</v>
      </c>
      <c r="Q89" t="n">
        <v>0</v>
      </c>
      <c r="R89" s="2" t="inlineStr"/>
    </row>
    <row r="90" ht="15" customHeight="1">
      <c r="A90" t="inlineStr">
        <is>
          <t>A 29037-2019</t>
        </is>
      </c>
      <c r="B90" s="1" t="n">
        <v>43620</v>
      </c>
      <c r="C90" s="1" t="n">
        <v>45783</v>
      </c>
      <c r="D90" t="inlineStr">
        <is>
          <t>NORRBOTTENS LÄN</t>
        </is>
      </c>
      <c r="E90" t="inlineStr">
        <is>
          <t>LULEÅ</t>
        </is>
      </c>
      <c r="G90" t="n">
        <v>3.7</v>
      </c>
      <c r="H90" t="n">
        <v>0</v>
      </c>
      <c r="I90" t="n">
        <v>0</v>
      </c>
      <c r="J90" t="n">
        <v>0</v>
      </c>
      <c r="K90" t="n">
        <v>0</v>
      </c>
      <c r="L90" t="n">
        <v>0</v>
      </c>
      <c r="M90" t="n">
        <v>0</v>
      </c>
      <c r="N90" t="n">
        <v>0</v>
      </c>
      <c r="O90" t="n">
        <v>0</v>
      </c>
      <c r="P90" t="n">
        <v>0</v>
      </c>
      <c r="Q90" t="n">
        <v>0</v>
      </c>
      <c r="R90" s="2" t="inlineStr"/>
    </row>
    <row r="91" ht="15" customHeight="1">
      <c r="A91" t="inlineStr">
        <is>
          <t>A 28286-2019</t>
        </is>
      </c>
      <c r="B91" s="1" t="n">
        <v>43623</v>
      </c>
      <c r="C91" s="1" t="n">
        <v>45783</v>
      </c>
      <c r="D91" t="inlineStr">
        <is>
          <t>NORRBOTTENS LÄN</t>
        </is>
      </c>
      <c r="E91" t="inlineStr">
        <is>
          <t>LULEÅ</t>
        </is>
      </c>
      <c r="F91" t="inlineStr">
        <is>
          <t>Kyrkan</t>
        </is>
      </c>
      <c r="G91" t="n">
        <v>1.9</v>
      </c>
      <c r="H91" t="n">
        <v>0</v>
      </c>
      <c r="I91" t="n">
        <v>0</v>
      </c>
      <c r="J91" t="n">
        <v>0</v>
      </c>
      <c r="K91" t="n">
        <v>0</v>
      </c>
      <c r="L91" t="n">
        <v>0</v>
      </c>
      <c r="M91" t="n">
        <v>0</v>
      </c>
      <c r="N91" t="n">
        <v>0</v>
      </c>
      <c r="O91" t="n">
        <v>0</v>
      </c>
      <c r="P91" t="n">
        <v>0</v>
      </c>
      <c r="Q91" t="n">
        <v>0</v>
      </c>
      <c r="R91" s="2" t="inlineStr"/>
    </row>
    <row r="92" ht="15" customHeight="1">
      <c r="A92" t="inlineStr">
        <is>
          <t>A 28292-2019</t>
        </is>
      </c>
      <c r="B92" s="1" t="n">
        <v>43623</v>
      </c>
      <c r="C92" s="1" t="n">
        <v>45783</v>
      </c>
      <c r="D92" t="inlineStr">
        <is>
          <t>NORRBOTTENS LÄN</t>
        </is>
      </c>
      <c r="E92" t="inlineStr">
        <is>
          <t>LULEÅ</t>
        </is>
      </c>
      <c r="F92" t="inlineStr">
        <is>
          <t>Kyrkan</t>
        </is>
      </c>
      <c r="G92" t="n">
        <v>2.9</v>
      </c>
      <c r="H92" t="n">
        <v>0</v>
      </c>
      <c r="I92" t="n">
        <v>0</v>
      </c>
      <c r="J92" t="n">
        <v>0</v>
      </c>
      <c r="K92" t="n">
        <v>0</v>
      </c>
      <c r="L92" t="n">
        <v>0</v>
      </c>
      <c r="M92" t="n">
        <v>0</v>
      </c>
      <c r="N92" t="n">
        <v>0</v>
      </c>
      <c r="O92" t="n">
        <v>0</v>
      </c>
      <c r="P92" t="n">
        <v>0</v>
      </c>
      <c r="Q92" t="n">
        <v>0</v>
      </c>
      <c r="R92" s="2" t="inlineStr"/>
    </row>
    <row r="93" ht="15" customHeight="1">
      <c r="A93" t="inlineStr">
        <is>
          <t>A 30202-2019</t>
        </is>
      </c>
      <c r="B93" s="1" t="n">
        <v>43634</v>
      </c>
      <c r="C93" s="1" t="n">
        <v>45783</v>
      </c>
      <c r="D93" t="inlineStr">
        <is>
          <t>NORRBOTTENS LÄN</t>
        </is>
      </c>
      <c r="E93" t="inlineStr">
        <is>
          <t>LULEÅ</t>
        </is>
      </c>
      <c r="G93" t="n">
        <v>1</v>
      </c>
      <c r="H93" t="n">
        <v>0</v>
      </c>
      <c r="I93" t="n">
        <v>0</v>
      </c>
      <c r="J93" t="n">
        <v>0</v>
      </c>
      <c r="K93" t="n">
        <v>0</v>
      </c>
      <c r="L93" t="n">
        <v>0</v>
      </c>
      <c r="M93" t="n">
        <v>0</v>
      </c>
      <c r="N93" t="n">
        <v>0</v>
      </c>
      <c r="O93" t="n">
        <v>0</v>
      </c>
      <c r="P93" t="n">
        <v>0</v>
      </c>
      <c r="Q93" t="n">
        <v>0</v>
      </c>
      <c r="R93" s="2" t="inlineStr"/>
    </row>
    <row r="94" ht="15" customHeight="1">
      <c r="A94" t="inlineStr">
        <is>
          <t>A 30543-2019</t>
        </is>
      </c>
      <c r="B94" s="1" t="n">
        <v>43635</v>
      </c>
      <c r="C94" s="1" t="n">
        <v>45783</v>
      </c>
      <c r="D94" t="inlineStr">
        <is>
          <t>NORRBOTTENS LÄN</t>
        </is>
      </c>
      <c r="E94" t="inlineStr">
        <is>
          <t>LULEÅ</t>
        </is>
      </c>
      <c r="G94" t="n">
        <v>0.9</v>
      </c>
      <c r="H94" t="n">
        <v>0</v>
      </c>
      <c r="I94" t="n">
        <v>0</v>
      </c>
      <c r="J94" t="n">
        <v>0</v>
      </c>
      <c r="K94" t="n">
        <v>0</v>
      </c>
      <c r="L94" t="n">
        <v>0</v>
      </c>
      <c r="M94" t="n">
        <v>0</v>
      </c>
      <c r="N94" t="n">
        <v>0</v>
      </c>
      <c r="O94" t="n">
        <v>0</v>
      </c>
      <c r="P94" t="n">
        <v>0</v>
      </c>
      <c r="Q94" t="n">
        <v>0</v>
      </c>
      <c r="R94" s="2" t="inlineStr"/>
    </row>
    <row r="95" ht="15" customHeight="1">
      <c r="A95" t="inlineStr">
        <is>
          <t>A 33452-2019</t>
        </is>
      </c>
      <c r="B95" s="1" t="n">
        <v>43650</v>
      </c>
      <c r="C95" s="1" t="n">
        <v>45783</v>
      </c>
      <c r="D95" t="inlineStr">
        <is>
          <t>NORRBOTTENS LÄN</t>
        </is>
      </c>
      <c r="E95" t="inlineStr">
        <is>
          <t>LULEÅ</t>
        </is>
      </c>
      <c r="G95" t="n">
        <v>2.5</v>
      </c>
      <c r="H95" t="n">
        <v>0</v>
      </c>
      <c r="I95" t="n">
        <v>0</v>
      </c>
      <c r="J95" t="n">
        <v>0</v>
      </c>
      <c r="K95" t="n">
        <v>0</v>
      </c>
      <c r="L95" t="n">
        <v>0</v>
      </c>
      <c r="M95" t="n">
        <v>0</v>
      </c>
      <c r="N95" t="n">
        <v>0</v>
      </c>
      <c r="O95" t="n">
        <v>0</v>
      </c>
      <c r="P95" t="n">
        <v>0</v>
      </c>
      <c r="Q95" t="n">
        <v>0</v>
      </c>
      <c r="R95" s="2" t="inlineStr"/>
    </row>
    <row r="96" ht="15" customHeight="1">
      <c r="A96" t="inlineStr">
        <is>
          <t>A 38704-2019</t>
        </is>
      </c>
      <c r="B96" s="1" t="n">
        <v>43684</v>
      </c>
      <c r="C96" s="1" t="n">
        <v>45783</v>
      </c>
      <c r="D96" t="inlineStr">
        <is>
          <t>NORRBOTTENS LÄN</t>
        </is>
      </c>
      <c r="E96" t="inlineStr">
        <is>
          <t>LULEÅ</t>
        </is>
      </c>
      <c r="G96" t="n">
        <v>2.8</v>
      </c>
      <c r="H96" t="n">
        <v>0</v>
      </c>
      <c r="I96" t="n">
        <v>0</v>
      </c>
      <c r="J96" t="n">
        <v>0</v>
      </c>
      <c r="K96" t="n">
        <v>0</v>
      </c>
      <c r="L96" t="n">
        <v>0</v>
      </c>
      <c r="M96" t="n">
        <v>0</v>
      </c>
      <c r="N96" t="n">
        <v>0</v>
      </c>
      <c r="O96" t="n">
        <v>0</v>
      </c>
      <c r="P96" t="n">
        <v>0</v>
      </c>
      <c r="Q96" t="n">
        <v>0</v>
      </c>
      <c r="R96" s="2" t="inlineStr"/>
    </row>
    <row r="97" ht="15" customHeight="1">
      <c r="A97" t="inlineStr">
        <is>
          <t>A 41091-2019</t>
        </is>
      </c>
      <c r="B97" s="1" t="n">
        <v>43693</v>
      </c>
      <c r="C97" s="1" t="n">
        <v>45783</v>
      </c>
      <c r="D97" t="inlineStr">
        <is>
          <t>NORRBOTTENS LÄN</t>
        </is>
      </c>
      <c r="E97" t="inlineStr">
        <is>
          <t>LULEÅ</t>
        </is>
      </c>
      <c r="G97" t="n">
        <v>4.3</v>
      </c>
      <c r="H97" t="n">
        <v>0</v>
      </c>
      <c r="I97" t="n">
        <v>0</v>
      </c>
      <c r="J97" t="n">
        <v>0</v>
      </c>
      <c r="K97" t="n">
        <v>0</v>
      </c>
      <c r="L97" t="n">
        <v>0</v>
      </c>
      <c r="M97" t="n">
        <v>0</v>
      </c>
      <c r="N97" t="n">
        <v>0</v>
      </c>
      <c r="O97" t="n">
        <v>0</v>
      </c>
      <c r="P97" t="n">
        <v>0</v>
      </c>
      <c r="Q97" t="n">
        <v>0</v>
      </c>
      <c r="R97" s="2" t="inlineStr"/>
    </row>
    <row r="98" ht="15" customHeight="1">
      <c r="A98" t="inlineStr">
        <is>
          <t>A 42782-2019</t>
        </is>
      </c>
      <c r="B98" s="1" t="n">
        <v>43704</v>
      </c>
      <c r="C98" s="1" t="n">
        <v>45783</v>
      </c>
      <c r="D98" t="inlineStr">
        <is>
          <t>NORRBOTTENS LÄN</t>
        </is>
      </c>
      <c r="E98" t="inlineStr">
        <is>
          <t>LULEÅ</t>
        </is>
      </c>
      <c r="F98" t="inlineStr">
        <is>
          <t>SCA</t>
        </is>
      </c>
      <c r="G98" t="n">
        <v>4.7</v>
      </c>
      <c r="H98" t="n">
        <v>0</v>
      </c>
      <c r="I98" t="n">
        <v>0</v>
      </c>
      <c r="J98" t="n">
        <v>0</v>
      </c>
      <c r="K98" t="n">
        <v>0</v>
      </c>
      <c r="L98" t="n">
        <v>0</v>
      </c>
      <c r="M98" t="n">
        <v>0</v>
      </c>
      <c r="N98" t="n">
        <v>0</v>
      </c>
      <c r="O98" t="n">
        <v>0</v>
      </c>
      <c r="P98" t="n">
        <v>0</v>
      </c>
      <c r="Q98" t="n">
        <v>0</v>
      </c>
      <c r="R98" s="2" t="inlineStr"/>
    </row>
    <row r="99" ht="15" customHeight="1">
      <c r="A99" t="inlineStr">
        <is>
          <t>A 42780-2019</t>
        </is>
      </c>
      <c r="B99" s="1" t="n">
        <v>43704</v>
      </c>
      <c r="C99" s="1" t="n">
        <v>45783</v>
      </c>
      <c r="D99" t="inlineStr">
        <is>
          <t>NORRBOTTENS LÄN</t>
        </is>
      </c>
      <c r="E99" t="inlineStr">
        <is>
          <t>LULEÅ</t>
        </is>
      </c>
      <c r="F99" t="inlineStr">
        <is>
          <t>SCA</t>
        </is>
      </c>
      <c r="G99" t="n">
        <v>3.1</v>
      </c>
      <c r="H99" t="n">
        <v>0</v>
      </c>
      <c r="I99" t="n">
        <v>0</v>
      </c>
      <c r="J99" t="n">
        <v>0</v>
      </c>
      <c r="K99" t="n">
        <v>0</v>
      </c>
      <c r="L99" t="n">
        <v>0</v>
      </c>
      <c r="M99" t="n">
        <v>0</v>
      </c>
      <c r="N99" t="n">
        <v>0</v>
      </c>
      <c r="O99" t="n">
        <v>0</v>
      </c>
      <c r="P99" t="n">
        <v>0</v>
      </c>
      <c r="Q99" t="n">
        <v>0</v>
      </c>
      <c r="R99" s="2" t="inlineStr"/>
    </row>
    <row r="100" ht="15" customHeight="1">
      <c r="A100" t="inlineStr">
        <is>
          <t>A 44365-2019</t>
        </is>
      </c>
      <c r="B100" s="1" t="n">
        <v>43711</v>
      </c>
      <c r="C100" s="1" t="n">
        <v>45783</v>
      </c>
      <c r="D100" t="inlineStr">
        <is>
          <t>NORRBOTTENS LÄN</t>
        </is>
      </c>
      <c r="E100" t="inlineStr">
        <is>
          <t>LULEÅ</t>
        </is>
      </c>
      <c r="G100" t="n">
        <v>4</v>
      </c>
      <c r="H100" t="n">
        <v>0</v>
      </c>
      <c r="I100" t="n">
        <v>0</v>
      </c>
      <c r="J100" t="n">
        <v>0</v>
      </c>
      <c r="K100" t="n">
        <v>0</v>
      </c>
      <c r="L100" t="n">
        <v>0</v>
      </c>
      <c r="M100" t="n">
        <v>0</v>
      </c>
      <c r="N100" t="n">
        <v>0</v>
      </c>
      <c r="O100" t="n">
        <v>0</v>
      </c>
      <c r="P100" t="n">
        <v>0</v>
      </c>
      <c r="Q100" t="n">
        <v>0</v>
      </c>
      <c r="R100" s="2" t="inlineStr"/>
    </row>
    <row r="101" ht="15" customHeight="1">
      <c r="A101" t="inlineStr">
        <is>
          <t>A 45252-2019</t>
        </is>
      </c>
      <c r="B101" s="1" t="n">
        <v>43713</v>
      </c>
      <c r="C101" s="1" t="n">
        <v>45783</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45482-2019</t>
        </is>
      </c>
      <c r="B102" s="1" t="n">
        <v>43713</v>
      </c>
      <c r="C102" s="1" t="n">
        <v>45783</v>
      </c>
      <c r="D102" t="inlineStr">
        <is>
          <t>NORRBOTTENS LÄN</t>
        </is>
      </c>
      <c r="E102" t="inlineStr">
        <is>
          <t>LULEÅ</t>
        </is>
      </c>
      <c r="F102" t="inlineStr">
        <is>
          <t>SCA</t>
        </is>
      </c>
      <c r="G102" t="n">
        <v>0.6</v>
      </c>
      <c r="H102" t="n">
        <v>0</v>
      </c>
      <c r="I102" t="n">
        <v>0</v>
      </c>
      <c r="J102" t="n">
        <v>0</v>
      </c>
      <c r="K102" t="n">
        <v>0</v>
      </c>
      <c r="L102" t="n">
        <v>0</v>
      </c>
      <c r="M102" t="n">
        <v>0</v>
      </c>
      <c r="N102" t="n">
        <v>0</v>
      </c>
      <c r="O102" t="n">
        <v>0</v>
      </c>
      <c r="P102" t="n">
        <v>0</v>
      </c>
      <c r="Q102" t="n">
        <v>0</v>
      </c>
      <c r="R102" s="2" t="inlineStr"/>
    </row>
    <row r="103" ht="15" customHeight="1">
      <c r="A103" t="inlineStr">
        <is>
          <t>A 46780-2019</t>
        </is>
      </c>
      <c r="B103" s="1" t="n">
        <v>43718</v>
      </c>
      <c r="C103" s="1" t="n">
        <v>45783</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47405-2019</t>
        </is>
      </c>
      <c r="B104" s="1" t="n">
        <v>43722</v>
      </c>
      <c r="C104" s="1" t="n">
        <v>45783</v>
      </c>
      <c r="D104" t="inlineStr">
        <is>
          <t>NORRBOTTENS LÄN</t>
        </is>
      </c>
      <c r="E104" t="inlineStr">
        <is>
          <t>LULEÅ</t>
        </is>
      </c>
      <c r="G104" t="n">
        <v>0.6</v>
      </c>
      <c r="H104" t="n">
        <v>0</v>
      </c>
      <c r="I104" t="n">
        <v>0</v>
      </c>
      <c r="J104" t="n">
        <v>0</v>
      </c>
      <c r="K104" t="n">
        <v>0</v>
      </c>
      <c r="L104" t="n">
        <v>0</v>
      </c>
      <c r="M104" t="n">
        <v>0</v>
      </c>
      <c r="N104" t="n">
        <v>0</v>
      </c>
      <c r="O104" t="n">
        <v>0</v>
      </c>
      <c r="P104" t="n">
        <v>0</v>
      </c>
      <c r="Q104" t="n">
        <v>0</v>
      </c>
      <c r="R104" s="2" t="inlineStr"/>
    </row>
    <row r="105" ht="15" customHeight="1">
      <c r="A105" t="inlineStr">
        <is>
          <t>A 49751-2019</t>
        </is>
      </c>
      <c r="B105" s="1" t="n">
        <v>43733</v>
      </c>
      <c r="C105" s="1" t="n">
        <v>45783</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49886-2019</t>
        </is>
      </c>
      <c r="B106" s="1" t="n">
        <v>43733</v>
      </c>
      <c r="C106" s="1" t="n">
        <v>45783</v>
      </c>
      <c r="D106" t="inlineStr">
        <is>
          <t>NORRBOTTENS LÄN</t>
        </is>
      </c>
      <c r="E106" t="inlineStr">
        <is>
          <t>LULEÅ</t>
        </is>
      </c>
      <c r="G106" t="n">
        <v>2.7</v>
      </c>
      <c r="H106" t="n">
        <v>0</v>
      </c>
      <c r="I106" t="n">
        <v>0</v>
      </c>
      <c r="J106" t="n">
        <v>0</v>
      </c>
      <c r="K106" t="n">
        <v>0</v>
      </c>
      <c r="L106" t="n">
        <v>0</v>
      </c>
      <c r="M106" t="n">
        <v>0</v>
      </c>
      <c r="N106" t="n">
        <v>0</v>
      </c>
      <c r="O106" t="n">
        <v>0</v>
      </c>
      <c r="P106" t="n">
        <v>0</v>
      </c>
      <c r="Q106" t="n">
        <v>0</v>
      </c>
      <c r="R106" s="2" t="inlineStr"/>
    </row>
    <row r="107" ht="15" customHeight="1">
      <c r="A107" t="inlineStr">
        <is>
          <t>A 49916-2019</t>
        </is>
      </c>
      <c r="B107" s="1" t="n">
        <v>43733</v>
      </c>
      <c r="C107" s="1" t="n">
        <v>45783</v>
      </c>
      <c r="D107" t="inlineStr">
        <is>
          <t>NORRBOTTENS LÄN</t>
        </is>
      </c>
      <c r="E107" t="inlineStr">
        <is>
          <t>LULEÅ</t>
        </is>
      </c>
      <c r="G107" t="n">
        <v>0.8</v>
      </c>
      <c r="H107" t="n">
        <v>0</v>
      </c>
      <c r="I107" t="n">
        <v>0</v>
      </c>
      <c r="J107" t="n">
        <v>0</v>
      </c>
      <c r="K107" t="n">
        <v>0</v>
      </c>
      <c r="L107" t="n">
        <v>0</v>
      </c>
      <c r="M107" t="n">
        <v>0</v>
      </c>
      <c r="N107" t="n">
        <v>0</v>
      </c>
      <c r="O107" t="n">
        <v>0</v>
      </c>
      <c r="P107" t="n">
        <v>0</v>
      </c>
      <c r="Q107" t="n">
        <v>0</v>
      </c>
      <c r="R107" s="2" t="inlineStr"/>
    </row>
    <row r="108" ht="15" customHeight="1">
      <c r="A108" t="inlineStr">
        <is>
          <t>A 51694-2019</t>
        </is>
      </c>
      <c r="B108" s="1" t="n">
        <v>43740</v>
      </c>
      <c r="C108" s="1" t="n">
        <v>45783</v>
      </c>
      <c r="D108" t="inlineStr">
        <is>
          <t>NORRBOTTENS LÄN</t>
        </is>
      </c>
      <c r="E108" t="inlineStr">
        <is>
          <t>LULEÅ</t>
        </is>
      </c>
      <c r="F108" t="inlineStr">
        <is>
          <t>SCA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52917-2019</t>
        </is>
      </c>
      <c r="B109" s="1" t="n">
        <v>43746</v>
      </c>
      <c r="C109" s="1" t="n">
        <v>45783</v>
      </c>
      <c r="D109" t="inlineStr">
        <is>
          <t>NORRBOTTENS LÄN</t>
        </is>
      </c>
      <c r="E109" t="inlineStr">
        <is>
          <t>LULEÅ</t>
        </is>
      </c>
      <c r="F109" t="inlineStr">
        <is>
          <t>Naturvårdsverket</t>
        </is>
      </c>
      <c r="G109" t="n">
        <v>1.1</v>
      </c>
      <c r="H109" t="n">
        <v>0</v>
      </c>
      <c r="I109" t="n">
        <v>0</v>
      </c>
      <c r="J109" t="n">
        <v>0</v>
      </c>
      <c r="K109" t="n">
        <v>0</v>
      </c>
      <c r="L109" t="n">
        <v>0</v>
      </c>
      <c r="M109" t="n">
        <v>0</v>
      </c>
      <c r="N109" t="n">
        <v>0</v>
      </c>
      <c r="O109" t="n">
        <v>0</v>
      </c>
      <c r="P109" t="n">
        <v>0</v>
      </c>
      <c r="Q109" t="n">
        <v>0</v>
      </c>
      <c r="R109" s="2" t="inlineStr"/>
    </row>
    <row r="110" ht="15" customHeight="1">
      <c r="A110" t="inlineStr">
        <is>
          <t>A 53365-2019</t>
        </is>
      </c>
      <c r="B110" s="1" t="n">
        <v>43748</v>
      </c>
      <c r="C110" s="1" t="n">
        <v>45783</v>
      </c>
      <c r="D110" t="inlineStr">
        <is>
          <t>NORRBOTTENS LÄN</t>
        </is>
      </c>
      <c r="E110" t="inlineStr">
        <is>
          <t>LULEÅ</t>
        </is>
      </c>
      <c r="G110" t="n">
        <v>9.300000000000001</v>
      </c>
      <c r="H110" t="n">
        <v>0</v>
      </c>
      <c r="I110" t="n">
        <v>0</v>
      </c>
      <c r="J110" t="n">
        <v>0</v>
      </c>
      <c r="K110" t="n">
        <v>0</v>
      </c>
      <c r="L110" t="n">
        <v>0</v>
      </c>
      <c r="M110" t="n">
        <v>0</v>
      </c>
      <c r="N110" t="n">
        <v>0</v>
      </c>
      <c r="O110" t="n">
        <v>0</v>
      </c>
      <c r="P110" t="n">
        <v>0</v>
      </c>
      <c r="Q110" t="n">
        <v>0</v>
      </c>
      <c r="R110" s="2" t="inlineStr"/>
    </row>
    <row r="111" ht="15" customHeight="1">
      <c r="A111" t="inlineStr">
        <is>
          <t>A 54203-2019</t>
        </is>
      </c>
      <c r="B111" s="1" t="n">
        <v>43753</v>
      </c>
      <c r="C111" s="1" t="n">
        <v>45783</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57724-2019</t>
        </is>
      </c>
      <c r="B112" s="1" t="n">
        <v>43761</v>
      </c>
      <c r="C112" s="1" t="n">
        <v>45783</v>
      </c>
      <c r="D112" t="inlineStr">
        <is>
          <t>NORRBOTTENS LÄN</t>
        </is>
      </c>
      <c r="E112" t="inlineStr">
        <is>
          <t>LULEÅ</t>
        </is>
      </c>
      <c r="G112" t="n">
        <v>14.4</v>
      </c>
      <c r="H112" t="n">
        <v>0</v>
      </c>
      <c r="I112" t="n">
        <v>0</v>
      </c>
      <c r="J112" t="n">
        <v>0</v>
      </c>
      <c r="K112" t="n">
        <v>0</v>
      </c>
      <c r="L112" t="n">
        <v>0</v>
      </c>
      <c r="M112" t="n">
        <v>0</v>
      </c>
      <c r="N112" t="n">
        <v>0</v>
      </c>
      <c r="O112" t="n">
        <v>0</v>
      </c>
      <c r="P112" t="n">
        <v>0</v>
      </c>
      <c r="Q112" t="n">
        <v>0</v>
      </c>
      <c r="R112" s="2" t="inlineStr"/>
    </row>
    <row r="113" ht="15" customHeight="1">
      <c r="A113" t="inlineStr">
        <is>
          <t>A 56811-2019</t>
        </is>
      </c>
      <c r="B113" s="1" t="n">
        <v>43763</v>
      </c>
      <c r="C113" s="1" t="n">
        <v>45783</v>
      </c>
      <c r="D113" t="inlineStr">
        <is>
          <t>NORRBOTTENS LÄN</t>
        </is>
      </c>
      <c r="E113" t="inlineStr">
        <is>
          <t>LULEÅ</t>
        </is>
      </c>
      <c r="F113" t="inlineStr">
        <is>
          <t>SCA</t>
        </is>
      </c>
      <c r="G113" t="n">
        <v>6.4</v>
      </c>
      <c r="H113" t="n">
        <v>0</v>
      </c>
      <c r="I113" t="n">
        <v>0</v>
      </c>
      <c r="J113" t="n">
        <v>0</v>
      </c>
      <c r="K113" t="n">
        <v>0</v>
      </c>
      <c r="L113" t="n">
        <v>0</v>
      </c>
      <c r="M113" t="n">
        <v>0</v>
      </c>
      <c r="N113" t="n">
        <v>0</v>
      </c>
      <c r="O113" t="n">
        <v>0</v>
      </c>
      <c r="P113" t="n">
        <v>0</v>
      </c>
      <c r="Q113" t="n">
        <v>0</v>
      </c>
      <c r="R113" s="2" t="inlineStr"/>
    </row>
    <row r="114" ht="15" customHeight="1">
      <c r="A114" t="inlineStr">
        <is>
          <t>A 56805-2019</t>
        </is>
      </c>
      <c r="B114" s="1" t="n">
        <v>43763</v>
      </c>
      <c r="C114" s="1" t="n">
        <v>45783</v>
      </c>
      <c r="D114" t="inlineStr">
        <is>
          <t>NORRBOTTENS LÄN</t>
        </is>
      </c>
      <c r="E114" t="inlineStr">
        <is>
          <t>LULEÅ</t>
        </is>
      </c>
      <c r="F114" t="inlineStr">
        <is>
          <t>SCA</t>
        </is>
      </c>
      <c r="G114" t="n">
        <v>0.7</v>
      </c>
      <c r="H114" t="n">
        <v>0</v>
      </c>
      <c r="I114" t="n">
        <v>0</v>
      </c>
      <c r="J114" t="n">
        <v>0</v>
      </c>
      <c r="K114" t="n">
        <v>0</v>
      </c>
      <c r="L114" t="n">
        <v>0</v>
      </c>
      <c r="M114" t="n">
        <v>0</v>
      </c>
      <c r="N114" t="n">
        <v>0</v>
      </c>
      <c r="O114" t="n">
        <v>0</v>
      </c>
      <c r="P114" t="n">
        <v>0</v>
      </c>
      <c r="Q114" t="n">
        <v>0</v>
      </c>
      <c r="R114" s="2" t="inlineStr"/>
    </row>
    <row r="115" ht="15" customHeight="1">
      <c r="A115" t="inlineStr">
        <is>
          <t>A 56814-2019</t>
        </is>
      </c>
      <c r="B115" s="1" t="n">
        <v>43763</v>
      </c>
      <c r="C115" s="1" t="n">
        <v>45783</v>
      </c>
      <c r="D115" t="inlineStr">
        <is>
          <t>NORRBOTTENS LÄN</t>
        </is>
      </c>
      <c r="E115" t="inlineStr">
        <is>
          <t>LULEÅ</t>
        </is>
      </c>
      <c r="F115" t="inlineStr">
        <is>
          <t>SCA</t>
        </is>
      </c>
      <c r="G115" t="n">
        <v>17.4</v>
      </c>
      <c r="H115" t="n">
        <v>0</v>
      </c>
      <c r="I115" t="n">
        <v>0</v>
      </c>
      <c r="J115" t="n">
        <v>0</v>
      </c>
      <c r="K115" t="n">
        <v>0</v>
      </c>
      <c r="L115" t="n">
        <v>0</v>
      </c>
      <c r="M115" t="n">
        <v>0</v>
      </c>
      <c r="N115" t="n">
        <v>0</v>
      </c>
      <c r="O115" t="n">
        <v>0</v>
      </c>
      <c r="P115" t="n">
        <v>0</v>
      </c>
      <c r="Q115" t="n">
        <v>0</v>
      </c>
      <c r="R115" s="2" t="inlineStr"/>
    </row>
    <row r="116" ht="15" customHeight="1">
      <c r="A116" t="inlineStr">
        <is>
          <t>A 56815-2019</t>
        </is>
      </c>
      <c r="B116" s="1" t="n">
        <v>43763</v>
      </c>
      <c r="C116" s="1" t="n">
        <v>45783</v>
      </c>
      <c r="D116" t="inlineStr">
        <is>
          <t>NORRBOTTENS LÄN</t>
        </is>
      </c>
      <c r="E116" t="inlineStr">
        <is>
          <t>LULEÅ</t>
        </is>
      </c>
      <c r="F116" t="inlineStr">
        <is>
          <t>SCA</t>
        </is>
      </c>
      <c r="G116" t="n">
        <v>5.2</v>
      </c>
      <c r="H116" t="n">
        <v>0</v>
      </c>
      <c r="I116" t="n">
        <v>0</v>
      </c>
      <c r="J116" t="n">
        <v>0</v>
      </c>
      <c r="K116" t="n">
        <v>0</v>
      </c>
      <c r="L116" t="n">
        <v>0</v>
      </c>
      <c r="M116" t="n">
        <v>0</v>
      </c>
      <c r="N116" t="n">
        <v>0</v>
      </c>
      <c r="O116" t="n">
        <v>0</v>
      </c>
      <c r="P116" t="n">
        <v>0</v>
      </c>
      <c r="Q116" t="n">
        <v>0</v>
      </c>
      <c r="R116" s="2" t="inlineStr"/>
    </row>
    <row r="117" ht="15" customHeight="1">
      <c r="A117" t="inlineStr">
        <is>
          <t>A 56812-2019</t>
        </is>
      </c>
      <c r="B117" s="1" t="n">
        <v>43763</v>
      </c>
      <c r="C117" s="1" t="n">
        <v>45783</v>
      </c>
      <c r="D117" t="inlineStr">
        <is>
          <t>NORRBOTTENS LÄN</t>
        </is>
      </c>
      <c r="E117" t="inlineStr">
        <is>
          <t>LULEÅ</t>
        </is>
      </c>
      <c r="F117" t="inlineStr">
        <is>
          <t>SCA</t>
        </is>
      </c>
      <c r="G117" t="n">
        <v>7.3</v>
      </c>
      <c r="H117" t="n">
        <v>0</v>
      </c>
      <c r="I117" t="n">
        <v>0</v>
      </c>
      <c r="J117" t="n">
        <v>0</v>
      </c>
      <c r="K117" t="n">
        <v>0</v>
      </c>
      <c r="L117" t="n">
        <v>0</v>
      </c>
      <c r="M117" t="n">
        <v>0</v>
      </c>
      <c r="N117" t="n">
        <v>0</v>
      </c>
      <c r="O117" t="n">
        <v>0</v>
      </c>
      <c r="P117" t="n">
        <v>0</v>
      </c>
      <c r="Q117" t="n">
        <v>0</v>
      </c>
      <c r="R117" s="2" t="inlineStr"/>
    </row>
    <row r="118" ht="15" customHeight="1">
      <c r="A118" t="inlineStr">
        <is>
          <t>A 56816-2019</t>
        </is>
      </c>
      <c r="B118" s="1" t="n">
        <v>43763</v>
      </c>
      <c r="C118" s="1" t="n">
        <v>45783</v>
      </c>
      <c r="D118" t="inlineStr">
        <is>
          <t>NORRBOTTENS LÄN</t>
        </is>
      </c>
      <c r="E118" t="inlineStr">
        <is>
          <t>LULEÅ</t>
        </is>
      </c>
      <c r="F118" t="inlineStr">
        <is>
          <t>SCA</t>
        </is>
      </c>
      <c r="G118" t="n">
        <v>1.6</v>
      </c>
      <c r="H118" t="n">
        <v>0</v>
      </c>
      <c r="I118" t="n">
        <v>0</v>
      </c>
      <c r="J118" t="n">
        <v>0</v>
      </c>
      <c r="K118" t="n">
        <v>0</v>
      </c>
      <c r="L118" t="n">
        <v>0</v>
      </c>
      <c r="M118" t="n">
        <v>0</v>
      </c>
      <c r="N118" t="n">
        <v>0</v>
      </c>
      <c r="O118" t="n">
        <v>0</v>
      </c>
      <c r="P118" t="n">
        <v>0</v>
      </c>
      <c r="Q118" t="n">
        <v>0</v>
      </c>
      <c r="R118" s="2" t="inlineStr"/>
    </row>
    <row r="119" ht="15" customHeight="1">
      <c r="A119" t="inlineStr">
        <is>
          <t>A 56813-2019</t>
        </is>
      </c>
      <c r="B119" s="1" t="n">
        <v>43763</v>
      </c>
      <c r="C119" s="1" t="n">
        <v>45783</v>
      </c>
      <c r="D119" t="inlineStr">
        <is>
          <t>NORRBOTTENS LÄN</t>
        </is>
      </c>
      <c r="E119" t="inlineStr">
        <is>
          <t>LULEÅ</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56849-2019</t>
        </is>
      </c>
      <c r="B120" s="1" t="n">
        <v>43765</v>
      </c>
      <c r="C120" s="1" t="n">
        <v>45783</v>
      </c>
      <c r="D120" t="inlineStr">
        <is>
          <t>NORRBOTTENS LÄN</t>
        </is>
      </c>
      <c r="E120" t="inlineStr">
        <is>
          <t>LULEÅ</t>
        </is>
      </c>
      <c r="G120" t="n">
        <v>3.9</v>
      </c>
      <c r="H120" t="n">
        <v>0</v>
      </c>
      <c r="I120" t="n">
        <v>0</v>
      </c>
      <c r="J120" t="n">
        <v>0</v>
      </c>
      <c r="K120" t="n">
        <v>0</v>
      </c>
      <c r="L120" t="n">
        <v>0</v>
      </c>
      <c r="M120" t="n">
        <v>0</v>
      </c>
      <c r="N120" t="n">
        <v>0</v>
      </c>
      <c r="O120" t="n">
        <v>0</v>
      </c>
      <c r="P120" t="n">
        <v>0</v>
      </c>
      <c r="Q120" t="n">
        <v>0</v>
      </c>
      <c r="R120" s="2" t="inlineStr"/>
    </row>
    <row r="121" ht="15" customHeight="1">
      <c r="A121" t="inlineStr">
        <is>
          <t>A 58934-2019</t>
        </is>
      </c>
      <c r="B121" s="1" t="n">
        <v>43769</v>
      </c>
      <c r="C121" s="1" t="n">
        <v>45783</v>
      </c>
      <c r="D121" t="inlineStr">
        <is>
          <t>NORRBOTTENS LÄN</t>
        </is>
      </c>
      <c r="E121" t="inlineStr">
        <is>
          <t>LULEÅ</t>
        </is>
      </c>
      <c r="G121" t="n">
        <v>0.6</v>
      </c>
      <c r="H121" t="n">
        <v>0</v>
      </c>
      <c r="I121" t="n">
        <v>0</v>
      </c>
      <c r="J121" t="n">
        <v>0</v>
      </c>
      <c r="K121" t="n">
        <v>0</v>
      </c>
      <c r="L121" t="n">
        <v>0</v>
      </c>
      <c r="M121" t="n">
        <v>0</v>
      </c>
      <c r="N121" t="n">
        <v>0</v>
      </c>
      <c r="O121" t="n">
        <v>0</v>
      </c>
      <c r="P121" t="n">
        <v>0</v>
      </c>
      <c r="Q121" t="n">
        <v>0</v>
      </c>
      <c r="R121" s="2" t="inlineStr"/>
    </row>
    <row r="122" ht="15" customHeight="1">
      <c r="A122" t="inlineStr">
        <is>
          <t>A 60133-2019</t>
        </is>
      </c>
      <c r="B122" s="1" t="n">
        <v>43778</v>
      </c>
      <c r="C122" s="1" t="n">
        <v>45783</v>
      </c>
      <c r="D122" t="inlineStr">
        <is>
          <t>NORRBOTTENS LÄN</t>
        </is>
      </c>
      <c r="E122" t="inlineStr">
        <is>
          <t>LULEÅ</t>
        </is>
      </c>
      <c r="G122" t="n">
        <v>2.2</v>
      </c>
      <c r="H122" t="n">
        <v>0</v>
      </c>
      <c r="I122" t="n">
        <v>0</v>
      </c>
      <c r="J122" t="n">
        <v>0</v>
      </c>
      <c r="K122" t="n">
        <v>0</v>
      </c>
      <c r="L122" t="n">
        <v>0</v>
      </c>
      <c r="M122" t="n">
        <v>0</v>
      </c>
      <c r="N122" t="n">
        <v>0</v>
      </c>
      <c r="O122" t="n">
        <v>0</v>
      </c>
      <c r="P122" t="n">
        <v>0</v>
      </c>
      <c r="Q122" t="n">
        <v>0</v>
      </c>
      <c r="R122" s="2" t="inlineStr"/>
    </row>
    <row r="123" ht="15" customHeight="1">
      <c r="A123" t="inlineStr">
        <is>
          <t>A 60501-2019</t>
        </is>
      </c>
      <c r="B123" s="1" t="n">
        <v>43780</v>
      </c>
      <c r="C123" s="1" t="n">
        <v>45783</v>
      </c>
      <c r="D123" t="inlineStr">
        <is>
          <t>NORRBOTTENS LÄN</t>
        </is>
      </c>
      <c r="E123" t="inlineStr">
        <is>
          <t>LULEÅ</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60895-2019</t>
        </is>
      </c>
      <c r="B124" s="1" t="n">
        <v>43781</v>
      </c>
      <c r="C124" s="1" t="n">
        <v>45783</v>
      </c>
      <c r="D124" t="inlineStr">
        <is>
          <t>NORRBOTTENS LÄN</t>
        </is>
      </c>
      <c r="E124" t="inlineStr">
        <is>
          <t>LULEÅ</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62169-2019</t>
        </is>
      </c>
      <c r="B125" s="1" t="n">
        <v>43787</v>
      </c>
      <c r="C125" s="1" t="n">
        <v>45783</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63635-2019</t>
        </is>
      </c>
      <c r="B126" s="1" t="n">
        <v>43788</v>
      </c>
      <c r="C126" s="1" t="n">
        <v>45783</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62725-2019</t>
        </is>
      </c>
      <c r="B127" s="1" t="n">
        <v>43789</v>
      </c>
      <c r="C127" s="1" t="n">
        <v>45783</v>
      </c>
      <c r="D127" t="inlineStr">
        <is>
          <t>NORRBOTTENS LÄN</t>
        </is>
      </c>
      <c r="E127" t="inlineStr">
        <is>
          <t>LULEÅ</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62724-2019</t>
        </is>
      </c>
      <c r="B128" s="1" t="n">
        <v>43789</v>
      </c>
      <c r="C128" s="1" t="n">
        <v>45783</v>
      </c>
      <c r="D128" t="inlineStr">
        <is>
          <t>NORRBOTTENS LÄN</t>
        </is>
      </c>
      <c r="E128" t="inlineStr">
        <is>
          <t>LULEÅ</t>
        </is>
      </c>
      <c r="F128" t="inlineStr">
        <is>
          <t>SCA</t>
        </is>
      </c>
      <c r="G128" t="n">
        <v>0.3</v>
      </c>
      <c r="H128" t="n">
        <v>0</v>
      </c>
      <c r="I128" t="n">
        <v>0</v>
      </c>
      <c r="J128" t="n">
        <v>0</v>
      </c>
      <c r="K128" t="n">
        <v>0</v>
      </c>
      <c r="L128" t="n">
        <v>0</v>
      </c>
      <c r="M128" t="n">
        <v>0</v>
      </c>
      <c r="N128" t="n">
        <v>0</v>
      </c>
      <c r="O128" t="n">
        <v>0</v>
      </c>
      <c r="P128" t="n">
        <v>0</v>
      </c>
      <c r="Q128" t="n">
        <v>0</v>
      </c>
      <c r="R128" s="2" t="inlineStr"/>
    </row>
    <row r="129" ht="15" customHeight="1">
      <c r="A129" t="inlineStr">
        <is>
          <t>A 62723-2019</t>
        </is>
      </c>
      <c r="B129" s="1" t="n">
        <v>43789</v>
      </c>
      <c r="C129" s="1" t="n">
        <v>45783</v>
      </c>
      <c r="D129" t="inlineStr">
        <is>
          <t>NORRBOTTENS LÄN</t>
        </is>
      </c>
      <c r="E129" t="inlineStr">
        <is>
          <t>LULEÅ</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63282-2019</t>
        </is>
      </c>
      <c r="B130" s="1" t="n">
        <v>43791</v>
      </c>
      <c r="C130" s="1" t="n">
        <v>45783</v>
      </c>
      <c r="D130" t="inlineStr">
        <is>
          <t>NORRBOTTENS LÄN</t>
        </is>
      </c>
      <c r="E130" t="inlineStr">
        <is>
          <t>LULEÅ</t>
        </is>
      </c>
      <c r="G130" t="n">
        <v>3.9</v>
      </c>
      <c r="H130" t="n">
        <v>0</v>
      </c>
      <c r="I130" t="n">
        <v>0</v>
      </c>
      <c r="J130" t="n">
        <v>0</v>
      </c>
      <c r="K130" t="n">
        <v>0</v>
      </c>
      <c r="L130" t="n">
        <v>0</v>
      </c>
      <c r="M130" t="n">
        <v>0</v>
      </c>
      <c r="N130" t="n">
        <v>0</v>
      </c>
      <c r="O130" t="n">
        <v>0</v>
      </c>
      <c r="P130" t="n">
        <v>0</v>
      </c>
      <c r="Q130" t="n">
        <v>0</v>
      </c>
      <c r="R130" s="2" t="inlineStr"/>
    </row>
    <row r="131" ht="15" customHeight="1">
      <c r="A131" t="inlineStr">
        <is>
          <t>A 64163-2019</t>
        </is>
      </c>
      <c r="B131" s="1" t="n">
        <v>43791</v>
      </c>
      <c r="C131" s="1" t="n">
        <v>45783</v>
      </c>
      <c r="D131" t="inlineStr">
        <is>
          <t>NORRBOTTENS LÄN</t>
        </is>
      </c>
      <c r="E131" t="inlineStr">
        <is>
          <t>LULEÅ</t>
        </is>
      </c>
      <c r="G131" t="n">
        <v>1.9</v>
      </c>
      <c r="H131" t="n">
        <v>0</v>
      </c>
      <c r="I131" t="n">
        <v>0</v>
      </c>
      <c r="J131" t="n">
        <v>0</v>
      </c>
      <c r="K131" t="n">
        <v>0</v>
      </c>
      <c r="L131" t="n">
        <v>0</v>
      </c>
      <c r="M131" t="n">
        <v>0</v>
      </c>
      <c r="N131" t="n">
        <v>0</v>
      </c>
      <c r="O131" t="n">
        <v>0</v>
      </c>
      <c r="P131" t="n">
        <v>0</v>
      </c>
      <c r="Q131" t="n">
        <v>0</v>
      </c>
      <c r="R131" s="2" t="inlineStr"/>
    </row>
    <row r="132" ht="15" customHeight="1">
      <c r="A132" t="inlineStr">
        <is>
          <t>A 64524-2019</t>
        </is>
      </c>
      <c r="B132" s="1" t="n">
        <v>43794</v>
      </c>
      <c r="C132" s="1" t="n">
        <v>45783</v>
      </c>
      <c r="D132" t="inlineStr">
        <is>
          <t>NORRBOTTENS LÄN</t>
        </is>
      </c>
      <c r="E132" t="inlineStr">
        <is>
          <t>LULEÅ</t>
        </is>
      </c>
      <c r="G132" t="n">
        <v>2.2</v>
      </c>
      <c r="H132" t="n">
        <v>0</v>
      </c>
      <c r="I132" t="n">
        <v>0</v>
      </c>
      <c r="J132" t="n">
        <v>0</v>
      </c>
      <c r="K132" t="n">
        <v>0</v>
      </c>
      <c r="L132" t="n">
        <v>0</v>
      </c>
      <c r="M132" t="n">
        <v>0</v>
      </c>
      <c r="N132" t="n">
        <v>0</v>
      </c>
      <c r="O132" t="n">
        <v>0</v>
      </c>
      <c r="P132" t="n">
        <v>0</v>
      </c>
      <c r="Q132" t="n">
        <v>0</v>
      </c>
      <c r="R132" s="2" t="inlineStr"/>
    </row>
    <row r="133" ht="15" customHeight="1">
      <c r="A133" t="inlineStr">
        <is>
          <t>A 64320-2019</t>
        </is>
      </c>
      <c r="B133" s="1" t="n">
        <v>43797</v>
      </c>
      <c r="C133" s="1" t="n">
        <v>45783</v>
      </c>
      <c r="D133" t="inlineStr">
        <is>
          <t>NORRBOTTENS LÄN</t>
        </is>
      </c>
      <c r="E133" t="inlineStr">
        <is>
          <t>LULEÅ</t>
        </is>
      </c>
      <c r="F133" t="inlineStr">
        <is>
          <t>Övriga Aktiebolag</t>
        </is>
      </c>
      <c r="G133" t="n">
        <v>9.9</v>
      </c>
      <c r="H133" t="n">
        <v>0</v>
      </c>
      <c r="I133" t="n">
        <v>0</v>
      </c>
      <c r="J133" t="n">
        <v>0</v>
      </c>
      <c r="K133" t="n">
        <v>0</v>
      </c>
      <c r="L133" t="n">
        <v>0</v>
      </c>
      <c r="M133" t="n">
        <v>0</v>
      </c>
      <c r="N133" t="n">
        <v>0</v>
      </c>
      <c r="O133" t="n">
        <v>0</v>
      </c>
      <c r="P133" t="n">
        <v>0</v>
      </c>
      <c r="Q133" t="n">
        <v>0</v>
      </c>
      <c r="R133" s="2" t="inlineStr"/>
    </row>
    <row r="134" ht="15" customHeight="1">
      <c r="A134" t="inlineStr">
        <is>
          <t>A 64577-2019</t>
        </is>
      </c>
      <c r="B134" s="1" t="n">
        <v>43798</v>
      </c>
      <c r="C134" s="1" t="n">
        <v>45783</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65811-2019</t>
        </is>
      </c>
      <c r="B135" s="1" t="n">
        <v>43805</v>
      </c>
      <c r="C135" s="1" t="n">
        <v>45783</v>
      </c>
      <c r="D135" t="inlineStr">
        <is>
          <t>NORRBOTTENS LÄN</t>
        </is>
      </c>
      <c r="E135" t="inlineStr">
        <is>
          <t>LULEÅ</t>
        </is>
      </c>
      <c r="G135" t="n">
        <v>4.1</v>
      </c>
      <c r="H135" t="n">
        <v>0</v>
      </c>
      <c r="I135" t="n">
        <v>0</v>
      </c>
      <c r="J135" t="n">
        <v>0</v>
      </c>
      <c r="K135" t="n">
        <v>0</v>
      </c>
      <c r="L135" t="n">
        <v>0</v>
      </c>
      <c r="M135" t="n">
        <v>0</v>
      </c>
      <c r="N135" t="n">
        <v>0</v>
      </c>
      <c r="O135" t="n">
        <v>0</v>
      </c>
      <c r="P135" t="n">
        <v>0</v>
      </c>
      <c r="Q135" t="n">
        <v>0</v>
      </c>
      <c r="R135" s="2" t="inlineStr"/>
    </row>
    <row r="136" ht="15" customHeight="1">
      <c r="A136" t="inlineStr">
        <is>
          <t>A 68207-2019</t>
        </is>
      </c>
      <c r="B136" s="1" t="n">
        <v>43817</v>
      </c>
      <c r="C136" s="1" t="n">
        <v>45783</v>
      </c>
      <c r="D136" t="inlineStr">
        <is>
          <t>NORRBOTTENS LÄN</t>
        </is>
      </c>
      <c r="E136" t="inlineStr">
        <is>
          <t>LULEÅ</t>
        </is>
      </c>
      <c r="F136" t="inlineStr">
        <is>
          <t>Övriga Aktiebolag</t>
        </is>
      </c>
      <c r="G136" t="n">
        <v>6.8</v>
      </c>
      <c r="H136" t="n">
        <v>0</v>
      </c>
      <c r="I136" t="n">
        <v>0</v>
      </c>
      <c r="J136" t="n">
        <v>0</v>
      </c>
      <c r="K136" t="n">
        <v>0</v>
      </c>
      <c r="L136" t="n">
        <v>0</v>
      </c>
      <c r="M136" t="n">
        <v>0</v>
      </c>
      <c r="N136" t="n">
        <v>0</v>
      </c>
      <c r="O136" t="n">
        <v>0</v>
      </c>
      <c r="P136" t="n">
        <v>0</v>
      </c>
      <c r="Q136" t="n">
        <v>0</v>
      </c>
      <c r="R136" s="2" t="inlineStr"/>
    </row>
    <row r="137" ht="15" customHeight="1">
      <c r="A137" t="inlineStr">
        <is>
          <t>A 68209-2019</t>
        </is>
      </c>
      <c r="B137" s="1" t="n">
        <v>43817</v>
      </c>
      <c r="C137" s="1" t="n">
        <v>45783</v>
      </c>
      <c r="D137" t="inlineStr">
        <is>
          <t>NORRBOTTENS LÄN</t>
        </is>
      </c>
      <c r="E137" t="inlineStr">
        <is>
          <t>LULEÅ</t>
        </is>
      </c>
      <c r="F137" t="inlineStr">
        <is>
          <t>Övriga Aktiebolag</t>
        </is>
      </c>
      <c r="G137" t="n">
        <v>10.1</v>
      </c>
      <c r="H137" t="n">
        <v>0</v>
      </c>
      <c r="I137" t="n">
        <v>0</v>
      </c>
      <c r="J137" t="n">
        <v>0</v>
      </c>
      <c r="K137" t="n">
        <v>0</v>
      </c>
      <c r="L137" t="n">
        <v>0</v>
      </c>
      <c r="M137" t="n">
        <v>0</v>
      </c>
      <c r="N137" t="n">
        <v>0</v>
      </c>
      <c r="O137" t="n">
        <v>0</v>
      </c>
      <c r="P137" t="n">
        <v>0</v>
      </c>
      <c r="Q137" t="n">
        <v>0</v>
      </c>
      <c r="R137" s="2" t="inlineStr"/>
    </row>
    <row r="138" ht="15" customHeight="1">
      <c r="A138" t="inlineStr">
        <is>
          <t>A 68660-2019</t>
        </is>
      </c>
      <c r="B138" s="1" t="n">
        <v>43819</v>
      </c>
      <c r="C138" s="1" t="n">
        <v>45783</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1518-2020</t>
        </is>
      </c>
      <c r="B139" s="1" t="n">
        <v>43826</v>
      </c>
      <c r="C139" s="1" t="n">
        <v>45783</v>
      </c>
      <c r="D139" t="inlineStr">
        <is>
          <t>NORRBOTTENS LÄN</t>
        </is>
      </c>
      <c r="E139" t="inlineStr">
        <is>
          <t>LULEÅ</t>
        </is>
      </c>
      <c r="G139" t="n">
        <v>7.3</v>
      </c>
      <c r="H139" t="n">
        <v>0</v>
      </c>
      <c r="I139" t="n">
        <v>0</v>
      </c>
      <c r="J139" t="n">
        <v>0</v>
      </c>
      <c r="K139" t="n">
        <v>0</v>
      </c>
      <c r="L139" t="n">
        <v>0</v>
      </c>
      <c r="M139" t="n">
        <v>0</v>
      </c>
      <c r="N139" t="n">
        <v>0</v>
      </c>
      <c r="O139" t="n">
        <v>0</v>
      </c>
      <c r="P139" t="n">
        <v>0</v>
      </c>
      <c r="Q139" t="n">
        <v>0</v>
      </c>
      <c r="R139" s="2" t="inlineStr"/>
    </row>
    <row r="140" ht="15" customHeight="1">
      <c r="A140" t="inlineStr">
        <is>
          <t>A 1772-2020</t>
        </is>
      </c>
      <c r="B140" s="1" t="n">
        <v>43832</v>
      </c>
      <c r="C140" s="1" t="n">
        <v>45783</v>
      </c>
      <c r="D140" t="inlineStr">
        <is>
          <t>NORRBOTTENS LÄN</t>
        </is>
      </c>
      <c r="E140" t="inlineStr">
        <is>
          <t>LULEÅ</t>
        </is>
      </c>
      <c r="G140" t="n">
        <v>16.4</v>
      </c>
      <c r="H140" t="n">
        <v>0</v>
      </c>
      <c r="I140" t="n">
        <v>0</v>
      </c>
      <c r="J140" t="n">
        <v>0</v>
      </c>
      <c r="K140" t="n">
        <v>0</v>
      </c>
      <c r="L140" t="n">
        <v>0</v>
      </c>
      <c r="M140" t="n">
        <v>0</v>
      </c>
      <c r="N140" t="n">
        <v>0</v>
      </c>
      <c r="O140" t="n">
        <v>0</v>
      </c>
      <c r="P140" t="n">
        <v>0</v>
      </c>
      <c r="Q140" t="n">
        <v>0</v>
      </c>
      <c r="R140" s="2" t="inlineStr"/>
    </row>
    <row r="141" ht="15" customHeight="1">
      <c r="A141" t="inlineStr">
        <is>
          <t>A 1759-2020</t>
        </is>
      </c>
      <c r="B141" s="1" t="n">
        <v>43833</v>
      </c>
      <c r="C141" s="1" t="n">
        <v>45783</v>
      </c>
      <c r="D141" t="inlineStr">
        <is>
          <t>NORRBOTTENS LÄN</t>
        </is>
      </c>
      <c r="E141" t="inlineStr">
        <is>
          <t>LULEÅ</t>
        </is>
      </c>
      <c r="G141" t="n">
        <v>1.3</v>
      </c>
      <c r="H141" t="n">
        <v>0</v>
      </c>
      <c r="I141" t="n">
        <v>0</v>
      </c>
      <c r="J141" t="n">
        <v>0</v>
      </c>
      <c r="K141" t="n">
        <v>0</v>
      </c>
      <c r="L141" t="n">
        <v>0</v>
      </c>
      <c r="M141" t="n">
        <v>0</v>
      </c>
      <c r="N141" t="n">
        <v>0</v>
      </c>
      <c r="O141" t="n">
        <v>0</v>
      </c>
      <c r="P141" t="n">
        <v>0</v>
      </c>
      <c r="Q141" t="n">
        <v>0</v>
      </c>
      <c r="R141" s="2" t="inlineStr"/>
    </row>
    <row r="142" ht="15" customHeight="1">
      <c r="A142" t="inlineStr">
        <is>
          <t>A 1769-2020</t>
        </is>
      </c>
      <c r="B142" s="1" t="n">
        <v>43833</v>
      </c>
      <c r="C142" s="1" t="n">
        <v>45783</v>
      </c>
      <c r="D142" t="inlineStr">
        <is>
          <t>NORRBOTTENS LÄN</t>
        </is>
      </c>
      <c r="E142" t="inlineStr">
        <is>
          <t>LULEÅ</t>
        </is>
      </c>
      <c r="G142" t="n">
        <v>5.5</v>
      </c>
      <c r="H142" t="n">
        <v>0</v>
      </c>
      <c r="I142" t="n">
        <v>0</v>
      </c>
      <c r="J142" t="n">
        <v>0</v>
      </c>
      <c r="K142" t="n">
        <v>0</v>
      </c>
      <c r="L142" t="n">
        <v>0</v>
      </c>
      <c r="M142" t="n">
        <v>0</v>
      </c>
      <c r="N142" t="n">
        <v>0</v>
      </c>
      <c r="O142" t="n">
        <v>0</v>
      </c>
      <c r="P142" t="n">
        <v>0</v>
      </c>
      <c r="Q142" t="n">
        <v>0</v>
      </c>
      <c r="R142" s="2" t="inlineStr"/>
    </row>
    <row r="143" ht="15" customHeight="1">
      <c r="A143" t="inlineStr">
        <is>
          <t>A 725-2020</t>
        </is>
      </c>
      <c r="B143" s="1" t="n">
        <v>43838</v>
      </c>
      <c r="C143" s="1" t="n">
        <v>45783</v>
      </c>
      <c r="D143" t="inlineStr">
        <is>
          <t>NORRBOTTENS LÄN</t>
        </is>
      </c>
      <c r="E143" t="inlineStr">
        <is>
          <t>LULEÅ</t>
        </is>
      </c>
      <c r="G143" t="n">
        <v>7.9</v>
      </c>
      <c r="H143" t="n">
        <v>0</v>
      </c>
      <c r="I143" t="n">
        <v>0</v>
      </c>
      <c r="J143" t="n">
        <v>0</v>
      </c>
      <c r="K143" t="n">
        <v>0</v>
      </c>
      <c r="L143" t="n">
        <v>0</v>
      </c>
      <c r="M143" t="n">
        <v>0</v>
      </c>
      <c r="N143" t="n">
        <v>0</v>
      </c>
      <c r="O143" t="n">
        <v>0</v>
      </c>
      <c r="P143" t="n">
        <v>0</v>
      </c>
      <c r="Q143" t="n">
        <v>0</v>
      </c>
      <c r="R143" s="2" t="inlineStr"/>
    </row>
    <row r="144" ht="15" customHeight="1">
      <c r="A144" t="inlineStr">
        <is>
          <t>A 1932-2020</t>
        </is>
      </c>
      <c r="B144" s="1" t="n">
        <v>43838</v>
      </c>
      <c r="C144" s="1" t="n">
        <v>45783</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796-2020</t>
        </is>
      </c>
      <c r="B145" s="1" t="n">
        <v>43838</v>
      </c>
      <c r="C145" s="1" t="n">
        <v>45783</v>
      </c>
      <c r="D145" t="inlineStr">
        <is>
          <t>NORRBOTTENS LÄN</t>
        </is>
      </c>
      <c r="E145" t="inlineStr">
        <is>
          <t>LULEÅ</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1266-2020</t>
        </is>
      </c>
      <c r="B146" s="1" t="n">
        <v>43840</v>
      </c>
      <c r="C146" s="1" t="n">
        <v>45783</v>
      </c>
      <c r="D146" t="inlineStr">
        <is>
          <t>NORRBOTTENS LÄN</t>
        </is>
      </c>
      <c r="E146" t="inlineStr">
        <is>
          <t>LULEÅ</t>
        </is>
      </c>
      <c r="G146" t="n">
        <v>14.8</v>
      </c>
      <c r="H146" t="n">
        <v>0</v>
      </c>
      <c r="I146" t="n">
        <v>0</v>
      </c>
      <c r="J146" t="n">
        <v>0</v>
      </c>
      <c r="K146" t="n">
        <v>0</v>
      </c>
      <c r="L146" t="n">
        <v>0</v>
      </c>
      <c r="M146" t="n">
        <v>0</v>
      </c>
      <c r="N146" t="n">
        <v>0</v>
      </c>
      <c r="O146" t="n">
        <v>0</v>
      </c>
      <c r="P146" t="n">
        <v>0</v>
      </c>
      <c r="Q146" t="n">
        <v>0</v>
      </c>
      <c r="R146" s="2" t="inlineStr"/>
    </row>
    <row r="147" ht="15" customHeight="1">
      <c r="A147" t="inlineStr">
        <is>
          <t>A 2578-2020</t>
        </is>
      </c>
      <c r="B147" s="1" t="n">
        <v>43843</v>
      </c>
      <c r="C147" s="1" t="n">
        <v>45783</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1435-2020</t>
        </is>
      </c>
      <c r="B148" s="1" t="n">
        <v>43843</v>
      </c>
      <c r="C148" s="1" t="n">
        <v>45783</v>
      </c>
      <c r="D148" t="inlineStr">
        <is>
          <t>NORRBOTTENS LÄN</t>
        </is>
      </c>
      <c r="E148" t="inlineStr">
        <is>
          <t>LULEÅ</t>
        </is>
      </c>
      <c r="G148" t="n">
        <v>12.5</v>
      </c>
      <c r="H148" t="n">
        <v>0</v>
      </c>
      <c r="I148" t="n">
        <v>0</v>
      </c>
      <c r="J148" t="n">
        <v>0</v>
      </c>
      <c r="K148" t="n">
        <v>0</v>
      </c>
      <c r="L148" t="n">
        <v>0</v>
      </c>
      <c r="M148" t="n">
        <v>0</v>
      </c>
      <c r="N148" t="n">
        <v>0</v>
      </c>
      <c r="O148" t="n">
        <v>0</v>
      </c>
      <c r="P148" t="n">
        <v>0</v>
      </c>
      <c r="Q148" t="n">
        <v>0</v>
      </c>
      <c r="R148" s="2" t="inlineStr"/>
    </row>
    <row r="149" ht="15" customHeight="1">
      <c r="A149" t="inlineStr">
        <is>
          <t>A 2378-2020</t>
        </is>
      </c>
      <c r="B149" s="1" t="n">
        <v>43846</v>
      </c>
      <c r="C149" s="1" t="n">
        <v>45783</v>
      </c>
      <c r="D149" t="inlineStr">
        <is>
          <t>NORRBOTTENS LÄN</t>
        </is>
      </c>
      <c r="E149" t="inlineStr">
        <is>
          <t>LULEÅ</t>
        </is>
      </c>
      <c r="F149" t="inlineStr">
        <is>
          <t>SCA</t>
        </is>
      </c>
      <c r="G149" t="n">
        <v>5.2</v>
      </c>
      <c r="H149" t="n">
        <v>0</v>
      </c>
      <c r="I149" t="n">
        <v>0</v>
      </c>
      <c r="J149" t="n">
        <v>0</v>
      </c>
      <c r="K149" t="n">
        <v>0</v>
      </c>
      <c r="L149" t="n">
        <v>0</v>
      </c>
      <c r="M149" t="n">
        <v>0</v>
      </c>
      <c r="N149" t="n">
        <v>0</v>
      </c>
      <c r="O149" t="n">
        <v>0</v>
      </c>
      <c r="P149" t="n">
        <v>0</v>
      </c>
      <c r="Q149" t="n">
        <v>0</v>
      </c>
      <c r="R149" s="2" t="inlineStr"/>
    </row>
    <row r="150" ht="15" customHeight="1">
      <c r="A150" t="inlineStr">
        <is>
          <t>A 2558-2020</t>
        </is>
      </c>
      <c r="B150" s="1" t="n">
        <v>43847</v>
      </c>
      <c r="C150" s="1" t="n">
        <v>45783</v>
      </c>
      <c r="D150" t="inlineStr">
        <is>
          <t>NORRBOTTENS LÄN</t>
        </is>
      </c>
      <c r="E150" t="inlineStr">
        <is>
          <t>LULEÅ</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3303-2020</t>
        </is>
      </c>
      <c r="B151" s="1" t="n">
        <v>43852</v>
      </c>
      <c r="C151" s="1" t="n">
        <v>45783</v>
      </c>
      <c r="D151" t="inlineStr">
        <is>
          <t>NORRBOTTENS LÄN</t>
        </is>
      </c>
      <c r="E151" t="inlineStr">
        <is>
          <t>LULEÅ</t>
        </is>
      </c>
      <c r="G151" t="n">
        <v>0.9</v>
      </c>
      <c r="H151" t="n">
        <v>0</v>
      </c>
      <c r="I151" t="n">
        <v>0</v>
      </c>
      <c r="J151" t="n">
        <v>0</v>
      </c>
      <c r="K151" t="n">
        <v>0</v>
      </c>
      <c r="L151" t="n">
        <v>0</v>
      </c>
      <c r="M151" t="n">
        <v>0</v>
      </c>
      <c r="N151" t="n">
        <v>0</v>
      </c>
      <c r="O151" t="n">
        <v>0</v>
      </c>
      <c r="P151" t="n">
        <v>0</v>
      </c>
      <c r="Q151" t="n">
        <v>0</v>
      </c>
      <c r="R151" s="2" t="inlineStr"/>
    </row>
    <row r="152" ht="15" customHeight="1">
      <c r="A152" t="inlineStr">
        <is>
          <t>A 3707-2020</t>
        </is>
      </c>
      <c r="B152" s="1" t="n">
        <v>43853</v>
      </c>
      <c r="C152" s="1" t="n">
        <v>45783</v>
      </c>
      <c r="D152" t="inlineStr">
        <is>
          <t>NORRBOTTENS LÄN</t>
        </is>
      </c>
      <c r="E152" t="inlineStr">
        <is>
          <t>LULEÅ</t>
        </is>
      </c>
      <c r="G152" t="n">
        <v>4</v>
      </c>
      <c r="H152" t="n">
        <v>0</v>
      </c>
      <c r="I152" t="n">
        <v>0</v>
      </c>
      <c r="J152" t="n">
        <v>0</v>
      </c>
      <c r="K152" t="n">
        <v>0</v>
      </c>
      <c r="L152" t="n">
        <v>0</v>
      </c>
      <c r="M152" t="n">
        <v>0</v>
      </c>
      <c r="N152" t="n">
        <v>0</v>
      </c>
      <c r="O152" t="n">
        <v>0</v>
      </c>
      <c r="P152" t="n">
        <v>0</v>
      </c>
      <c r="Q152" t="n">
        <v>0</v>
      </c>
      <c r="R152" s="2" t="inlineStr"/>
    </row>
    <row r="153" ht="15" customHeight="1">
      <c r="A153" t="inlineStr">
        <is>
          <t>A 5322-2020</t>
        </is>
      </c>
      <c r="B153" s="1" t="n">
        <v>43860</v>
      </c>
      <c r="C153" s="1" t="n">
        <v>45783</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5419-2020</t>
        </is>
      </c>
      <c r="B154" s="1" t="n">
        <v>43860</v>
      </c>
      <c r="C154" s="1" t="n">
        <v>45783</v>
      </c>
      <c r="D154" t="inlineStr">
        <is>
          <t>NORRBOTTENS LÄN</t>
        </is>
      </c>
      <c r="E154" t="inlineStr">
        <is>
          <t>LULEÅ</t>
        </is>
      </c>
      <c r="G154" t="n">
        <v>8</v>
      </c>
      <c r="H154" t="n">
        <v>0</v>
      </c>
      <c r="I154" t="n">
        <v>0</v>
      </c>
      <c r="J154" t="n">
        <v>0</v>
      </c>
      <c r="K154" t="n">
        <v>0</v>
      </c>
      <c r="L154" t="n">
        <v>0</v>
      </c>
      <c r="M154" t="n">
        <v>0</v>
      </c>
      <c r="N154" t="n">
        <v>0</v>
      </c>
      <c r="O154" t="n">
        <v>0</v>
      </c>
      <c r="P154" t="n">
        <v>0</v>
      </c>
      <c r="Q154" t="n">
        <v>0</v>
      </c>
      <c r="R154" s="2" t="inlineStr"/>
    </row>
    <row r="155" ht="15" customHeight="1">
      <c r="A155" t="inlineStr">
        <is>
          <t>A 6644-2020</t>
        </is>
      </c>
      <c r="B155" s="1" t="n">
        <v>43867</v>
      </c>
      <c r="C155" s="1" t="n">
        <v>45783</v>
      </c>
      <c r="D155" t="inlineStr">
        <is>
          <t>NORRBOTTENS LÄN</t>
        </is>
      </c>
      <c r="E155" t="inlineStr">
        <is>
          <t>LULEÅ</t>
        </is>
      </c>
      <c r="G155" t="n">
        <v>3.5</v>
      </c>
      <c r="H155" t="n">
        <v>0</v>
      </c>
      <c r="I155" t="n">
        <v>0</v>
      </c>
      <c r="J155" t="n">
        <v>0</v>
      </c>
      <c r="K155" t="n">
        <v>0</v>
      </c>
      <c r="L155" t="n">
        <v>0</v>
      </c>
      <c r="M155" t="n">
        <v>0</v>
      </c>
      <c r="N155" t="n">
        <v>0</v>
      </c>
      <c r="O155" t="n">
        <v>0</v>
      </c>
      <c r="P155" t="n">
        <v>0</v>
      </c>
      <c r="Q155" t="n">
        <v>0</v>
      </c>
      <c r="R155" s="2" t="inlineStr"/>
    </row>
    <row r="156" ht="15" customHeight="1">
      <c r="A156" t="inlineStr">
        <is>
          <t>A 6641-2020</t>
        </is>
      </c>
      <c r="B156" s="1" t="n">
        <v>43867</v>
      </c>
      <c r="C156" s="1" t="n">
        <v>45783</v>
      </c>
      <c r="D156" t="inlineStr">
        <is>
          <t>NORRBOTTENS LÄN</t>
        </is>
      </c>
      <c r="E156" t="inlineStr">
        <is>
          <t>LULEÅ</t>
        </is>
      </c>
      <c r="G156" t="n">
        <v>13.5</v>
      </c>
      <c r="H156" t="n">
        <v>0</v>
      </c>
      <c r="I156" t="n">
        <v>0</v>
      </c>
      <c r="J156" t="n">
        <v>0</v>
      </c>
      <c r="K156" t="n">
        <v>0</v>
      </c>
      <c r="L156" t="n">
        <v>0</v>
      </c>
      <c r="M156" t="n">
        <v>0</v>
      </c>
      <c r="N156" t="n">
        <v>0</v>
      </c>
      <c r="O156" t="n">
        <v>0</v>
      </c>
      <c r="P156" t="n">
        <v>0</v>
      </c>
      <c r="Q156" t="n">
        <v>0</v>
      </c>
      <c r="R156" s="2" t="inlineStr"/>
    </row>
    <row r="157" ht="15" customHeight="1">
      <c r="A157" t="inlineStr">
        <is>
          <t>A 6878-2020</t>
        </is>
      </c>
      <c r="B157" s="1" t="n">
        <v>43867</v>
      </c>
      <c r="C157" s="1" t="n">
        <v>45783</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7299-2020</t>
        </is>
      </c>
      <c r="B158" s="1" t="n">
        <v>43868</v>
      </c>
      <c r="C158" s="1" t="n">
        <v>45783</v>
      </c>
      <c r="D158" t="inlineStr">
        <is>
          <t>NORRBOTTENS LÄN</t>
        </is>
      </c>
      <c r="E158" t="inlineStr">
        <is>
          <t>LULEÅ</t>
        </is>
      </c>
      <c r="G158" t="n">
        <v>6.2</v>
      </c>
      <c r="H158" t="n">
        <v>0</v>
      </c>
      <c r="I158" t="n">
        <v>0</v>
      </c>
      <c r="J158" t="n">
        <v>0</v>
      </c>
      <c r="K158" t="n">
        <v>0</v>
      </c>
      <c r="L158" t="n">
        <v>0</v>
      </c>
      <c r="M158" t="n">
        <v>0</v>
      </c>
      <c r="N158" t="n">
        <v>0</v>
      </c>
      <c r="O158" t="n">
        <v>0</v>
      </c>
      <c r="P158" t="n">
        <v>0</v>
      </c>
      <c r="Q158" t="n">
        <v>0</v>
      </c>
      <c r="R158" s="2" t="inlineStr"/>
    </row>
    <row r="159" ht="15" customHeight="1">
      <c r="A159" t="inlineStr">
        <is>
          <t>A 7137-2020</t>
        </is>
      </c>
      <c r="B159" s="1" t="n">
        <v>43869</v>
      </c>
      <c r="C159" s="1" t="n">
        <v>45783</v>
      </c>
      <c r="D159" t="inlineStr">
        <is>
          <t>NORRBOTTENS LÄN</t>
        </is>
      </c>
      <c r="E159" t="inlineStr">
        <is>
          <t>LULEÅ</t>
        </is>
      </c>
      <c r="G159" t="n">
        <v>6.6</v>
      </c>
      <c r="H159" t="n">
        <v>0</v>
      </c>
      <c r="I159" t="n">
        <v>0</v>
      </c>
      <c r="J159" t="n">
        <v>0</v>
      </c>
      <c r="K159" t="n">
        <v>0</v>
      </c>
      <c r="L159" t="n">
        <v>0</v>
      </c>
      <c r="M159" t="n">
        <v>0</v>
      </c>
      <c r="N159" t="n">
        <v>0</v>
      </c>
      <c r="O159" t="n">
        <v>0</v>
      </c>
      <c r="P159" t="n">
        <v>0</v>
      </c>
      <c r="Q159" t="n">
        <v>0</v>
      </c>
      <c r="R159" s="2" t="inlineStr"/>
    </row>
    <row r="160" ht="15" customHeight="1">
      <c r="A160" t="inlineStr">
        <is>
          <t>A 7559-2020</t>
        </is>
      </c>
      <c r="B160" s="1" t="n">
        <v>43871</v>
      </c>
      <c r="C160" s="1" t="n">
        <v>45783</v>
      </c>
      <c r="D160" t="inlineStr">
        <is>
          <t>NORRBOTTENS LÄN</t>
        </is>
      </c>
      <c r="E160" t="inlineStr">
        <is>
          <t>LULEÅ</t>
        </is>
      </c>
      <c r="G160" t="n">
        <v>2.9</v>
      </c>
      <c r="H160" t="n">
        <v>0</v>
      </c>
      <c r="I160" t="n">
        <v>0</v>
      </c>
      <c r="J160" t="n">
        <v>0</v>
      </c>
      <c r="K160" t="n">
        <v>0</v>
      </c>
      <c r="L160" t="n">
        <v>0</v>
      </c>
      <c r="M160" t="n">
        <v>0</v>
      </c>
      <c r="N160" t="n">
        <v>0</v>
      </c>
      <c r="O160" t="n">
        <v>0</v>
      </c>
      <c r="P160" t="n">
        <v>0</v>
      </c>
      <c r="Q160" t="n">
        <v>0</v>
      </c>
      <c r="R160" s="2" t="inlineStr"/>
    </row>
    <row r="161" ht="15" customHeight="1">
      <c r="A161" t="inlineStr">
        <is>
          <t>A 8617-2020</t>
        </is>
      </c>
      <c r="B161" s="1" t="n">
        <v>43875</v>
      </c>
      <c r="C161" s="1" t="n">
        <v>45783</v>
      </c>
      <c r="D161" t="inlineStr">
        <is>
          <t>NORRBOTTENS LÄN</t>
        </is>
      </c>
      <c r="E161" t="inlineStr">
        <is>
          <t>LULEÅ</t>
        </is>
      </c>
      <c r="G161" t="n">
        <v>21.8</v>
      </c>
      <c r="H161" t="n">
        <v>0</v>
      </c>
      <c r="I161" t="n">
        <v>0</v>
      </c>
      <c r="J161" t="n">
        <v>0</v>
      </c>
      <c r="K161" t="n">
        <v>0</v>
      </c>
      <c r="L161" t="n">
        <v>0</v>
      </c>
      <c r="M161" t="n">
        <v>0</v>
      </c>
      <c r="N161" t="n">
        <v>0</v>
      </c>
      <c r="O161" t="n">
        <v>0</v>
      </c>
      <c r="P161" t="n">
        <v>0</v>
      </c>
      <c r="Q161" t="n">
        <v>0</v>
      </c>
      <c r="R161" s="2" t="inlineStr"/>
    </row>
    <row r="162" ht="15" customHeight="1">
      <c r="A162" t="inlineStr">
        <is>
          <t>A 10644-2020</t>
        </is>
      </c>
      <c r="B162" s="1" t="n">
        <v>43887</v>
      </c>
      <c r="C162" s="1" t="n">
        <v>45783</v>
      </c>
      <c r="D162" t="inlineStr">
        <is>
          <t>NORRBOTTENS LÄN</t>
        </is>
      </c>
      <c r="E162" t="inlineStr">
        <is>
          <t>LULEÅ</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12326-2020</t>
        </is>
      </c>
      <c r="B163" s="1" t="n">
        <v>43895</v>
      </c>
      <c r="C163" s="1" t="n">
        <v>45783</v>
      </c>
      <c r="D163" t="inlineStr">
        <is>
          <t>NORRBOTTENS LÄN</t>
        </is>
      </c>
      <c r="E163" t="inlineStr">
        <is>
          <t>LULEÅ</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12325-2020</t>
        </is>
      </c>
      <c r="B164" s="1" t="n">
        <v>43895</v>
      </c>
      <c r="C164" s="1" t="n">
        <v>45783</v>
      </c>
      <c r="D164" t="inlineStr">
        <is>
          <t>NORRBOTTENS LÄN</t>
        </is>
      </c>
      <c r="E164" t="inlineStr">
        <is>
          <t>LULEÅ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15304-2020</t>
        </is>
      </c>
      <c r="B165" s="1" t="n">
        <v>43913</v>
      </c>
      <c r="C165" s="1" t="n">
        <v>45783</v>
      </c>
      <c r="D165" t="inlineStr">
        <is>
          <t>NORRBOTTENS LÄN</t>
        </is>
      </c>
      <c r="E165" t="inlineStr">
        <is>
          <t>LULEÅ</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16779-2020</t>
        </is>
      </c>
      <c r="B166" s="1" t="n">
        <v>43920</v>
      </c>
      <c r="C166" s="1" t="n">
        <v>45783</v>
      </c>
      <c r="D166" t="inlineStr">
        <is>
          <t>NORRBOTTENS LÄN</t>
        </is>
      </c>
      <c r="E166" t="inlineStr">
        <is>
          <t>LULEÅ</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17308-2020</t>
        </is>
      </c>
      <c r="B167" s="1" t="n">
        <v>43922</v>
      </c>
      <c r="C167" s="1" t="n">
        <v>45783</v>
      </c>
      <c r="D167" t="inlineStr">
        <is>
          <t>NORRBOTTENS LÄN</t>
        </is>
      </c>
      <c r="E167" t="inlineStr">
        <is>
          <t>LULEÅ</t>
        </is>
      </c>
      <c r="G167" t="n">
        <v>3.3</v>
      </c>
      <c r="H167" t="n">
        <v>0</v>
      </c>
      <c r="I167" t="n">
        <v>0</v>
      </c>
      <c r="J167" t="n">
        <v>0</v>
      </c>
      <c r="K167" t="n">
        <v>0</v>
      </c>
      <c r="L167" t="n">
        <v>0</v>
      </c>
      <c r="M167" t="n">
        <v>0</v>
      </c>
      <c r="N167" t="n">
        <v>0</v>
      </c>
      <c r="O167" t="n">
        <v>0</v>
      </c>
      <c r="P167" t="n">
        <v>0</v>
      </c>
      <c r="Q167" t="n">
        <v>0</v>
      </c>
      <c r="R167" s="2" t="inlineStr"/>
    </row>
    <row r="168" ht="15" customHeight="1">
      <c r="A168" t="inlineStr">
        <is>
          <t>A 18143-2020</t>
        </is>
      </c>
      <c r="B168" s="1" t="n">
        <v>43924</v>
      </c>
      <c r="C168" s="1" t="n">
        <v>45783</v>
      </c>
      <c r="D168" t="inlineStr">
        <is>
          <t>NORRBOTTENS LÄN</t>
        </is>
      </c>
      <c r="E168" t="inlineStr">
        <is>
          <t>LULEÅ</t>
        </is>
      </c>
      <c r="G168" t="n">
        <v>1.6</v>
      </c>
      <c r="H168" t="n">
        <v>0</v>
      </c>
      <c r="I168" t="n">
        <v>0</v>
      </c>
      <c r="J168" t="n">
        <v>0</v>
      </c>
      <c r="K168" t="n">
        <v>0</v>
      </c>
      <c r="L168" t="n">
        <v>0</v>
      </c>
      <c r="M168" t="n">
        <v>0</v>
      </c>
      <c r="N168" t="n">
        <v>0</v>
      </c>
      <c r="O168" t="n">
        <v>0</v>
      </c>
      <c r="P168" t="n">
        <v>0</v>
      </c>
      <c r="Q168" t="n">
        <v>0</v>
      </c>
      <c r="R168" s="2" t="inlineStr"/>
    </row>
    <row r="169" ht="15" customHeight="1">
      <c r="A169" t="inlineStr">
        <is>
          <t>A 18549-2020</t>
        </is>
      </c>
      <c r="B169" s="1" t="n">
        <v>43927</v>
      </c>
      <c r="C169" s="1" t="n">
        <v>45783</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18554-2020</t>
        </is>
      </c>
      <c r="B170" s="1" t="n">
        <v>43927</v>
      </c>
      <c r="C170" s="1" t="n">
        <v>45783</v>
      </c>
      <c r="D170" t="inlineStr">
        <is>
          <t>NORRBOTTENS LÄN</t>
        </is>
      </c>
      <c r="E170" t="inlineStr">
        <is>
          <t>LULEÅ</t>
        </is>
      </c>
      <c r="G170" t="n">
        <v>3</v>
      </c>
      <c r="H170" t="n">
        <v>0</v>
      </c>
      <c r="I170" t="n">
        <v>0</v>
      </c>
      <c r="J170" t="n">
        <v>0</v>
      </c>
      <c r="K170" t="n">
        <v>0</v>
      </c>
      <c r="L170" t="n">
        <v>0</v>
      </c>
      <c r="M170" t="n">
        <v>0</v>
      </c>
      <c r="N170" t="n">
        <v>0</v>
      </c>
      <c r="O170" t="n">
        <v>0</v>
      </c>
      <c r="P170" t="n">
        <v>0</v>
      </c>
      <c r="Q170" t="n">
        <v>0</v>
      </c>
      <c r="R170" s="2" t="inlineStr"/>
    </row>
    <row r="171" ht="15" customHeight="1">
      <c r="A171" t="inlineStr">
        <is>
          <t>A 18299-2020</t>
        </is>
      </c>
      <c r="B171" s="1" t="n">
        <v>43927</v>
      </c>
      <c r="C171" s="1" t="n">
        <v>45783</v>
      </c>
      <c r="D171" t="inlineStr">
        <is>
          <t>NORRBOTTENS LÄN</t>
        </is>
      </c>
      <c r="E171" t="inlineStr">
        <is>
          <t>LULEÅ</t>
        </is>
      </c>
      <c r="G171" t="n">
        <v>2</v>
      </c>
      <c r="H171" t="n">
        <v>0</v>
      </c>
      <c r="I171" t="n">
        <v>0</v>
      </c>
      <c r="J171" t="n">
        <v>0</v>
      </c>
      <c r="K171" t="n">
        <v>0</v>
      </c>
      <c r="L171" t="n">
        <v>0</v>
      </c>
      <c r="M171" t="n">
        <v>0</v>
      </c>
      <c r="N171" t="n">
        <v>0</v>
      </c>
      <c r="O171" t="n">
        <v>0</v>
      </c>
      <c r="P171" t="n">
        <v>0</v>
      </c>
      <c r="Q171" t="n">
        <v>0</v>
      </c>
      <c r="R171" s="2" t="inlineStr"/>
    </row>
    <row r="172" ht="15" customHeight="1">
      <c r="A172" t="inlineStr">
        <is>
          <t>A 18276-2020</t>
        </is>
      </c>
      <c r="B172" s="1" t="n">
        <v>43927</v>
      </c>
      <c r="C172" s="1" t="n">
        <v>45783</v>
      </c>
      <c r="D172" t="inlineStr">
        <is>
          <t>NORRBOTTENS LÄN</t>
        </is>
      </c>
      <c r="E172" t="inlineStr">
        <is>
          <t>LULEÅ</t>
        </is>
      </c>
      <c r="G172" t="n">
        <v>2.2</v>
      </c>
      <c r="H172" t="n">
        <v>0</v>
      </c>
      <c r="I172" t="n">
        <v>0</v>
      </c>
      <c r="J172" t="n">
        <v>0</v>
      </c>
      <c r="K172" t="n">
        <v>0</v>
      </c>
      <c r="L172" t="n">
        <v>0</v>
      </c>
      <c r="M172" t="n">
        <v>0</v>
      </c>
      <c r="N172" t="n">
        <v>0</v>
      </c>
      <c r="O172" t="n">
        <v>0</v>
      </c>
      <c r="P172" t="n">
        <v>0</v>
      </c>
      <c r="Q172" t="n">
        <v>0</v>
      </c>
      <c r="R172" s="2" t="inlineStr"/>
    </row>
    <row r="173" ht="15" customHeight="1">
      <c r="A173" t="inlineStr">
        <is>
          <t>A 18303-2020</t>
        </is>
      </c>
      <c r="B173" s="1" t="n">
        <v>43927</v>
      </c>
      <c r="C173" s="1" t="n">
        <v>45783</v>
      </c>
      <c r="D173" t="inlineStr">
        <is>
          <t>NORRBOTTENS LÄN</t>
        </is>
      </c>
      <c r="E173" t="inlineStr">
        <is>
          <t>LULEÅ</t>
        </is>
      </c>
      <c r="G173" t="n">
        <v>6.5</v>
      </c>
      <c r="H173" t="n">
        <v>0</v>
      </c>
      <c r="I173" t="n">
        <v>0</v>
      </c>
      <c r="J173" t="n">
        <v>0</v>
      </c>
      <c r="K173" t="n">
        <v>0</v>
      </c>
      <c r="L173" t="n">
        <v>0</v>
      </c>
      <c r="M173" t="n">
        <v>0</v>
      </c>
      <c r="N173" t="n">
        <v>0</v>
      </c>
      <c r="O173" t="n">
        <v>0</v>
      </c>
      <c r="P173" t="n">
        <v>0</v>
      </c>
      <c r="Q173" t="n">
        <v>0</v>
      </c>
      <c r="R173" s="2" t="inlineStr"/>
    </row>
    <row r="174" ht="15" customHeight="1">
      <c r="A174" t="inlineStr">
        <is>
          <t>A 18278-2020</t>
        </is>
      </c>
      <c r="B174" s="1" t="n">
        <v>43927</v>
      </c>
      <c r="C174" s="1" t="n">
        <v>45783</v>
      </c>
      <c r="D174" t="inlineStr">
        <is>
          <t>NORRBOTTENS LÄN</t>
        </is>
      </c>
      <c r="E174" t="inlineStr">
        <is>
          <t>LULEÅ</t>
        </is>
      </c>
      <c r="G174" t="n">
        <v>10.5</v>
      </c>
      <c r="H174" t="n">
        <v>0</v>
      </c>
      <c r="I174" t="n">
        <v>0</v>
      </c>
      <c r="J174" t="n">
        <v>0</v>
      </c>
      <c r="K174" t="n">
        <v>0</v>
      </c>
      <c r="L174" t="n">
        <v>0</v>
      </c>
      <c r="M174" t="n">
        <v>0</v>
      </c>
      <c r="N174" t="n">
        <v>0</v>
      </c>
      <c r="O174" t="n">
        <v>0</v>
      </c>
      <c r="P174" t="n">
        <v>0</v>
      </c>
      <c r="Q174" t="n">
        <v>0</v>
      </c>
      <c r="R174" s="2" t="inlineStr"/>
    </row>
    <row r="175" ht="15" customHeight="1">
      <c r="A175" t="inlineStr">
        <is>
          <t>A 22710-2020</t>
        </is>
      </c>
      <c r="B175" s="1" t="n">
        <v>43962</v>
      </c>
      <c r="C175" s="1" t="n">
        <v>45783</v>
      </c>
      <c r="D175" t="inlineStr">
        <is>
          <t>NORRBOTTENS LÄN</t>
        </is>
      </c>
      <c r="E175" t="inlineStr">
        <is>
          <t>LULEÅ</t>
        </is>
      </c>
      <c r="G175" t="n">
        <v>0.9</v>
      </c>
      <c r="H175" t="n">
        <v>0</v>
      </c>
      <c r="I175" t="n">
        <v>0</v>
      </c>
      <c r="J175" t="n">
        <v>0</v>
      </c>
      <c r="K175" t="n">
        <v>0</v>
      </c>
      <c r="L175" t="n">
        <v>0</v>
      </c>
      <c r="M175" t="n">
        <v>0</v>
      </c>
      <c r="N175" t="n">
        <v>0</v>
      </c>
      <c r="O175" t="n">
        <v>0</v>
      </c>
      <c r="P175" t="n">
        <v>0</v>
      </c>
      <c r="Q175" t="n">
        <v>0</v>
      </c>
      <c r="R175" s="2" t="inlineStr"/>
    </row>
    <row r="176" ht="15" customHeight="1">
      <c r="A176" t="inlineStr">
        <is>
          <t>A 26062-2020</t>
        </is>
      </c>
      <c r="B176" s="1" t="n">
        <v>43985</v>
      </c>
      <c r="C176" s="1" t="n">
        <v>45783</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27417-2020</t>
        </is>
      </c>
      <c r="B177" s="1" t="n">
        <v>43992</v>
      </c>
      <c r="C177" s="1" t="n">
        <v>45783</v>
      </c>
      <c r="D177" t="inlineStr">
        <is>
          <t>NORRBOTTENS LÄN</t>
        </is>
      </c>
      <c r="E177" t="inlineStr">
        <is>
          <t>LULEÅ</t>
        </is>
      </c>
      <c r="G177" t="n">
        <v>3.8</v>
      </c>
      <c r="H177" t="n">
        <v>0</v>
      </c>
      <c r="I177" t="n">
        <v>0</v>
      </c>
      <c r="J177" t="n">
        <v>0</v>
      </c>
      <c r="K177" t="n">
        <v>0</v>
      </c>
      <c r="L177" t="n">
        <v>0</v>
      </c>
      <c r="M177" t="n">
        <v>0</v>
      </c>
      <c r="N177" t="n">
        <v>0</v>
      </c>
      <c r="O177" t="n">
        <v>0</v>
      </c>
      <c r="P177" t="n">
        <v>0</v>
      </c>
      <c r="Q177" t="n">
        <v>0</v>
      </c>
      <c r="R177" s="2" t="inlineStr"/>
    </row>
    <row r="178" ht="15" customHeight="1">
      <c r="A178" t="inlineStr">
        <is>
          <t>A 30049-2020</t>
        </is>
      </c>
      <c r="B178" s="1" t="n">
        <v>44006</v>
      </c>
      <c r="C178" s="1" t="n">
        <v>45783</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30336-2020</t>
        </is>
      </c>
      <c r="B179" s="1" t="n">
        <v>44007</v>
      </c>
      <c r="C179" s="1" t="n">
        <v>45783</v>
      </c>
      <c r="D179" t="inlineStr">
        <is>
          <t>NORRBOTTENS LÄN</t>
        </is>
      </c>
      <c r="E179" t="inlineStr">
        <is>
          <t>LULEÅ</t>
        </is>
      </c>
      <c r="G179" t="n">
        <v>1.3</v>
      </c>
      <c r="H179" t="n">
        <v>0</v>
      </c>
      <c r="I179" t="n">
        <v>0</v>
      </c>
      <c r="J179" t="n">
        <v>0</v>
      </c>
      <c r="K179" t="n">
        <v>0</v>
      </c>
      <c r="L179" t="n">
        <v>0</v>
      </c>
      <c r="M179" t="n">
        <v>0</v>
      </c>
      <c r="N179" t="n">
        <v>0</v>
      </c>
      <c r="O179" t="n">
        <v>0</v>
      </c>
      <c r="P179" t="n">
        <v>0</v>
      </c>
      <c r="Q179" t="n">
        <v>0</v>
      </c>
      <c r="R179" s="2" t="inlineStr"/>
    </row>
    <row r="180" ht="15" customHeight="1">
      <c r="A180" t="inlineStr">
        <is>
          <t>A 30341-2020</t>
        </is>
      </c>
      <c r="B180" s="1" t="n">
        <v>44007</v>
      </c>
      <c r="C180" s="1" t="n">
        <v>45783</v>
      </c>
      <c r="D180" t="inlineStr">
        <is>
          <t>NORRBOTTENS LÄN</t>
        </is>
      </c>
      <c r="E180" t="inlineStr">
        <is>
          <t>LULEÅ</t>
        </is>
      </c>
      <c r="G180" t="n">
        <v>0.3</v>
      </c>
      <c r="H180" t="n">
        <v>0</v>
      </c>
      <c r="I180" t="n">
        <v>0</v>
      </c>
      <c r="J180" t="n">
        <v>0</v>
      </c>
      <c r="K180" t="n">
        <v>0</v>
      </c>
      <c r="L180" t="n">
        <v>0</v>
      </c>
      <c r="M180" t="n">
        <v>0</v>
      </c>
      <c r="N180" t="n">
        <v>0</v>
      </c>
      <c r="O180" t="n">
        <v>0</v>
      </c>
      <c r="P180" t="n">
        <v>0</v>
      </c>
      <c r="Q180" t="n">
        <v>0</v>
      </c>
      <c r="R180" s="2" t="inlineStr"/>
    </row>
    <row r="181" ht="15" customHeight="1">
      <c r="A181" t="inlineStr">
        <is>
          <t>A 31972-2020</t>
        </is>
      </c>
      <c r="B181" s="1" t="n">
        <v>44014</v>
      </c>
      <c r="C181" s="1" t="n">
        <v>45783</v>
      </c>
      <c r="D181" t="inlineStr">
        <is>
          <t>NORRBOTTENS LÄN</t>
        </is>
      </c>
      <c r="E181" t="inlineStr">
        <is>
          <t>LULEÅ</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32761-2020</t>
        </is>
      </c>
      <c r="B182" s="1" t="n">
        <v>44020</v>
      </c>
      <c r="C182" s="1" t="n">
        <v>45783</v>
      </c>
      <c r="D182" t="inlineStr">
        <is>
          <t>NORRBOTTENS LÄN</t>
        </is>
      </c>
      <c r="E182" t="inlineStr">
        <is>
          <t>LULEÅ</t>
        </is>
      </c>
      <c r="G182" t="n">
        <v>1</v>
      </c>
      <c r="H182" t="n">
        <v>0</v>
      </c>
      <c r="I182" t="n">
        <v>0</v>
      </c>
      <c r="J182" t="n">
        <v>0</v>
      </c>
      <c r="K182" t="n">
        <v>0</v>
      </c>
      <c r="L182" t="n">
        <v>0</v>
      </c>
      <c r="M182" t="n">
        <v>0</v>
      </c>
      <c r="N182" t="n">
        <v>0</v>
      </c>
      <c r="O182" t="n">
        <v>0</v>
      </c>
      <c r="P182" t="n">
        <v>0</v>
      </c>
      <c r="Q182" t="n">
        <v>0</v>
      </c>
      <c r="R182" s="2" t="inlineStr"/>
    </row>
    <row r="183" ht="15" customHeight="1">
      <c r="A183" t="inlineStr">
        <is>
          <t>A 34256-2020</t>
        </is>
      </c>
      <c r="B183" s="1" t="n">
        <v>44029</v>
      </c>
      <c r="C183" s="1" t="n">
        <v>45783</v>
      </c>
      <c r="D183" t="inlineStr">
        <is>
          <t>NORRBOTTENS LÄN</t>
        </is>
      </c>
      <c r="E183" t="inlineStr">
        <is>
          <t>LULEÅ</t>
        </is>
      </c>
      <c r="F183" t="inlineStr">
        <is>
          <t>SCA</t>
        </is>
      </c>
      <c r="G183" t="n">
        <v>10.4</v>
      </c>
      <c r="H183" t="n">
        <v>0</v>
      </c>
      <c r="I183" t="n">
        <v>0</v>
      </c>
      <c r="J183" t="n">
        <v>0</v>
      </c>
      <c r="K183" t="n">
        <v>0</v>
      </c>
      <c r="L183" t="n">
        <v>0</v>
      </c>
      <c r="M183" t="n">
        <v>0</v>
      </c>
      <c r="N183" t="n">
        <v>0</v>
      </c>
      <c r="O183" t="n">
        <v>0</v>
      </c>
      <c r="P183" t="n">
        <v>0</v>
      </c>
      <c r="Q183" t="n">
        <v>0</v>
      </c>
      <c r="R183" s="2" t="inlineStr"/>
    </row>
    <row r="184" ht="15" customHeight="1">
      <c r="A184" t="inlineStr">
        <is>
          <t>A 34257-2020</t>
        </is>
      </c>
      <c r="B184" s="1" t="n">
        <v>44030</v>
      </c>
      <c r="C184" s="1" t="n">
        <v>45783</v>
      </c>
      <c r="D184" t="inlineStr">
        <is>
          <t>NORRBOTTENS LÄN</t>
        </is>
      </c>
      <c r="E184" t="inlineStr">
        <is>
          <t>LULEÅ</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36549-2020</t>
        </is>
      </c>
      <c r="B185" s="1" t="n">
        <v>44050</v>
      </c>
      <c r="C185" s="1" t="n">
        <v>45783</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36929-2020</t>
        </is>
      </c>
      <c r="B186" s="1" t="n">
        <v>44053</v>
      </c>
      <c r="C186" s="1" t="n">
        <v>45783</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39169-2020</t>
        </is>
      </c>
      <c r="B187" s="1" t="n">
        <v>44063</v>
      </c>
      <c r="C187" s="1" t="n">
        <v>45783</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41072-2020</t>
        </is>
      </c>
      <c r="B188" s="1" t="n">
        <v>44069</v>
      </c>
      <c r="C188" s="1" t="n">
        <v>45783</v>
      </c>
      <c r="D188" t="inlineStr">
        <is>
          <t>NORRBOTTENS LÄN</t>
        </is>
      </c>
      <c r="E188" t="inlineStr">
        <is>
          <t>LULEÅ</t>
        </is>
      </c>
      <c r="G188" t="n">
        <v>21.3</v>
      </c>
      <c r="H188" t="n">
        <v>0</v>
      </c>
      <c r="I188" t="n">
        <v>0</v>
      </c>
      <c r="J188" t="n">
        <v>0</v>
      </c>
      <c r="K188" t="n">
        <v>0</v>
      </c>
      <c r="L188" t="n">
        <v>0</v>
      </c>
      <c r="M188" t="n">
        <v>0</v>
      </c>
      <c r="N188" t="n">
        <v>0</v>
      </c>
      <c r="O188" t="n">
        <v>0</v>
      </c>
      <c r="P188" t="n">
        <v>0</v>
      </c>
      <c r="Q188" t="n">
        <v>0</v>
      </c>
      <c r="R188" s="2" t="inlineStr"/>
    </row>
    <row r="189" ht="15" customHeight="1">
      <c r="A189" t="inlineStr">
        <is>
          <t>A 40896-2020</t>
        </is>
      </c>
      <c r="B189" s="1" t="n">
        <v>44070</v>
      </c>
      <c r="C189" s="1" t="n">
        <v>45783</v>
      </c>
      <c r="D189" t="inlineStr">
        <is>
          <t>NORRBOTTENS LÄN</t>
        </is>
      </c>
      <c r="E189" t="inlineStr">
        <is>
          <t>LULEÅ</t>
        </is>
      </c>
      <c r="G189" t="n">
        <v>1.3</v>
      </c>
      <c r="H189" t="n">
        <v>0</v>
      </c>
      <c r="I189" t="n">
        <v>0</v>
      </c>
      <c r="J189" t="n">
        <v>0</v>
      </c>
      <c r="K189" t="n">
        <v>0</v>
      </c>
      <c r="L189" t="n">
        <v>0</v>
      </c>
      <c r="M189" t="n">
        <v>0</v>
      </c>
      <c r="N189" t="n">
        <v>0</v>
      </c>
      <c r="O189" t="n">
        <v>0</v>
      </c>
      <c r="P189" t="n">
        <v>0</v>
      </c>
      <c r="Q189" t="n">
        <v>0</v>
      </c>
      <c r="R189" s="2" t="inlineStr"/>
    </row>
    <row r="190" ht="15" customHeight="1">
      <c r="A190" t="inlineStr">
        <is>
          <t>A 41864-2020</t>
        </is>
      </c>
      <c r="B190" s="1" t="n">
        <v>44074</v>
      </c>
      <c r="C190" s="1" t="n">
        <v>45783</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41990-2020</t>
        </is>
      </c>
      <c r="B191" s="1" t="n">
        <v>44075</v>
      </c>
      <c r="C191" s="1" t="n">
        <v>45783</v>
      </c>
      <c r="D191" t="inlineStr">
        <is>
          <t>NORRBOTTENS LÄN</t>
        </is>
      </c>
      <c r="E191" t="inlineStr">
        <is>
          <t>LULEÅ</t>
        </is>
      </c>
      <c r="G191" t="n">
        <v>2.5</v>
      </c>
      <c r="H191" t="n">
        <v>0</v>
      </c>
      <c r="I191" t="n">
        <v>0</v>
      </c>
      <c r="J191" t="n">
        <v>0</v>
      </c>
      <c r="K191" t="n">
        <v>0</v>
      </c>
      <c r="L191" t="n">
        <v>0</v>
      </c>
      <c r="M191" t="n">
        <v>0</v>
      </c>
      <c r="N191" t="n">
        <v>0</v>
      </c>
      <c r="O191" t="n">
        <v>0</v>
      </c>
      <c r="P191" t="n">
        <v>0</v>
      </c>
      <c r="Q191" t="n">
        <v>0</v>
      </c>
      <c r="R191" s="2" t="inlineStr"/>
    </row>
    <row r="192" ht="15" customHeight="1">
      <c r="A192" t="inlineStr">
        <is>
          <t>A 42177-2020</t>
        </is>
      </c>
      <c r="B192" s="1" t="n">
        <v>44075</v>
      </c>
      <c r="C192" s="1" t="n">
        <v>45783</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42176-2020</t>
        </is>
      </c>
      <c r="B193" s="1" t="n">
        <v>44075</v>
      </c>
      <c r="C193" s="1" t="n">
        <v>45783</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43556-2020</t>
        </is>
      </c>
      <c r="B194" s="1" t="n">
        <v>44077</v>
      </c>
      <c r="C194" s="1" t="n">
        <v>45783</v>
      </c>
      <c r="D194" t="inlineStr">
        <is>
          <t>NORRBOTTENS LÄN</t>
        </is>
      </c>
      <c r="E194" t="inlineStr">
        <is>
          <t>LULEÅ</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42939-2020</t>
        </is>
      </c>
      <c r="B195" s="1" t="n">
        <v>44078</v>
      </c>
      <c r="C195" s="1" t="n">
        <v>45783</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46395-2020</t>
        </is>
      </c>
      <c r="B196" s="1" t="n">
        <v>44094</v>
      </c>
      <c r="C196" s="1" t="n">
        <v>45783</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47063-2020</t>
        </is>
      </c>
      <c r="B197" s="1" t="n">
        <v>44096</v>
      </c>
      <c r="C197" s="1" t="n">
        <v>45783</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50622-2020</t>
        </is>
      </c>
      <c r="B198" s="1" t="n">
        <v>44110</v>
      </c>
      <c r="C198" s="1" t="n">
        <v>45783</v>
      </c>
      <c r="D198" t="inlineStr">
        <is>
          <t>NORRBOTTENS LÄN</t>
        </is>
      </c>
      <c r="E198" t="inlineStr">
        <is>
          <t>LULEÅ</t>
        </is>
      </c>
      <c r="F198" t="inlineStr">
        <is>
          <t>SCA</t>
        </is>
      </c>
      <c r="G198" t="n">
        <v>4.7</v>
      </c>
      <c r="H198" t="n">
        <v>0</v>
      </c>
      <c r="I198" t="n">
        <v>0</v>
      </c>
      <c r="J198" t="n">
        <v>0</v>
      </c>
      <c r="K198" t="n">
        <v>0</v>
      </c>
      <c r="L198" t="n">
        <v>0</v>
      </c>
      <c r="M198" t="n">
        <v>0</v>
      </c>
      <c r="N198" t="n">
        <v>0</v>
      </c>
      <c r="O198" t="n">
        <v>0</v>
      </c>
      <c r="P198" t="n">
        <v>0</v>
      </c>
      <c r="Q198" t="n">
        <v>0</v>
      </c>
      <c r="R198" s="2" t="inlineStr"/>
    </row>
    <row r="199" ht="15" customHeight="1">
      <c r="A199" t="inlineStr">
        <is>
          <t>A 50778-2020</t>
        </is>
      </c>
      <c r="B199" s="1" t="n">
        <v>44111</v>
      </c>
      <c r="C199" s="1" t="n">
        <v>45783</v>
      </c>
      <c r="D199" t="inlineStr">
        <is>
          <t>NORRBOTTENS LÄN</t>
        </is>
      </c>
      <c r="E199" t="inlineStr">
        <is>
          <t>LULEÅ</t>
        </is>
      </c>
      <c r="G199" t="n">
        <v>1.4</v>
      </c>
      <c r="H199" t="n">
        <v>0</v>
      </c>
      <c r="I199" t="n">
        <v>0</v>
      </c>
      <c r="J199" t="n">
        <v>0</v>
      </c>
      <c r="K199" t="n">
        <v>0</v>
      </c>
      <c r="L199" t="n">
        <v>0</v>
      </c>
      <c r="M199" t="n">
        <v>0</v>
      </c>
      <c r="N199" t="n">
        <v>0</v>
      </c>
      <c r="O199" t="n">
        <v>0</v>
      </c>
      <c r="P199" t="n">
        <v>0</v>
      </c>
      <c r="Q199" t="n">
        <v>0</v>
      </c>
      <c r="R199" s="2" t="inlineStr"/>
    </row>
    <row r="200" ht="15" customHeight="1">
      <c r="A200" t="inlineStr">
        <is>
          <t>A 50705-2020</t>
        </is>
      </c>
      <c r="B200" s="1" t="n">
        <v>44111</v>
      </c>
      <c r="C200" s="1" t="n">
        <v>45783</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51128-2020</t>
        </is>
      </c>
      <c r="B201" s="1" t="n">
        <v>44112</v>
      </c>
      <c r="C201" s="1" t="n">
        <v>45783</v>
      </c>
      <c r="D201" t="inlineStr">
        <is>
          <t>NORRBOTTENS LÄN</t>
        </is>
      </c>
      <c r="E201" t="inlineStr">
        <is>
          <t>LULEÅ</t>
        </is>
      </c>
      <c r="F201" t="inlineStr">
        <is>
          <t>Sveaskog</t>
        </is>
      </c>
      <c r="G201" t="n">
        <v>0.5</v>
      </c>
      <c r="H201" t="n">
        <v>0</v>
      </c>
      <c r="I201" t="n">
        <v>0</v>
      </c>
      <c r="J201" t="n">
        <v>0</v>
      </c>
      <c r="K201" t="n">
        <v>0</v>
      </c>
      <c r="L201" t="n">
        <v>0</v>
      </c>
      <c r="M201" t="n">
        <v>0</v>
      </c>
      <c r="N201" t="n">
        <v>0</v>
      </c>
      <c r="O201" t="n">
        <v>0</v>
      </c>
      <c r="P201" t="n">
        <v>0</v>
      </c>
      <c r="Q201" t="n">
        <v>0</v>
      </c>
      <c r="R201" s="2" t="inlineStr"/>
    </row>
    <row r="202" ht="15" customHeight="1">
      <c r="A202" t="inlineStr">
        <is>
          <t>A 51117-2020</t>
        </is>
      </c>
      <c r="B202" s="1" t="n">
        <v>44112</v>
      </c>
      <c r="C202" s="1" t="n">
        <v>45783</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51210-2020</t>
        </is>
      </c>
      <c r="B203" s="1" t="n">
        <v>44112</v>
      </c>
      <c r="C203" s="1" t="n">
        <v>45783</v>
      </c>
      <c r="D203" t="inlineStr">
        <is>
          <t>NORRBOTTENS LÄN</t>
        </is>
      </c>
      <c r="E203" t="inlineStr">
        <is>
          <t>LULEÅ</t>
        </is>
      </c>
      <c r="G203" t="n">
        <v>3.8</v>
      </c>
      <c r="H203" t="n">
        <v>0</v>
      </c>
      <c r="I203" t="n">
        <v>0</v>
      </c>
      <c r="J203" t="n">
        <v>0</v>
      </c>
      <c r="K203" t="n">
        <v>0</v>
      </c>
      <c r="L203" t="n">
        <v>0</v>
      </c>
      <c r="M203" t="n">
        <v>0</v>
      </c>
      <c r="N203" t="n">
        <v>0</v>
      </c>
      <c r="O203" t="n">
        <v>0</v>
      </c>
      <c r="P203" t="n">
        <v>0</v>
      </c>
      <c r="Q203" t="n">
        <v>0</v>
      </c>
      <c r="R203" s="2" t="inlineStr"/>
    </row>
    <row r="204" ht="15" customHeight="1">
      <c r="A204" t="inlineStr">
        <is>
          <t>A 53118-2020</t>
        </is>
      </c>
      <c r="B204" s="1" t="n">
        <v>44120</v>
      </c>
      <c r="C204" s="1" t="n">
        <v>45783</v>
      </c>
      <c r="D204" t="inlineStr">
        <is>
          <t>NORRBOTTENS LÄN</t>
        </is>
      </c>
      <c r="E204" t="inlineStr">
        <is>
          <t>LULEÅ</t>
        </is>
      </c>
      <c r="G204" t="n">
        <v>0.6</v>
      </c>
      <c r="H204" t="n">
        <v>0</v>
      </c>
      <c r="I204" t="n">
        <v>0</v>
      </c>
      <c r="J204" t="n">
        <v>0</v>
      </c>
      <c r="K204" t="n">
        <v>0</v>
      </c>
      <c r="L204" t="n">
        <v>0</v>
      </c>
      <c r="M204" t="n">
        <v>0</v>
      </c>
      <c r="N204" t="n">
        <v>0</v>
      </c>
      <c r="O204" t="n">
        <v>0</v>
      </c>
      <c r="P204" t="n">
        <v>0</v>
      </c>
      <c r="Q204" t="n">
        <v>0</v>
      </c>
      <c r="R204" s="2" t="inlineStr"/>
    </row>
    <row r="205" ht="15" customHeight="1">
      <c r="A205" t="inlineStr">
        <is>
          <t>A 53105-2020</t>
        </is>
      </c>
      <c r="B205" s="1" t="n">
        <v>44120</v>
      </c>
      <c r="C205" s="1" t="n">
        <v>45783</v>
      </c>
      <c r="D205" t="inlineStr">
        <is>
          <t>NORRBOTTENS LÄN</t>
        </is>
      </c>
      <c r="E205" t="inlineStr">
        <is>
          <t>LULEÅ</t>
        </is>
      </c>
      <c r="G205" t="n">
        <v>0.5</v>
      </c>
      <c r="H205" t="n">
        <v>0</v>
      </c>
      <c r="I205" t="n">
        <v>0</v>
      </c>
      <c r="J205" t="n">
        <v>0</v>
      </c>
      <c r="K205" t="n">
        <v>0</v>
      </c>
      <c r="L205" t="n">
        <v>0</v>
      </c>
      <c r="M205" t="n">
        <v>0</v>
      </c>
      <c r="N205" t="n">
        <v>0</v>
      </c>
      <c r="O205" t="n">
        <v>0</v>
      </c>
      <c r="P205" t="n">
        <v>0</v>
      </c>
      <c r="Q205" t="n">
        <v>0</v>
      </c>
      <c r="R205" s="2" t="inlineStr"/>
    </row>
    <row r="206" ht="15" customHeight="1">
      <c r="A206" t="inlineStr">
        <is>
          <t>A 54538-2020</t>
        </is>
      </c>
      <c r="B206" s="1" t="n">
        <v>44126</v>
      </c>
      <c r="C206" s="1" t="n">
        <v>45783</v>
      </c>
      <c r="D206" t="inlineStr">
        <is>
          <t>NORRBOTTENS LÄN</t>
        </is>
      </c>
      <c r="E206" t="inlineStr">
        <is>
          <t>LULEÅ</t>
        </is>
      </c>
      <c r="G206" t="n">
        <v>10.5</v>
      </c>
      <c r="H206" t="n">
        <v>0</v>
      </c>
      <c r="I206" t="n">
        <v>0</v>
      </c>
      <c r="J206" t="n">
        <v>0</v>
      </c>
      <c r="K206" t="n">
        <v>0</v>
      </c>
      <c r="L206" t="n">
        <v>0</v>
      </c>
      <c r="M206" t="n">
        <v>0</v>
      </c>
      <c r="N206" t="n">
        <v>0</v>
      </c>
      <c r="O206" t="n">
        <v>0</v>
      </c>
      <c r="P206" t="n">
        <v>0</v>
      </c>
      <c r="Q206" t="n">
        <v>0</v>
      </c>
      <c r="R206" s="2" t="inlineStr"/>
    </row>
    <row r="207" ht="15" customHeight="1">
      <c r="A207" t="inlineStr">
        <is>
          <t>A 54594-2020</t>
        </is>
      </c>
      <c r="B207" s="1" t="n">
        <v>44126</v>
      </c>
      <c r="C207" s="1" t="n">
        <v>45783</v>
      </c>
      <c r="D207" t="inlineStr">
        <is>
          <t>NORRBOTTENS LÄN</t>
        </is>
      </c>
      <c r="E207" t="inlineStr">
        <is>
          <t>LULEÅ</t>
        </is>
      </c>
      <c r="G207" t="n">
        <v>0.7</v>
      </c>
      <c r="H207" t="n">
        <v>0</v>
      </c>
      <c r="I207" t="n">
        <v>0</v>
      </c>
      <c r="J207" t="n">
        <v>0</v>
      </c>
      <c r="K207" t="n">
        <v>0</v>
      </c>
      <c r="L207" t="n">
        <v>0</v>
      </c>
      <c r="M207" t="n">
        <v>0</v>
      </c>
      <c r="N207" t="n">
        <v>0</v>
      </c>
      <c r="O207" t="n">
        <v>0</v>
      </c>
      <c r="P207" t="n">
        <v>0</v>
      </c>
      <c r="Q207" t="n">
        <v>0</v>
      </c>
      <c r="R207" s="2" t="inlineStr"/>
    </row>
    <row r="208" ht="15" customHeight="1">
      <c r="A208" t="inlineStr">
        <is>
          <t>A 59747-2020</t>
        </is>
      </c>
      <c r="B208" s="1" t="n">
        <v>44148</v>
      </c>
      <c r="C208" s="1" t="n">
        <v>45783</v>
      </c>
      <c r="D208" t="inlineStr">
        <is>
          <t>NORRBOTTENS LÄN</t>
        </is>
      </c>
      <c r="E208" t="inlineStr">
        <is>
          <t>LULEÅ</t>
        </is>
      </c>
      <c r="G208" t="n">
        <v>7.7</v>
      </c>
      <c r="H208" t="n">
        <v>0</v>
      </c>
      <c r="I208" t="n">
        <v>0</v>
      </c>
      <c r="J208" t="n">
        <v>0</v>
      </c>
      <c r="K208" t="n">
        <v>0</v>
      </c>
      <c r="L208" t="n">
        <v>0</v>
      </c>
      <c r="M208" t="n">
        <v>0</v>
      </c>
      <c r="N208" t="n">
        <v>0</v>
      </c>
      <c r="O208" t="n">
        <v>0</v>
      </c>
      <c r="P208" t="n">
        <v>0</v>
      </c>
      <c r="Q208" t="n">
        <v>0</v>
      </c>
      <c r="R208" s="2" t="inlineStr"/>
    </row>
    <row r="209" ht="15" customHeight="1">
      <c r="A209" t="inlineStr">
        <is>
          <t>A 59858-2020</t>
        </is>
      </c>
      <c r="B209" s="1" t="n">
        <v>44148</v>
      </c>
      <c r="C209" s="1" t="n">
        <v>45783</v>
      </c>
      <c r="D209" t="inlineStr">
        <is>
          <t>NORRBOTTENS LÄN</t>
        </is>
      </c>
      <c r="E209" t="inlineStr">
        <is>
          <t>LULEÅ</t>
        </is>
      </c>
      <c r="G209" t="n">
        <v>0.8</v>
      </c>
      <c r="H209" t="n">
        <v>0</v>
      </c>
      <c r="I209" t="n">
        <v>0</v>
      </c>
      <c r="J209" t="n">
        <v>0</v>
      </c>
      <c r="K209" t="n">
        <v>0</v>
      </c>
      <c r="L209" t="n">
        <v>0</v>
      </c>
      <c r="M209" t="n">
        <v>0</v>
      </c>
      <c r="N209" t="n">
        <v>0</v>
      </c>
      <c r="O209" t="n">
        <v>0</v>
      </c>
      <c r="P209" t="n">
        <v>0</v>
      </c>
      <c r="Q209" t="n">
        <v>0</v>
      </c>
      <c r="R209" s="2" t="inlineStr"/>
    </row>
    <row r="210" ht="15" customHeight="1">
      <c r="A210" t="inlineStr">
        <is>
          <t>A 60642-2020</t>
        </is>
      </c>
      <c r="B210" s="1" t="n">
        <v>44152</v>
      </c>
      <c r="C210" s="1" t="n">
        <v>45783</v>
      </c>
      <c r="D210" t="inlineStr">
        <is>
          <t>NORRBOTTENS LÄN</t>
        </is>
      </c>
      <c r="E210" t="inlineStr">
        <is>
          <t>LULEÅ</t>
        </is>
      </c>
      <c r="G210" t="n">
        <v>1.3</v>
      </c>
      <c r="H210" t="n">
        <v>0</v>
      </c>
      <c r="I210" t="n">
        <v>0</v>
      </c>
      <c r="J210" t="n">
        <v>0</v>
      </c>
      <c r="K210" t="n">
        <v>0</v>
      </c>
      <c r="L210" t="n">
        <v>0</v>
      </c>
      <c r="M210" t="n">
        <v>0</v>
      </c>
      <c r="N210" t="n">
        <v>0</v>
      </c>
      <c r="O210" t="n">
        <v>0</v>
      </c>
      <c r="P210" t="n">
        <v>0</v>
      </c>
      <c r="Q210" t="n">
        <v>0</v>
      </c>
      <c r="R210" s="2" t="inlineStr"/>
    </row>
    <row r="211" ht="15" customHeight="1">
      <c r="A211" t="inlineStr">
        <is>
          <t>A 61072-2020</t>
        </is>
      </c>
      <c r="B211" s="1" t="n">
        <v>44154</v>
      </c>
      <c r="C211" s="1" t="n">
        <v>45783</v>
      </c>
      <c r="D211" t="inlineStr">
        <is>
          <t>NORRBOTTENS LÄN</t>
        </is>
      </c>
      <c r="E211" t="inlineStr">
        <is>
          <t>LULEÅ</t>
        </is>
      </c>
      <c r="G211" t="n">
        <v>4.1</v>
      </c>
      <c r="H211" t="n">
        <v>0</v>
      </c>
      <c r="I211" t="n">
        <v>0</v>
      </c>
      <c r="J211" t="n">
        <v>0</v>
      </c>
      <c r="K211" t="n">
        <v>0</v>
      </c>
      <c r="L211" t="n">
        <v>0</v>
      </c>
      <c r="M211" t="n">
        <v>0</v>
      </c>
      <c r="N211" t="n">
        <v>0</v>
      </c>
      <c r="O211" t="n">
        <v>0</v>
      </c>
      <c r="P211" t="n">
        <v>0</v>
      </c>
      <c r="Q211" t="n">
        <v>0</v>
      </c>
      <c r="R211" s="2" t="inlineStr"/>
    </row>
    <row r="212" ht="15" customHeight="1">
      <c r="A212" t="inlineStr">
        <is>
          <t>A 61598-2020</t>
        </is>
      </c>
      <c r="B212" s="1" t="n">
        <v>44154</v>
      </c>
      <c r="C212" s="1" t="n">
        <v>45783</v>
      </c>
      <c r="D212" t="inlineStr">
        <is>
          <t>NORRBOTTENS LÄN</t>
        </is>
      </c>
      <c r="E212" t="inlineStr">
        <is>
          <t>LULEÅ</t>
        </is>
      </c>
      <c r="G212" t="n">
        <v>2.8</v>
      </c>
      <c r="H212" t="n">
        <v>0</v>
      </c>
      <c r="I212" t="n">
        <v>0</v>
      </c>
      <c r="J212" t="n">
        <v>0</v>
      </c>
      <c r="K212" t="n">
        <v>0</v>
      </c>
      <c r="L212" t="n">
        <v>0</v>
      </c>
      <c r="M212" t="n">
        <v>0</v>
      </c>
      <c r="N212" t="n">
        <v>0</v>
      </c>
      <c r="O212" t="n">
        <v>0</v>
      </c>
      <c r="P212" t="n">
        <v>0</v>
      </c>
      <c r="Q212" t="n">
        <v>0</v>
      </c>
      <c r="R212" s="2" t="inlineStr"/>
    </row>
    <row r="213" ht="15" customHeight="1">
      <c r="A213" t="inlineStr">
        <is>
          <t>A 61600-2020</t>
        </is>
      </c>
      <c r="B213" s="1" t="n">
        <v>44154</v>
      </c>
      <c r="C213" s="1" t="n">
        <v>45783</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61490-2020</t>
        </is>
      </c>
      <c r="B214" s="1" t="n">
        <v>44158</v>
      </c>
      <c r="C214" s="1" t="n">
        <v>45783</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63024-2020</t>
        </is>
      </c>
      <c r="B215" s="1" t="n">
        <v>44162</v>
      </c>
      <c r="C215" s="1" t="n">
        <v>45783</v>
      </c>
      <c r="D215" t="inlineStr">
        <is>
          <t>NORRBOTTENS LÄN</t>
        </is>
      </c>
      <c r="E215" t="inlineStr">
        <is>
          <t>LULEÅ</t>
        </is>
      </c>
      <c r="F215" t="inlineStr">
        <is>
          <t>Kyrkan</t>
        </is>
      </c>
      <c r="G215" t="n">
        <v>27.4</v>
      </c>
      <c r="H215" t="n">
        <v>0</v>
      </c>
      <c r="I215" t="n">
        <v>0</v>
      </c>
      <c r="J215" t="n">
        <v>0</v>
      </c>
      <c r="K215" t="n">
        <v>0</v>
      </c>
      <c r="L215" t="n">
        <v>0</v>
      </c>
      <c r="M215" t="n">
        <v>0</v>
      </c>
      <c r="N215" t="n">
        <v>0</v>
      </c>
      <c r="O215" t="n">
        <v>0</v>
      </c>
      <c r="P215" t="n">
        <v>0</v>
      </c>
      <c r="Q215" t="n">
        <v>0</v>
      </c>
      <c r="R215" s="2" t="inlineStr"/>
    </row>
    <row r="216" ht="15" customHeight="1">
      <c r="A216" t="inlineStr">
        <is>
          <t>A 63825-2020</t>
        </is>
      </c>
      <c r="B216" s="1" t="n">
        <v>44165</v>
      </c>
      <c r="C216" s="1" t="n">
        <v>45783</v>
      </c>
      <c r="D216" t="inlineStr">
        <is>
          <t>NORRBOTTENS LÄN</t>
        </is>
      </c>
      <c r="E216" t="inlineStr">
        <is>
          <t>LULEÅ</t>
        </is>
      </c>
      <c r="G216" t="n">
        <v>3.8</v>
      </c>
      <c r="H216" t="n">
        <v>0</v>
      </c>
      <c r="I216" t="n">
        <v>0</v>
      </c>
      <c r="J216" t="n">
        <v>0</v>
      </c>
      <c r="K216" t="n">
        <v>0</v>
      </c>
      <c r="L216" t="n">
        <v>0</v>
      </c>
      <c r="M216" t="n">
        <v>0</v>
      </c>
      <c r="N216" t="n">
        <v>0</v>
      </c>
      <c r="O216" t="n">
        <v>0</v>
      </c>
      <c r="P216" t="n">
        <v>0</v>
      </c>
      <c r="Q216" t="n">
        <v>0</v>
      </c>
      <c r="R216" s="2" t="inlineStr"/>
    </row>
    <row r="217" ht="15" customHeight="1">
      <c r="A217" t="inlineStr">
        <is>
          <t>A 63828-2020</t>
        </is>
      </c>
      <c r="B217" s="1" t="n">
        <v>44165</v>
      </c>
      <c r="C217" s="1" t="n">
        <v>45783</v>
      </c>
      <c r="D217" t="inlineStr">
        <is>
          <t>NORRBOTTENS LÄN</t>
        </is>
      </c>
      <c r="E217" t="inlineStr">
        <is>
          <t>LULEÅ</t>
        </is>
      </c>
      <c r="G217" t="n">
        <v>5.3</v>
      </c>
      <c r="H217" t="n">
        <v>0</v>
      </c>
      <c r="I217" t="n">
        <v>0</v>
      </c>
      <c r="J217" t="n">
        <v>0</v>
      </c>
      <c r="K217" t="n">
        <v>0</v>
      </c>
      <c r="L217" t="n">
        <v>0</v>
      </c>
      <c r="M217" t="n">
        <v>0</v>
      </c>
      <c r="N217" t="n">
        <v>0</v>
      </c>
      <c r="O217" t="n">
        <v>0</v>
      </c>
      <c r="P217" t="n">
        <v>0</v>
      </c>
      <c r="Q217" t="n">
        <v>0</v>
      </c>
      <c r="R217" s="2" t="inlineStr"/>
    </row>
    <row r="218" ht="15" customHeight="1">
      <c r="A218" t="inlineStr">
        <is>
          <t>A 63901-2020</t>
        </is>
      </c>
      <c r="B218" s="1" t="n">
        <v>44165</v>
      </c>
      <c r="C218" s="1" t="n">
        <v>45783</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64678-2020</t>
        </is>
      </c>
      <c r="B219" s="1" t="n">
        <v>44166</v>
      </c>
      <c r="C219" s="1" t="n">
        <v>45783</v>
      </c>
      <c r="D219" t="inlineStr">
        <is>
          <t>NORRBOTTENS LÄN</t>
        </is>
      </c>
      <c r="E219" t="inlineStr">
        <is>
          <t>LULEÅ</t>
        </is>
      </c>
      <c r="G219" t="n">
        <v>2.9</v>
      </c>
      <c r="H219" t="n">
        <v>0</v>
      </c>
      <c r="I219" t="n">
        <v>0</v>
      </c>
      <c r="J219" t="n">
        <v>0</v>
      </c>
      <c r="K219" t="n">
        <v>0</v>
      </c>
      <c r="L219" t="n">
        <v>0</v>
      </c>
      <c r="M219" t="n">
        <v>0</v>
      </c>
      <c r="N219" t="n">
        <v>0</v>
      </c>
      <c r="O219" t="n">
        <v>0</v>
      </c>
      <c r="P219" t="n">
        <v>0</v>
      </c>
      <c r="Q219" t="n">
        <v>0</v>
      </c>
      <c r="R219" s="2" t="inlineStr"/>
    </row>
    <row r="220" ht="15" customHeight="1">
      <c r="A220" t="inlineStr">
        <is>
          <t>A 64527-2020</t>
        </is>
      </c>
      <c r="B220" s="1" t="n">
        <v>44166</v>
      </c>
      <c r="C220" s="1" t="n">
        <v>45783</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66925-2020</t>
        </is>
      </c>
      <c r="B221" s="1" t="n">
        <v>44176</v>
      </c>
      <c r="C221" s="1" t="n">
        <v>45783</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67938-2020</t>
        </is>
      </c>
      <c r="B222" s="1" t="n">
        <v>44182</v>
      </c>
      <c r="C222" s="1" t="n">
        <v>45783</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68269-2020</t>
        </is>
      </c>
      <c r="B223" s="1" t="n">
        <v>44183</v>
      </c>
      <c r="C223" s="1" t="n">
        <v>45783</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68701-2020</t>
        </is>
      </c>
      <c r="B224" s="1" t="n">
        <v>44186</v>
      </c>
      <c r="C224" s="1" t="n">
        <v>45783</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1144-2021</t>
        </is>
      </c>
      <c r="B225" s="1" t="n">
        <v>44207</v>
      </c>
      <c r="C225" s="1" t="n">
        <v>45783</v>
      </c>
      <c r="D225" t="inlineStr">
        <is>
          <t>NORRBOTTENS LÄN</t>
        </is>
      </c>
      <c r="E225" t="inlineStr">
        <is>
          <t>LULEÅ</t>
        </is>
      </c>
      <c r="G225" t="n">
        <v>3.2</v>
      </c>
      <c r="H225" t="n">
        <v>0</v>
      </c>
      <c r="I225" t="n">
        <v>0</v>
      </c>
      <c r="J225" t="n">
        <v>0</v>
      </c>
      <c r="K225" t="n">
        <v>0</v>
      </c>
      <c r="L225" t="n">
        <v>0</v>
      </c>
      <c r="M225" t="n">
        <v>0</v>
      </c>
      <c r="N225" t="n">
        <v>0</v>
      </c>
      <c r="O225" t="n">
        <v>0</v>
      </c>
      <c r="P225" t="n">
        <v>0</v>
      </c>
      <c r="Q225" t="n">
        <v>0</v>
      </c>
      <c r="R225" s="2" t="inlineStr"/>
    </row>
    <row r="226" ht="15" customHeight="1">
      <c r="A226" t="inlineStr">
        <is>
          <t>A 1147-2021</t>
        </is>
      </c>
      <c r="B226" s="1" t="n">
        <v>44207</v>
      </c>
      <c r="C226" s="1" t="n">
        <v>45783</v>
      </c>
      <c r="D226" t="inlineStr">
        <is>
          <t>NORRBOTTENS LÄN</t>
        </is>
      </c>
      <c r="E226" t="inlineStr">
        <is>
          <t>LULEÅ</t>
        </is>
      </c>
      <c r="G226" t="n">
        <v>6.5</v>
      </c>
      <c r="H226" t="n">
        <v>0</v>
      </c>
      <c r="I226" t="n">
        <v>0</v>
      </c>
      <c r="J226" t="n">
        <v>0</v>
      </c>
      <c r="K226" t="n">
        <v>0</v>
      </c>
      <c r="L226" t="n">
        <v>0</v>
      </c>
      <c r="M226" t="n">
        <v>0</v>
      </c>
      <c r="N226" t="n">
        <v>0</v>
      </c>
      <c r="O226" t="n">
        <v>0</v>
      </c>
      <c r="P226" t="n">
        <v>0</v>
      </c>
      <c r="Q226" t="n">
        <v>0</v>
      </c>
      <c r="R226" s="2" t="inlineStr"/>
    </row>
    <row r="227" ht="15" customHeight="1">
      <c r="A227" t="inlineStr">
        <is>
          <t>A 2369-2021</t>
        </is>
      </c>
      <c r="B227" s="1" t="n">
        <v>44211</v>
      </c>
      <c r="C227" s="1" t="n">
        <v>45783</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2385-2021</t>
        </is>
      </c>
      <c r="B228" s="1" t="n">
        <v>44211</v>
      </c>
      <c r="C228" s="1" t="n">
        <v>45783</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2380-2021</t>
        </is>
      </c>
      <c r="B229" s="1" t="n">
        <v>44211</v>
      </c>
      <c r="C229" s="1" t="n">
        <v>45783</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2392-2021</t>
        </is>
      </c>
      <c r="B230" s="1" t="n">
        <v>44211</v>
      </c>
      <c r="C230" s="1" t="n">
        <v>45783</v>
      </c>
      <c r="D230" t="inlineStr">
        <is>
          <t>NORRBOTTENS LÄN</t>
        </is>
      </c>
      <c r="E230" t="inlineStr">
        <is>
          <t>LULEÅ</t>
        </is>
      </c>
      <c r="G230" t="n">
        <v>0.8</v>
      </c>
      <c r="H230" t="n">
        <v>0</v>
      </c>
      <c r="I230" t="n">
        <v>0</v>
      </c>
      <c r="J230" t="n">
        <v>0</v>
      </c>
      <c r="K230" t="n">
        <v>0</v>
      </c>
      <c r="L230" t="n">
        <v>0</v>
      </c>
      <c r="M230" t="n">
        <v>0</v>
      </c>
      <c r="N230" t="n">
        <v>0</v>
      </c>
      <c r="O230" t="n">
        <v>0</v>
      </c>
      <c r="P230" t="n">
        <v>0</v>
      </c>
      <c r="Q230" t="n">
        <v>0</v>
      </c>
      <c r="R230" s="2" t="inlineStr"/>
    </row>
    <row r="231" ht="15" customHeight="1">
      <c r="A231" t="inlineStr">
        <is>
          <t>A 2403-2021</t>
        </is>
      </c>
      <c r="B231" s="1" t="n">
        <v>44211</v>
      </c>
      <c r="C231" s="1" t="n">
        <v>45783</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2397-2021</t>
        </is>
      </c>
      <c r="B232" s="1" t="n">
        <v>44211</v>
      </c>
      <c r="C232" s="1" t="n">
        <v>45783</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5559-2021</t>
        </is>
      </c>
      <c r="B233" s="1" t="n">
        <v>44229</v>
      </c>
      <c r="C233" s="1" t="n">
        <v>45783</v>
      </c>
      <c r="D233" t="inlineStr">
        <is>
          <t>NORRBOTTENS LÄN</t>
        </is>
      </c>
      <c r="E233" t="inlineStr">
        <is>
          <t>LULEÅ</t>
        </is>
      </c>
      <c r="G233" t="n">
        <v>1.3</v>
      </c>
      <c r="H233" t="n">
        <v>0</v>
      </c>
      <c r="I233" t="n">
        <v>0</v>
      </c>
      <c r="J233" t="n">
        <v>0</v>
      </c>
      <c r="K233" t="n">
        <v>0</v>
      </c>
      <c r="L233" t="n">
        <v>0</v>
      </c>
      <c r="M233" t="n">
        <v>0</v>
      </c>
      <c r="N233" t="n">
        <v>0</v>
      </c>
      <c r="O233" t="n">
        <v>0</v>
      </c>
      <c r="P233" t="n">
        <v>0</v>
      </c>
      <c r="Q233" t="n">
        <v>0</v>
      </c>
      <c r="R233" s="2" t="inlineStr"/>
    </row>
    <row r="234" ht="15" customHeight="1">
      <c r="A234" t="inlineStr">
        <is>
          <t>A 6018-2021</t>
        </is>
      </c>
      <c r="B234" s="1" t="n">
        <v>44231</v>
      </c>
      <c r="C234" s="1" t="n">
        <v>45783</v>
      </c>
      <c r="D234" t="inlineStr">
        <is>
          <t>NORRBOTTENS LÄN</t>
        </is>
      </c>
      <c r="E234" t="inlineStr">
        <is>
          <t>LULEÅ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6488-2021</t>
        </is>
      </c>
      <c r="B235" s="1" t="n">
        <v>44235</v>
      </c>
      <c r="C235" s="1" t="n">
        <v>45783</v>
      </c>
      <c r="D235" t="inlineStr">
        <is>
          <t>NORRBOTTENS LÄN</t>
        </is>
      </c>
      <c r="E235" t="inlineStr">
        <is>
          <t>LULEÅ</t>
        </is>
      </c>
      <c r="G235" t="n">
        <v>2.7</v>
      </c>
      <c r="H235" t="n">
        <v>0</v>
      </c>
      <c r="I235" t="n">
        <v>0</v>
      </c>
      <c r="J235" t="n">
        <v>0</v>
      </c>
      <c r="K235" t="n">
        <v>0</v>
      </c>
      <c r="L235" t="n">
        <v>0</v>
      </c>
      <c r="M235" t="n">
        <v>0</v>
      </c>
      <c r="N235" t="n">
        <v>0</v>
      </c>
      <c r="O235" t="n">
        <v>0</v>
      </c>
      <c r="P235" t="n">
        <v>0</v>
      </c>
      <c r="Q235" t="n">
        <v>0</v>
      </c>
      <c r="R235" s="2" t="inlineStr"/>
    </row>
    <row r="236" ht="15" customHeight="1">
      <c r="A236" t="inlineStr">
        <is>
          <t>A 6527-2021</t>
        </is>
      </c>
      <c r="B236" s="1" t="n">
        <v>44236</v>
      </c>
      <c r="C236" s="1" t="n">
        <v>45783</v>
      </c>
      <c r="D236" t="inlineStr">
        <is>
          <t>NORRBOTTENS LÄN</t>
        </is>
      </c>
      <c r="E236" t="inlineStr">
        <is>
          <t>LULEÅ</t>
        </is>
      </c>
      <c r="G236" t="n">
        <v>19.7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45783</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45783</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45783</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45783</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45783</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45783</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45783</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45783</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45783</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45783</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45783</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45783</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45783</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45783</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45783</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45783</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45783</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45783</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45783</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45783</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45783</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45783</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45783</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45783</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45783</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45783</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45783</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45783</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45783</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45783</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45783</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45783</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45783</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45783</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45783</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45783</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45783</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45783</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45783</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45783</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45783</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45783</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45783</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45783</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45783</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45783</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45783</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45783</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45783</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45783</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45783</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45783</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45783</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45783</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45783</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45783</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45783</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45783</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45783</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45783</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45783</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45783</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45783</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45783</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45783</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45783</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45783</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45783</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45783</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45783</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45783</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45783</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45783</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45783</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45783</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45783</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45783</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45783</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45783</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45783</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45783</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45783</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45783</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45783</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45783</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45783</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45783</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45783</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45783</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45783</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45783</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45783</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45783</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45783</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45783</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45783</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45783</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45783</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45783</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45783</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45783</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45783</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45783</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45783</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45783</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45783</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45783</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45783</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45783</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45783</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45783</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45783</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45783</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45783</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45783</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45783</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45783</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45783</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45783</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45783</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45783</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45783</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45783</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45783</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45783</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45783</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45783</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45783</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45783</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45783</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45783</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45783</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45783</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45783</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45783</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45783</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45783</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45783</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45783</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45783</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45783</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45783</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45783</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45783</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45783</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45783</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45783</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45783</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45783</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45783</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45783</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45783</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45783</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45783</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45783</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45783</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45783</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45783</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45783</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45783</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45783</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45783</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45783</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45783</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45783</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45783</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45783</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45783</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45783</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45783</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45783</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45783</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45783</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45783</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45783</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45783</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45783</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45783</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45783</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45783</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45783</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45783</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45783</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45783</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45783</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45783</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45783</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45783</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45783</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45783</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45783</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45783</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45783</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45783</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45783</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45783</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45783</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45783</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45783</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45783</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45783</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45783</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45783</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45783</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45783</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45783</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45783</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45783</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45783</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45783</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45783</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45783</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45783</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45783</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45783</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45783</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45783</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45783</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45783</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45783</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45783</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45783</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45783</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45783</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45783</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45783</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45783</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45783</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45783</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45783</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45783</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45783</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45783</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45783</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45783</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45783</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45783</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45783</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45783</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45783</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45783</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45783</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45783</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45783</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45783</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45783</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45783</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45783</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45783</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45783</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45783</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45783</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45783</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45783</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45783</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45783</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45783</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45783</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45783</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45783</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45783</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45783</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45783</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45783</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45783</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45783</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45783</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45783</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45783</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45783</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45783</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45783</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45783</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45783</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45783</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45783</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45783</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45783</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45783</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45783</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45783</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45783</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45783</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45783</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45783</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45783</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45783</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45783</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45783</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45783</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45783</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45783</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45783</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45783</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45783</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45783</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45783</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45783</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45783</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45783</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45783</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45783</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45783</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45783</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45783</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45783</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45783</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45783</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45783</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45783</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45783</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45783</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45783</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45783</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45783</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45783</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45783</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45783</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45783</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45783</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45783</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45783</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45783</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45783</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45783</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45783</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45783</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45783</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45783</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45783</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45783</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45783</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45783</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45783</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45783</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45783</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45783</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45783</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45783</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45783</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45783</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45783</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45783</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45783</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45783</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45783</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45783</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45783</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45783</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45783</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45783</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45783</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45783</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45783</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45783</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45783</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45783</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45783</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45783</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45783</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45783</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45783</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45783</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45783</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45783</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45783</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45783</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45783</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45783</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45783</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45783</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45783</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45783</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45783</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45783</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45783</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45783</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45783</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45783</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45783</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45783</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45783</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45783</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45783</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45783</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45783</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45783</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45783</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45783</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45783</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45783</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45783</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45783</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45783</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45783</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45783</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45783</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45783</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45783</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45783</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45783</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45783</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45783</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45783</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45783</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45783</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45783</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45783</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45783</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45783</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45783</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45783</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45783</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45783</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45783</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45783</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45783</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45783</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45783</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45783</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45783</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45783</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45783</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45783</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45783</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45783</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45783</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45783</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45783</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45783</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45783</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45783</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45783</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45783</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45783</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45783</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45783</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45783</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45783</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45783</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45783</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45783</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45783</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45783</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45783</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45783</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45783</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45783</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45783</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45783</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45783</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45783</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45783</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45783</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45783</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45783</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45783</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45783</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45783</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45783</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45783</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45783</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45783</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45783</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45783</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45783</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45783</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45783</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45783</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45783</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45783</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45783</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45783</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45783</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45783</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45783</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45783</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45783</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45783</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45783</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45783</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45783</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45783</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45783</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45783</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45783</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45783</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45783</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45783</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45783</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45783</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45783</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45783</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45783</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45783</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45783</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45783</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45783</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45783</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45783</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45783</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45783</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45783</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45783</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45783</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45783</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45783</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45783</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45783</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45783</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45783</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45783</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45783</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45783</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45783</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45783</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45783</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45783</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45783</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45783</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45783</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45783</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45783</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45783</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45783</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45783</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45783</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45783</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45783</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45783</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45783</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45783</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45783</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45783</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45783</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45783</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45783</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45783</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45783</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45783</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45783</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45783</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45783</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45783</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45783</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45783</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45783</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45783</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45783</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45783</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45783</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45783</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45783</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45783</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45783</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45783</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45783</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45783</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45783</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45783</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45783</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45783</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45783</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45783</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45783</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45783</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45783</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45783</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45783</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45783</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45783</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45783</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45783</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45783</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45783</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45783</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45783</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45783</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45783</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45783</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45783</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45783</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45783</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45783</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45783</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45783</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45783</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45783</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45783</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45783</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45783</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45783</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45783</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45783</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45783</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45783</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45783</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45783</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45783</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45783</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45783</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45783</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45783</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45783</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45783</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45783</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45783</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45783</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45783</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45783</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45783</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45783</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45783</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45783</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45783</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45783</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45783</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45783</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45783</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45783</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45783</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45783</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45783</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45783</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45783</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45783</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45783</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45783</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45783</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45783</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45783</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45783</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45783</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45783</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45783</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45783</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45783</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45783</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45783</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45783</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45783</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45783</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45783</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45783</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45783</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45783</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45783</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45783</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45783</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45783</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45783</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45783</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45783</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45783</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45783</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45783</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45783</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45783</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45783</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45783</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45783</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45783</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45783</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45783</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45783</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45783</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45783</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45783</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45783</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45783</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45783</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45783</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45783</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45783</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45783</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45783</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45783</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45783</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45783</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45783</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45783</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45783</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45783</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45783</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45783</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45783</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45783</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45783</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45783</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45783</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45783</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45783</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45783</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45783</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45783</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45783</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45783</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45783</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45783</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45783</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45783</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45783</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45783</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45783</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45783</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45783</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45783</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45783</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45783</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45783</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45783</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45783</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45783</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45783</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45783</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45783</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45783</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45783</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45783</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45783</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45783</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45783</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45783</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45783</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45783</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45783</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45783</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45783</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45783</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45783</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45783</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45783</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45783</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45783</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45783</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45783</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45783</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45783</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45783</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45783</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45783</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45783</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45783</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45783</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45783</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45783</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45783</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45783</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45783</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45783</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45783</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45783</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45783</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45783</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45783</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45783</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45783</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45783</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45783</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45783</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45783</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45783</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45783</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45783</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45783</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45783</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45783</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45783</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45783</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45783</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45783</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45783</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45783</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45783</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45783</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45783</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45783</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45783</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45783</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45783</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45783</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45783</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45783</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45783</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45783</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45783</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45783</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45783</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45783</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45783</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45783</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45783</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45783</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45783</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45783</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45783</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45783</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45783</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45783</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45783</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45783</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45783</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45783</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45783</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45783</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45783</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45783</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45783</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45783</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45783</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45783</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45783</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45783</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45783</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45783</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45783</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45783</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45783</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45783</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45783</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45783</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45783</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45783</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45783</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45783</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45783</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45783</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45783</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45783</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45783</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45783</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45783</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45783</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45783</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45783</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45783</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45783</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45783</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45783</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45783</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45783</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45783</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45783</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45783</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45783</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45783</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45783</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45783</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45783</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45783</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17304-2025</t>
        </is>
      </c>
      <c r="B1087" s="1" t="n">
        <v>45756</v>
      </c>
      <c r="C1087" s="1" t="n">
        <v>45783</v>
      </c>
      <c r="D1087" t="inlineStr">
        <is>
          <t>NORRBOTTENS LÄN</t>
        </is>
      </c>
      <c r="E1087" t="inlineStr">
        <is>
          <t>LULEÅ</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17306-2025</t>
        </is>
      </c>
      <c r="B1088" s="1" t="n">
        <v>45756</v>
      </c>
      <c r="C1088" s="1" t="n">
        <v>45783</v>
      </c>
      <c r="D1088" t="inlineStr">
        <is>
          <t>NORRBOTTENS LÄN</t>
        </is>
      </c>
      <c r="E1088" t="inlineStr">
        <is>
          <t>LULEÅ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45783</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17899-2025</t>
        </is>
      </c>
      <c r="B1090" s="1" t="n">
        <v>45758</v>
      </c>
      <c r="C1090" s="1" t="n">
        <v>45783</v>
      </c>
      <c r="D1090" t="inlineStr">
        <is>
          <t>NORRBOTTENS LÄN</t>
        </is>
      </c>
      <c r="E1090" t="inlineStr">
        <is>
          <t>LULEÅ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45783</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45783</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45783</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45783</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45783</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45783</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45783</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45783</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45783</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45783</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45783</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45783</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2025-05-06T17:15:55Z</dcterms:created>
  <dcterms:modified xmlns:dcterms="http://purl.org/dc/terms/" xmlns:xsi="http://www.w3.org/2001/XMLSchema-instance" xsi:type="dcterms:W3CDTF">2025-05-06T17:15:56Z</dcterms:modified>
</cp:coreProperties>
</file>